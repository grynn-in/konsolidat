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up" sheetId="1" state="visible" r:id="rId1"/>
    <sheet xmlns:r="http://schemas.openxmlformats.org/officeDocument/2006/relationships" name="Budget 2024" sheetId="2" state="visible" r:id="rId2"/>
    <sheet xmlns:r="http://schemas.openxmlformats.org/officeDocument/2006/relationships" name="2024F1" sheetId="3" state="visible" r:id="rId3"/>
    <sheet xmlns:r="http://schemas.openxmlformats.org/officeDocument/2006/relationships" name="2024F2" sheetId="4" state="visible" r:id="rId4"/>
    <sheet xmlns:r="http://schemas.openxmlformats.org/officeDocument/2006/relationships" name="2024F3" sheetId="5" state="visible" r:id="rId5"/>
    <sheet xmlns:r="http://schemas.openxmlformats.org/officeDocument/2006/relationships" name="2024F4" sheetId="6" state="visible" r:id="rId6"/>
    <sheet xmlns:r="http://schemas.openxmlformats.org/officeDocument/2006/relationships" name="2024F5" sheetId="7" state="visible" r:id="rId7"/>
    <sheet xmlns:r="http://schemas.openxmlformats.org/officeDocument/2006/relationships" name="2024F6" sheetId="8" state="visible" r:id="rId8"/>
    <sheet xmlns:r="http://schemas.openxmlformats.org/officeDocument/2006/relationships" name="2024F7" sheetId="9" state="visible" r:id="rId9"/>
    <sheet xmlns:r="http://schemas.openxmlformats.org/officeDocument/2006/relationships" name="2024F8" sheetId="10" state="visible" r:id="rId10"/>
    <sheet xmlns:r="http://schemas.openxmlformats.org/officeDocument/2006/relationships" name="2024F9" sheetId="11" state="visible" r:id="rId11"/>
    <sheet xmlns:r="http://schemas.openxmlformats.org/officeDocument/2006/relationships" name="2024F10" sheetId="12" state="visible" r:id="rId12"/>
    <sheet xmlns:r="http://schemas.openxmlformats.org/officeDocument/2006/relationships" name="2024F11" sheetId="13" state="visible" r:id="rId13"/>
    <sheet xmlns:r="http://schemas.openxmlformats.org/officeDocument/2006/relationships" name="2024F12" sheetId="14" state="visible" r:id="rId1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Calibri"/>
      <b val="1"/>
      <color rgb="002F5496"/>
      <sz val="16"/>
    </font>
    <font>
      <name val="Calibri"/>
      <b val="1"/>
      <color rgb="002F5496"/>
      <sz val="13"/>
    </font>
    <font>
      <name val="Calibri"/>
      <b val="1"/>
      <sz val="11"/>
    </font>
    <font>
      <name val="Calibri"/>
      <sz val="11"/>
    </font>
    <font>
      <name val="Calibri"/>
      <i val="1"/>
      <color rgb="00666666"/>
      <sz val="10"/>
    </font>
    <font>
      <name val="Calibri"/>
      <b val="1"/>
      <sz val="10"/>
    </font>
    <font>
      <name val="Calibri"/>
      <i val="1"/>
      <sz val="10"/>
    </font>
    <font>
      <name val="Calibri"/>
      <b val="1"/>
      <color rgb="002F5496"/>
      <sz val="11"/>
    </font>
    <font>
      <name val="Calibri"/>
      <color rgb="00333333"/>
      <sz val="10"/>
    </font>
    <font>
      <name val="Calibri"/>
      <b val="1"/>
      <color rgb="00107C10"/>
      <sz val="11"/>
    </font>
    <font>
      <name val="Consolas"/>
      <b val="1"/>
      <sz val="11"/>
    </font>
    <font>
      <name val="Calibri"/>
      <sz val="10"/>
    </font>
    <font>
      <name val="Calibri"/>
      <color rgb="00FFFFFF"/>
      <sz val="10"/>
    </font>
    <font>
      <name val="Consolas"/>
      <sz val="10"/>
    </font>
    <font>
      <name val="Calibri"/>
      <b val="1"/>
    </font>
    <font>
      <name val="Calibri"/>
    </font>
    <font>
      <name val="Calibri"/>
      <i val="1"/>
      <color rgb="002F5496"/>
    </font>
    <font>
      <name val="Calibri"/>
      <b val="1"/>
      <color rgb="00FFFFFF"/>
      <sz val="11"/>
    </font>
    <font>
      <name val="Calibri"/>
      <i val="1"/>
      <color rgb="00996600"/>
    </font>
  </fonts>
  <fills count="7">
    <fill>
      <patternFill/>
    </fill>
    <fill>
      <patternFill patternType="gray125"/>
    </fill>
    <fill>
      <patternFill patternType="solid">
        <fgColor rgb="002F5496"/>
        <bgColor rgb="002F5496"/>
      </patternFill>
    </fill>
    <fill>
      <patternFill patternType="solid">
        <fgColor rgb="00FFFFFF"/>
        <bgColor rgb="00FFFFFF"/>
      </patternFill>
    </fill>
    <fill>
      <patternFill patternType="solid">
        <fgColor rgb="00FFF2CC"/>
        <bgColor rgb="00FFF2CC"/>
      </patternFill>
    </fill>
    <fill>
      <patternFill patternType="solid">
        <fgColor rgb="00E2EFDA"/>
        <bgColor rgb="00E2EFDA"/>
      </patternFill>
    </fill>
    <fill>
      <patternFill patternType="solid">
        <fgColor rgb="00D6E4F0"/>
        <bgColor rgb="00D6E4F0"/>
      </patternFill>
    </fill>
  </fills>
  <borders count="7">
    <border>
      <left/>
      <right/>
      <top/>
      <bottom/>
      <diagonal/>
    </border>
    <border>
      <left style="medium">
        <color rgb="004472C4"/>
      </left>
      <right style="medium">
        <color rgb="004472C4"/>
      </right>
      <top style="medium">
        <color rgb="004472C4"/>
      </top>
      <bottom style="medium">
        <color rgb="004472C4"/>
      </bottom>
    </border>
    <border>
      <left style="thin">
        <color rgb="00B4C6E7"/>
      </left>
      <right style="thin">
        <color rgb="00B4C6E7"/>
      </right>
      <top style="thin">
        <color rgb="00B4C6E7"/>
      </top>
      <bottom style="thin">
        <color rgb="00B4C6E7"/>
      </bottom>
    </border>
    <border>
      <left/>
      <right/>
      <top style="thin">
        <color rgb="00B4C6E7"/>
      </top>
      <bottom/>
      <diagonal/>
    </border>
    <border>
      <left/>
      <right style="thin">
        <color rgb="00B4C6E7"/>
      </right>
      <top style="thin">
        <color rgb="00B4C6E7"/>
      </top>
      <bottom/>
      <diagonal/>
    </border>
    <border>
      <left/>
      <right/>
      <top style="thin">
        <color rgb="00B4C6E7"/>
      </top>
      <bottom style="thin">
        <color rgb="00B4C6E7"/>
      </bottom>
      <diagonal/>
    </border>
    <border>
      <left/>
      <right style="thin">
        <color rgb="00B4C6E7"/>
      </right>
      <top style="thin">
        <color rgb="00B4C6E7"/>
      </top>
      <bottom style="thin">
        <color rgb="00B4C6E7"/>
      </bottom>
      <diagonal/>
    </border>
  </borders>
  <cellStyleXfs count="1">
    <xf numFmtId="0" fontId="0" fillId="0" borderId="0"/>
  </cellStyleXfs>
  <cellXfs count="32">
    <xf numFmtId="0" fontId="0" fillId="0" borderId="0" pivotButton="0" quotePrefix="0" xfId="0"/>
    <xf numFmtId="0" fontId="1" fillId="0"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3" borderId="1"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applyAlignment="1" pivotButton="0" quotePrefix="0" xfId="0">
      <alignment wrapText="1"/>
    </xf>
    <xf numFmtId="0" fontId="10" fillId="0" borderId="0" pivotButton="0" quotePrefix="0" xfId="0"/>
    <xf numFmtId="0" fontId="11" fillId="0" borderId="0" pivotButton="0" quotePrefix="0" xfId="0"/>
    <xf numFmtId="0" fontId="12" fillId="0" borderId="0" pivotButton="0" quotePrefix="0" xfId="0"/>
    <xf numFmtId="0" fontId="12" fillId="3" borderId="2" pivotButton="0" quotePrefix="0" xfId="0"/>
    <xf numFmtId="0" fontId="12" fillId="4" borderId="2" pivotButton="0" quotePrefix="0" xfId="0"/>
    <xf numFmtId="0" fontId="12" fillId="5" borderId="2" pivotButton="0" quotePrefix="0" xfId="0"/>
    <xf numFmtId="0" fontId="13" fillId="2" borderId="2" pivotButton="0" quotePrefix="0" xfId="0"/>
    <xf numFmtId="0" fontId="14" fillId="0" borderId="0" pivotButton="0" quotePrefix="0" xfId="0"/>
    <xf numFmtId="0" fontId="12" fillId="0" borderId="0" applyAlignment="1" pivotButton="0" quotePrefix="0" xfId="0">
      <alignment wrapText="1"/>
    </xf>
    <xf numFmtId="0" fontId="15" fillId="0" borderId="0" pivotButton="0" quotePrefix="0" xfId="0"/>
    <xf numFmtId="0" fontId="16" fillId="0" borderId="0" pivotButton="0" quotePrefix="0" xfId="0"/>
    <xf numFmtId="0" fontId="17" fillId="0" borderId="0" pivotButton="0" quotePrefix="0" xfId="0"/>
    <xf numFmtId="0" fontId="18" fillId="2" borderId="2" applyAlignment="1" pivotButton="0" quotePrefix="0" xfId="0">
      <alignment horizontal="center" wrapText="1"/>
    </xf>
    <xf numFmtId="0" fontId="3" fillId="6" borderId="2" pivotButton="0" quotePrefix="0" xfId="0"/>
    <xf numFmtId="0" fontId="0" fillId="0" borderId="5" pivotButton="0" quotePrefix="0" xfId="0"/>
    <xf numFmtId="0" fontId="0" fillId="0" borderId="6" pivotButton="0" quotePrefix="0" xfId="0"/>
    <xf numFmtId="0" fontId="4" fillId="0" borderId="2" pivotButton="0" quotePrefix="0" xfId="0"/>
    <xf numFmtId="3" fontId="4" fillId="3" borderId="2" pivotButton="0" quotePrefix="0" xfId="0"/>
    <xf numFmtId="3" fontId="3" fillId="5" borderId="2" pivotButton="0" quotePrefix="0" xfId="0"/>
    <xf numFmtId="0" fontId="19" fillId="0" borderId="0" pivotButton="0" quotePrefix="0" xfId="0"/>
    <xf numFmtId="3" fontId="4" fillId="4"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F5496"/>
    <outlinePr summaryBelow="1" summaryRight="1"/>
    <pageSetUpPr/>
  </sheetPr>
  <dimension ref="A1:F52"/>
  <sheetViews>
    <sheetView workbookViewId="0">
      <selection activeCell="A1" sqref="A1"/>
    </sheetView>
  </sheetViews>
  <sheetFormatPr baseColWidth="8" defaultRowHeight="15"/>
  <cols>
    <col width="18" customWidth="1" min="1" max="1"/>
    <col width="40" customWidth="1" min="2" max="2"/>
    <col width="5" customWidth="1" min="3" max="3"/>
    <col width="45" customWidth="1" min="4" max="4"/>
    <col width="15" customWidth="1" min="5" max="5"/>
    <col width="15" customWidth="1" min="6" max="6"/>
  </cols>
  <sheetData>
    <row r="1">
      <c r="A1" s="1" t="inlineStr">
        <is>
          <t>Open EPM — Connection Setup</t>
        </is>
      </c>
    </row>
    <row r="2">
      <c r="A2" s="2" t="n"/>
      <c r="B2" s="2" t="n"/>
      <c r="C2" s="2" t="n"/>
      <c r="D2" s="2" t="n"/>
      <c r="E2" s="2" t="n"/>
      <c r="F2" s="2" t="n"/>
    </row>
    <row r="4">
      <c r="A4" s="3" t="inlineStr">
        <is>
          <t>Connection Settings</t>
        </is>
      </c>
    </row>
    <row r="6">
      <c r="A6" s="4" t="inlineStr">
        <is>
          <t>Server URL:</t>
        </is>
      </c>
      <c r="B6" s="5" t="inlineStr">
        <is>
          <t>https://localhost</t>
        </is>
      </c>
      <c r="D6" s="6" t="inlineStr">
        <is>
          <t>Frappe/ERPNext server URL (HTTPS)</t>
        </is>
      </c>
    </row>
    <row r="7">
      <c r="A7" s="4" t="inlineStr">
        <is>
          <t>Username:</t>
        </is>
      </c>
      <c r="B7" s="5" t="inlineStr">
        <is>
          <t>Administrator</t>
        </is>
      </c>
      <c r="D7" s="6" t="inlineStr">
        <is>
          <t>Frappe username</t>
        </is>
      </c>
    </row>
    <row r="8">
      <c r="A8" s="4" t="inlineStr">
        <is>
          <t>Password:</t>
        </is>
      </c>
      <c r="B8" s="5" t="inlineStr">
        <is>
          <t>admin123</t>
        </is>
      </c>
      <c r="D8" s="6" t="inlineStr">
        <is>
          <t>Frappe password</t>
        </is>
      </c>
    </row>
    <row r="10">
      <c r="A10" s="3" t="inlineStr">
        <is>
          <t>Option 1: VBA Macros</t>
        </is>
      </c>
    </row>
    <row r="11">
      <c r="A11" s="7" t="inlineStr">
        <is>
          <t>Best for:</t>
        </is>
      </c>
      <c r="B11" s="8" t="inlineStr">
        <is>
          <t>Desktop Excel, keyboard shortcuts, works offline</t>
        </is>
      </c>
    </row>
    <row r="13">
      <c r="A13" s="9" t="inlineStr">
        <is>
          <t>Step 1:</t>
        </is>
      </c>
      <c r="B13" s="4" t="inlineStr">
        <is>
          <t>Import VBA Module</t>
        </is>
      </c>
    </row>
    <row r="14">
      <c r="B14" s="10" t="inlineStr">
        <is>
          <t>Press Alt+F11 to open VBA Editor, then File &gt; Import File &gt; select "excel/OpenEPM.bas" from the project folder.</t>
        </is>
      </c>
    </row>
    <row r="15">
      <c r="A15" s="9" t="inlineStr">
        <is>
          <t>Step 2:</t>
        </is>
      </c>
      <c r="B15" s="4" t="inlineStr">
        <is>
          <t>Enable Macros</t>
        </is>
      </c>
    </row>
    <row r="16">
      <c r="B16" s="10" t="inlineStr">
        <is>
          <t>Save this file as .xlsm (macro-enabled). Close and reopen - the "Open EPM" toolbar appears automatically.</t>
        </is>
      </c>
    </row>
    <row r="17">
      <c r="A17" s="9" t="inlineStr">
        <is>
          <t>Step 3:</t>
        </is>
      </c>
      <c r="B17" s="4" t="inlineStr">
        <is>
          <t>Click Setup on Toolbar</t>
        </is>
      </c>
    </row>
    <row r="18">
      <c r="B18" s="10" t="inlineStr">
        <is>
          <t>The "Open EPM" toolbar has buttons: Setup | Refresh | Refresh All | Save | Save All | Debug. Click "Setup" to enter your server URL, username, and password.</t>
        </is>
      </c>
    </row>
    <row r="19">
      <c r="A19" s="9" t="inlineStr">
        <is>
          <t>Step 4:</t>
        </is>
      </c>
      <c r="B19" s="4" t="inlineStr">
        <is>
          <t>Edit Budget/Forecast</t>
        </is>
      </c>
    </row>
    <row r="20">
      <c r="B20" s="10" t="inlineStr">
        <is>
          <t>Go to any data sheet (Budget 2024, 2024F1, etc.) and edit the white cells with your budget or forecast numbers. Yellow cells are actual months (read-only reference).</t>
        </is>
      </c>
    </row>
    <row r="21">
      <c r="A21" s="9" t="inlineStr">
        <is>
          <t>Step 5:</t>
        </is>
      </c>
      <c r="B21" s="4" t="inlineStr">
        <is>
          <t>Save to Server</t>
        </is>
      </c>
    </row>
    <row r="22">
      <c r="B22" s="10" t="inlineStr">
        <is>
          <t>Press Ctrl+Shift+S or click "Save" on the toolbar to upload the active sheet to the server. Click "Save All" for all sheets. VBA reads the row metadata (entity, account, etc.) automatically.</t>
        </is>
      </c>
    </row>
    <row r="24">
      <c r="A24" s="3" t="inlineStr">
        <is>
          <t>Option 2: Office.js Add-in (No Macros)</t>
        </is>
      </c>
    </row>
    <row r="25">
      <c r="A25" s="7" t="inlineStr">
        <is>
          <t>Best for:</t>
        </is>
      </c>
      <c r="B25" s="8" t="inlineStr">
        <is>
          <t>No macros needed, no code signing, works in Excel Online and Desktop</t>
        </is>
      </c>
    </row>
    <row r="26">
      <c r="A26" s="11" t="inlineStr">
        <is>
          <t>Step 1:</t>
        </is>
      </c>
      <c r="B26" s="4" t="inlineStr">
        <is>
          <t>Sideload the Add-in</t>
        </is>
      </c>
    </row>
    <row r="27">
      <c r="B27" s="10" t="inlineStr">
        <is>
          <t>In Excel: Insert &gt; My Add-ins &gt; Upload My Add-in &gt; browse to "excel-addin/manifest.xml". The "OpenEPM" button appears in the Home ribbon tab.</t>
        </is>
      </c>
    </row>
    <row r="28">
      <c r="A28" s="11" t="inlineStr">
        <is>
          <t>Step 2:</t>
        </is>
      </c>
      <c r="B28" s="4" t="inlineStr">
        <is>
          <t>Open the Task Pane</t>
        </is>
      </c>
    </row>
    <row r="29">
      <c r="B29" s="10" t="inlineStr">
        <is>
          <t>Click the "OpenEPM" button in the ribbon. Log in with your Frappe username and password.</t>
        </is>
      </c>
    </row>
    <row r="30">
      <c r="A30" s="11" t="inlineStr">
        <is>
          <t>Step 3:</t>
        </is>
      </c>
      <c r="B30" s="4" t="inlineStr">
        <is>
          <t>Use the Budget Tab</t>
        </is>
      </c>
    </row>
    <row r="31">
      <c r="B31" s="10" t="inlineStr">
        <is>
          <t>Switch to the "Budget" tab in the task pane. The Sheet Info card shows the detected scenario, entity count, and row count. Click "Save Sheet" or "Save All Sheets" to upload data. Click "Refresh Actuals" to pull actual values from the server.</t>
        </is>
      </c>
    </row>
    <row r="33">
      <c r="A33" s="3" t="inlineStr">
        <is>
          <t>Keyboard Shortcuts</t>
        </is>
      </c>
    </row>
    <row r="35">
      <c r="A35" s="12" t="inlineStr">
        <is>
          <t>Ctrl+Shift+R</t>
        </is>
      </c>
      <c r="B35" s="13" t="inlineStr">
        <is>
          <t>Refresh active sheet (fetch actuals + budget from server)</t>
        </is>
      </c>
    </row>
    <row r="36">
      <c r="A36" s="12" t="inlineStr">
        <is>
          <t>Ctrl+Shift+S</t>
        </is>
      </c>
      <c r="B36" s="13" t="inlineStr">
        <is>
          <t>Save active sheet budget/forecast data to server</t>
        </is>
      </c>
    </row>
    <row r="37">
      <c r="A37" s="12" t="inlineStr">
        <is>
          <t>Alt+F11</t>
        </is>
      </c>
      <c r="B37" s="13" t="inlineStr">
        <is>
          <t>Open VBA Editor (to import/edit OpenEPM.bas)</t>
        </is>
      </c>
    </row>
    <row r="39">
      <c r="A39" s="3" t="inlineStr">
        <is>
          <t>Sheet Legend</t>
        </is>
      </c>
    </row>
    <row r="41">
      <c r="A41" s="14" t="inlineStr">
        <is>
          <t>White cells</t>
        </is>
      </c>
      <c r="B41" s="13" t="inlineStr">
        <is>
          <t>Editable — change the amount, then press F9 or Ctrl+Shift+R to save</t>
        </is>
      </c>
    </row>
    <row r="42">
      <c r="A42" s="15" t="inlineStr">
        <is>
          <t>Yellow cells</t>
        </is>
      </c>
      <c r="B42" s="13" t="inlineStr">
        <is>
          <t>Actual months (closed) — included for reference, not saved to server</t>
        </is>
      </c>
    </row>
    <row r="43">
      <c r="A43" s="16" t="inlineStr">
        <is>
          <t>Green cells</t>
        </is>
      </c>
      <c r="B43" s="13" t="inlineStr">
        <is>
          <t>Computed totals (SUM formulas) — auto-calculated</t>
        </is>
      </c>
    </row>
    <row r="44">
      <c r="A44" s="17" t="inlineStr">
        <is>
          <t>Blue header</t>
        </is>
      </c>
      <c r="B44" s="13" t="inlineStr">
        <is>
          <t>Column headers — do not edit</t>
        </is>
      </c>
    </row>
    <row r="46">
      <c r="A46" s="3" t="inlineStr">
        <is>
          <t>How Save Works</t>
        </is>
      </c>
    </row>
    <row r="48">
      <c r="A48" s="4" t="inlineStr">
        <is>
          <t>Sheet layout:</t>
        </is>
      </c>
      <c r="B48" s="18" t="inlineStr">
        <is>
          <t>Col A: Scenario ID | Col B: Entity | Col D: Account | Col G: Cost Center | Col H: Department | Cols I-T: Period 1-12</t>
        </is>
      </c>
    </row>
    <row r="50">
      <c r="A50" s="4" t="inlineStr">
        <is>
          <t>How it works:</t>
        </is>
      </c>
      <c r="B50" s="19" t="inlineStr">
        <is>
          <t>When you click Save (or Ctrl+Shift+S), VBA scans each data row, reads the entity/account/scenario from columns A-H, collects the 12 monthly amounts from columns I-T, and batch-POSTs everything to the server. The layer is read from the info block at the top of each sheet.</t>
        </is>
      </c>
    </row>
    <row r="52">
      <c r="A52" s="4" t="inlineStr">
        <is>
          <t>No formulas needed:</t>
        </is>
      </c>
      <c r="B52" s="13" t="inlineStr">
        <is>
          <t>Just type plain numbers in the white cells. No EPMSAVE formulas required. Edit freely, then Save when ready.</t>
        </is>
      </c>
    </row>
  </sheetData>
  <mergeCells count="18">
    <mergeCell ref="A24:F24"/>
    <mergeCell ref="A33:F33"/>
    <mergeCell ref="B29:F29"/>
    <mergeCell ref="A10:F10"/>
    <mergeCell ref="A46:F46"/>
    <mergeCell ref="B16:F16"/>
    <mergeCell ref="B20:F20"/>
    <mergeCell ref="B48:F48"/>
    <mergeCell ref="A1:F1"/>
    <mergeCell ref="B31:F31"/>
    <mergeCell ref="A4:F4"/>
    <mergeCell ref="B14:F14"/>
    <mergeCell ref="B22:F22"/>
    <mergeCell ref="B50:F50"/>
    <mergeCell ref="A39:F39"/>
    <mergeCell ref="B18:F18"/>
    <mergeCell ref="B27:F27"/>
    <mergeCell ref="B52:F52"/>
  </mergeCells>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U44"/>
  <sheetViews>
    <sheetView workbookViewId="0">
      <pane xSplit="8" ySplit="9" topLeftCell="I10"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0" customWidth="1" min="3" max="3"/>
    <col width="10" customWidth="1" min="4" max="4"/>
    <col width="22" customWidth="1" min="5" max="5"/>
    <col width="12" customWidth="1" min="6" max="6"/>
    <col width="14" customWidth="1" min="7" max="7"/>
    <col width="14"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4" customWidth="1" min="21" max="21"/>
  </cols>
  <sheetData>
    <row r="1">
      <c r="A1" s="20" t="inlineStr">
        <is>
          <t>Scenario:</t>
        </is>
      </c>
      <c r="B1" s="21" t="inlineStr">
        <is>
          <t>Budget 2024</t>
        </is>
      </c>
    </row>
    <row r="2">
      <c r="A2" s="20" t="inlineStr">
        <is>
          <t>Scenario ID:</t>
        </is>
      </c>
      <c r="B2" s="21" t="inlineStr">
        <is>
          <t>BUDGET_2024</t>
        </is>
      </c>
    </row>
    <row r="3">
      <c r="A3" s="20" t="inlineStr">
        <is>
          <t>Type:</t>
        </is>
      </c>
      <c r="B3" s="21" t="inlineStr">
        <is>
          <t>budget</t>
        </is>
      </c>
    </row>
    <row r="4">
      <c r="A4" s="20" t="inlineStr">
        <is>
          <t>Fiscal Year:</t>
        </is>
      </c>
      <c r="B4" s="21" t="n">
        <v>2024</v>
      </c>
    </row>
    <row r="5">
      <c r="A5" s="20" t="inlineStr">
        <is>
          <t>Layer:</t>
        </is>
      </c>
      <c r="B5" s="21" t="inlineStr">
        <is>
          <t>base</t>
        </is>
      </c>
    </row>
    <row r="7">
      <c r="A7" s="20" t="inlineStr">
        <is>
          <t>Usage:</t>
        </is>
      </c>
      <c r="B7" s="22" t="inlineStr">
        <is>
          <t>Edit white cells, then press Ctrl+Shift+R or F9 to save to server</t>
        </is>
      </c>
    </row>
    <row r="9">
      <c r="A9" s="23" t="inlineStr">
        <is>
          <t>Scenario ID</t>
        </is>
      </c>
      <c r="B9" s="23" t="inlineStr">
        <is>
          <t>Entity</t>
        </is>
      </c>
      <c r="C9" s="23" t="inlineStr">
        <is>
          <t>Currency</t>
        </is>
      </c>
      <c r="D9" s="23" t="inlineStr">
        <is>
          <t>Account</t>
        </is>
      </c>
      <c r="E9" s="23" t="inlineStr">
        <is>
          <t>Account Name</t>
        </is>
      </c>
      <c r="F9" s="23" t="inlineStr">
        <is>
          <t>Category</t>
        </is>
      </c>
      <c r="G9" s="23" t="inlineStr">
        <is>
          <t>Cost Center</t>
        </is>
      </c>
      <c r="H9" s="23" t="inlineStr">
        <is>
          <t>Department</t>
        </is>
      </c>
      <c r="I9" s="23" t="inlineStr">
        <is>
          <t>Jan</t>
        </is>
      </c>
      <c r="J9" s="23" t="inlineStr">
        <is>
          <t>Feb</t>
        </is>
      </c>
      <c r="K9" s="23" t="inlineStr">
        <is>
          <t>Mar</t>
        </is>
      </c>
      <c r="L9" s="23" t="inlineStr">
        <is>
          <t>Apr</t>
        </is>
      </c>
      <c r="M9" s="23" t="inlineStr">
        <is>
          <t>May</t>
        </is>
      </c>
      <c r="N9" s="23" t="inlineStr">
        <is>
          <t>Jun</t>
        </is>
      </c>
      <c r="O9" s="23" t="inlineStr">
        <is>
          <t>Jul</t>
        </is>
      </c>
      <c r="P9" s="23" t="inlineStr">
        <is>
          <t>Aug</t>
        </is>
      </c>
      <c r="Q9" s="23" t="inlineStr">
        <is>
          <t>Sep</t>
        </is>
      </c>
      <c r="R9" s="23" t="inlineStr">
        <is>
          <t>Oct</t>
        </is>
      </c>
      <c r="S9" s="23" t="inlineStr">
        <is>
          <t>Nov</t>
        </is>
      </c>
      <c r="T9" s="23" t="inlineStr">
        <is>
          <t>Dec</t>
        </is>
      </c>
      <c r="U9" s="23" t="inlineStr">
        <is>
          <t>Annual Total</t>
        </is>
      </c>
    </row>
    <row r="10">
      <c r="A10" s="24" t="inlineStr">
        <is>
          <t>AMHQ</t>
        </is>
      </c>
      <c r="B10" s="24" t="inlineStr">
        <is>
          <t>Alpine Manufacturing HQ</t>
        </is>
      </c>
      <c r="C10" s="24" t="inlineStr">
        <is>
          <t>CHF</t>
        </is>
      </c>
      <c r="D10" s="24" t="n"/>
      <c r="E10" s="25" t="n"/>
      <c r="F10" s="25" t="n"/>
      <c r="G10" s="25" t="n"/>
      <c r="H10" s="25" t="n"/>
      <c r="I10" s="25" t="n"/>
      <c r="J10" s="25" t="n"/>
      <c r="K10" s="25" t="n"/>
      <c r="L10" s="25" t="n"/>
      <c r="M10" s="25" t="n"/>
      <c r="N10" s="25" t="n"/>
      <c r="O10" s="25" t="n"/>
      <c r="P10" s="25" t="n"/>
      <c r="Q10" s="25" t="n"/>
      <c r="R10" s="25" t="n"/>
      <c r="S10" s="25" t="n"/>
      <c r="T10" s="26" t="n"/>
      <c r="U10" s="24" t="n"/>
    </row>
    <row r="11">
      <c r="A11" s="27" t="inlineStr">
        <is>
          <t>BUDGET_2024</t>
        </is>
      </c>
      <c r="B11" s="27" t="inlineStr">
        <is>
          <t>AMHQ</t>
        </is>
      </c>
      <c r="C11" s="27" t="inlineStr">
        <is>
          <t>CHF</t>
        </is>
      </c>
      <c r="D11" s="27" t="inlineStr">
        <is>
          <t>4010</t>
        </is>
      </c>
      <c r="E11" s="27" t="inlineStr">
        <is>
          <t>Product Revenue</t>
        </is>
      </c>
      <c r="F11" s="27" t="inlineStr">
        <is>
          <t>Revenue</t>
        </is>
      </c>
      <c r="G11" s="27" t="inlineStr">
        <is>
          <t>HQ</t>
        </is>
      </c>
      <c r="H11" s="27" t="inlineStr">
        <is>
          <t>MGMT</t>
        </is>
      </c>
      <c r="I11" s="28" t="n">
        <v>-459000</v>
      </c>
      <c r="J11" s="28" t="n">
        <v>-486000</v>
      </c>
      <c r="K11" s="28" t="n">
        <v>-513000</v>
      </c>
      <c r="L11" s="28" t="n">
        <v>-540000</v>
      </c>
      <c r="M11" s="28" t="n">
        <v>-567000</v>
      </c>
      <c r="N11" s="28" t="n">
        <v>-594000</v>
      </c>
      <c r="O11" s="28" t="n">
        <v>-621000</v>
      </c>
      <c r="P11" s="28" t="n">
        <v>-594000</v>
      </c>
      <c r="Q11" s="28" t="n">
        <v>-567000</v>
      </c>
      <c r="R11" s="28" t="n">
        <v>-540000</v>
      </c>
      <c r="S11" s="28" t="n">
        <v>-513000</v>
      </c>
      <c r="T11" s="28" t="n">
        <v>-486000</v>
      </c>
      <c r="U11" s="29">
        <f>SUM(I11:T11)</f>
        <v/>
      </c>
    </row>
    <row r="12">
      <c r="A12" s="27" t="inlineStr">
        <is>
          <t>BUDGET_2024</t>
        </is>
      </c>
      <c r="B12" s="27" t="inlineStr">
        <is>
          <t>AMHQ</t>
        </is>
      </c>
      <c r="C12" s="27" t="inlineStr">
        <is>
          <t>CHF</t>
        </is>
      </c>
      <c r="D12" s="27" t="inlineStr">
        <is>
          <t>4020</t>
        </is>
      </c>
      <c r="E12" s="27" t="inlineStr">
        <is>
          <t>Service Revenue</t>
        </is>
      </c>
      <c r="F12" s="27" t="inlineStr">
        <is>
          <t>Revenue</t>
        </is>
      </c>
      <c r="G12" s="27" t="inlineStr">
        <is>
          <t>HQ</t>
        </is>
      </c>
      <c r="H12" s="27" t="inlineStr">
        <is>
          <t>MGMT</t>
        </is>
      </c>
      <c r="I12" s="28" t="n">
        <v>-55080</v>
      </c>
      <c r="J12" s="28" t="n">
        <v>-58320</v>
      </c>
      <c r="K12" s="28" t="n">
        <v>-61560</v>
      </c>
      <c r="L12" s="28" t="n">
        <v>-64800</v>
      </c>
      <c r="M12" s="28" t="n">
        <v>-68040</v>
      </c>
      <c r="N12" s="28" t="n">
        <v>-71280</v>
      </c>
      <c r="O12" s="28" t="n">
        <v>-74520</v>
      </c>
      <c r="P12" s="28" t="n">
        <v>-71280</v>
      </c>
      <c r="Q12" s="28" t="n">
        <v>-68040</v>
      </c>
      <c r="R12" s="28" t="n">
        <v>-64800</v>
      </c>
      <c r="S12" s="28" t="n">
        <v>-61560</v>
      </c>
      <c r="T12" s="28" t="n">
        <v>-58320</v>
      </c>
      <c r="U12" s="29">
        <f>SUM(I12:T12)</f>
        <v/>
      </c>
    </row>
    <row r="13">
      <c r="A13" s="27" t="inlineStr">
        <is>
          <t>BUDGET_2024</t>
        </is>
      </c>
      <c r="B13" s="27" t="inlineStr">
        <is>
          <t>AMHQ</t>
        </is>
      </c>
      <c r="C13" s="27" t="inlineStr">
        <is>
          <t>CHF</t>
        </is>
      </c>
      <c r="D13" s="27" t="inlineStr">
        <is>
          <t>5010</t>
        </is>
      </c>
      <c r="E13" s="27" t="inlineStr">
        <is>
          <t>Cost of Goods Sold</t>
        </is>
      </c>
      <c r="F13" s="27" t="inlineStr">
        <is>
          <t>COGS</t>
        </is>
      </c>
      <c r="G13" s="27" t="inlineStr">
        <is>
          <t>HQ</t>
        </is>
      </c>
      <c r="H13" s="27" t="inlineStr">
        <is>
          <t>MGMT</t>
        </is>
      </c>
      <c r="I13" s="28" t="n">
        <v>183600</v>
      </c>
      <c r="J13" s="28" t="n">
        <v>194400</v>
      </c>
      <c r="K13" s="28" t="n">
        <v>205200</v>
      </c>
      <c r="L13" s="28" t="n">
        <v>216000</v>
      </c>
      <c r="M13" s="28" t="n">
        <v>226800</v>
      </c>
      <c r="N13" s="28" t="n">
        <v>237600</v>
      </c>
      <c r="O13" s="28" t="n">
        <v>248400</v>
      </c>
      <c r="P13" s="28" t="n">
        <v>237600</v>
      </c>
      <c r="Q13" s="28" t="n">
        <v>226800</v>
      </c>
      <c r="R13" s="28" t="n">
        <v>216000</v>
      </c>
      <c r="S13" s="28" t="n">
        <v>205200</v>
      </c>
      <c r="T13" s="28" t="n">
        <v>194400</v>
      </c>
      <c r="U13" s="29">
        <f>SUM(I13:T13)</f>
        <v/>
      </c>
    </row>
    <row r="14">
      <c r="A14" s="27" t="inlineStr">
        <is>
          <t>BUDGET_2024</t>
        </is>
      </c>
      <c r="B14" s="27" t="inlineStr">
        <is>
          <t>AMHQ</t>
        </is>
      </c>
      <c r="C14" s="27" t="inlineStr">
        <is>
          <t>CHF</t>
        </is>
      </c>
      <c r="D14" s="27" t="inlineStr">
        <is>
          <t>6010</t>
        </is>
      </c>
      <c r="E14" s="27" t="inlineStr">
        <is>
          <t>Salaries and Wages</t>
        </is>
      </c>
      <c r="F14" s="27" t="inlineStr">
        <is>
          <t>OpEx</t>
        </is>
      </c>
      <c r="G14" s="27" t="inlineStr">
        <is>
          <t>HQ</t>
        </is>
      </c>
      <c r="H14" s="27" t="inlineStr">
        <is>
          <t>MGMT</t>
        </is>
      </c>
      <c r="I14" s="28" t="n">
        <v>110160</v>
      </c>
      <c r="J14" s="28" t="n">
        <v>116640</v>
      </c>
      <c r="K14" s="28" t="n">
        <v>123120</v>
      </c>
      <c r="L14" s="28" t="n">
        <v>129600</v>
      </c>
      <c r="M14" s="28" t="n">
        <v>136080</v>
      </c>
      <c r="N14" s="28" t="n">
        <v>142560</v>
      </c>
      <c r="O14" s="28" t="n">
        <v>149040</v>
      </c>
      <c r="P14" s="28" t="n">
        <v>142560</v>
      </c>
      <c r="Q14" s="28" t="n">
        <v>136080</v>
      </c>
      <c r="R14" s="28" t="n">
        <v>129600</v>
      </c>
      <c r="S14" s="28" t="n">
        <v>123120</v>
      </c>
      <c r="T14" s="28" t="n">
        <v>116640</v>
      </c>
      <c r="U14" s="29">
        <f>SUM(I14:T14)</f>
        <v/>
      </c>
    </row>
    <row r="15">
      <c r="A15" s="27" t="inlineStr">
        <is>
          <t>BUDGET_2024</t>
        </is>
      </c>
      <c r="B15" s="27" t="inlineStr">
        <is>
          <t>AMHQ</t>
        </is>
      </c>
      <c r="C15" s="27" t="inlineStr">
        <is>
          <t>CHF</t>
        </is>
      </c>
      <c r="D15" s="27" t="inlineStr">
        <is>
          <t>6020</t>
        </is>
      </c>
      <c r="E15" s="27" t="inlineStr">
        <is>
          <t>Rent Expense</t>
        </is>
      </c>
      <c r="F15" s="27" t="inlineStr">
        <is>
          <t>OpEx</t>
        </is>
      </c>
      <c r="G15" s="27" t="inlineStr">
        <is>
          <t>HQ</t>
        </is>
      </c>
      <c r="H15" s="27" t="inlineStr">
        <is>
          <t>MGMT</t>
        </is>
      </c>
      <c r="I15" s="28" t="n">
        <v>18360</v>
      </c>
      <c r="J15" s="28" t="n">
        <v>19440</v>
      </c>
      <c r="K15" s="28" t="n">
        <v>20520</v>
      </c>
      <c r="L15" s="28" t="n">
        <v>21600</v>
      </c>
      <c r="M15" s="28" t="n">
        <v>22680</v>
      </c>
      <c r="N15" s="28" t="n">
        <v>23760</v>
      </c>
      <c r="O15" s="28" t="n">
        <v>24840</v>
      </c>
      <c r="P15" s="28" t="n">
        <v>23760</v>
      </c>
      <c r="Q15" s="28" t="n">
        <v>22680</v>
      </c>
      <c r="R15" s="28" t="n">
        <v>21600</v>
      </c>
      <c r="S15" s="28" t="n">
        <v>20520</v>
      </c>
      <c r="T15" s="28" t="n">
        <v>19440</v>
      </c>
      <c r="U15" s="29">
        <f>SUM(I15:T15)</f>
        <v/>
      </c>
    </row>
    <row r="16">
      <c r="A16" s="27" t="inlineStr">
        <is>
          <t>BUDGET_2024</t>
        </is>
      </c>
      <c r="B16" s="27" t="inlineStr">
        <is>
          <t>AMHQ</t>
        </is>
      </c>
      <c r="C16" s="27" t="inlineStr">
        <is>
          <t>CHF</t>
        </is>
      </c>
      <c r="D16" s="27" t="inlineStr">
        <is>
          <t>6030</t>
        </is>
      </c>
      <c r="E16" s="27" t="inlineStr">
        <is>
          <t>Depreciation Expense</t>
        </is>
      </c>
      <c r="F16" s="27" t="inlineStr">
        <is>
          <t>OpEx</t>
        </is>
      </c>
      <c r="G16" s="27" t="inlineStr">
        <is>
          <t>HQ</t>
        </is>
      </c>
      <c r="H16" s="27" t="inlineStr">
        <is>
          <t>MGMT</t>
        </is>
      </c>
      <c r="I16" s="28" t="n">
        <v>13770</v>
      </c>
      <c r="J16" s="28" t="n">
        <v>14580</v>
      </c>
      <c r="K16" s="28" t="n">
        <v>15390</v>
      </c>
      <c r="L16" s="28" t="n">
        <v>16200</v>
      </c>
      <c r="M16" s="28" t="n">
        <v>17010</v>
      </c>
      <c r="N16" s="28" t="n">
        <v>17820</v>
      </c>
      <c r="O16" s="28" t="n">
        <v>18630</v>
      </c>
      <c r="P16" s="28" t="n">
        <v>17820</v>
      </c>
      <c r="Q16" s="28" t="n">
        <v>17010</v>
      </c>
      <c r="R16" s="28" t="n">
        <v>16200</v>
      </c>
      <c r="S16" s="28" t="n">
        <v>15390</v>
      </c>
      <c r="T16" s="28" t="n">
        <v>14580</v>
      </c>
      <c r="U16" s="29">
        <f>SUM(I16:T16)</f>
        <v/>
      </c>
    </row>
    <row r="17">
      <c r="A17" s="27" t="inlineStr">
        <is>
          <t>BUDGET_2024</t>
        </is>
      </c>
      <c r="B17" s="27" t="inlineStr">
        <is>
          <t>AMHQ</t>
        </is>
      </c>
      <c r="C17" s="27" t="inlineStr">
        <is>
          <t>CHF</t>
        </is>
      </c>
      <c r="D17" s="27" t="inlineStr">
        <is>
          <t>6040</t>
        </is>
      </c>
      <c r="E17" s="27" t="inlineStr">
        <is>
          <t>Marketing Expense</t>
        </is>
      </c>
      <c r="F17" s="27" t="inlineStr">
        <is>
          <t>OpEx</t>
        </is>
      </c>
      <c r="G17" s="27" t="inlineStr">
        <is>
          <t>HQ</t>
        </is>
      </c>
      <c r="H17" s="27" t="inlineStr">
        <is>
          <t>MGMT</t>
        </is>
      </c>
      <c r="I17" s="28" t="n">
        <v>13770</v>
      </c>
      <c r="J17" s="28" t="n">
        <v>14580</v>
      </c>
      <c r="K17" s="28" t="n">
        <v>15390</v>
      </c>
      <c r="L17" s="28" t="n">
        <v>16200</v>
      </c>
      <c r="M17" s="28" t="n">
        <v>17010</v>
      </c>
      <c r="N17" s="28" t="n">
        <v>17820</v>
      </c>
      <c r="O17" s="28" t="n">
        <v>18630</v>
      </c>
      <c r="P17" s="28" t="n">
        <v>17820</v>
      </c>
      <c r="Q17" s="28" t="n">
        <v>17010</v>
      </c>
      <c r="R17" s="28" t="n">
        <v>16200</v>
      </c>
      <c r="S17" s="28" t="n">
        <v>15390</v>
      </c>
      <c r="T17" s="28" t="n">
        <v>14580</v>
      </c>
      <c r="U17" s="29">
        <f>SUM(I17:T17)</f>
        <v/>
      </c>
    </row>
    <row r="18">
      <c r="A18" s="27" t="inlineStr">
        <is>
          <t>BUDGET_2024</t>
        </is>
      </c>
      <c r="B18" s="27" t="inlineStr">
        <is>
          <t>AMHQ</t>
        </is>
      </c>
      <c r="C18" s="27" t="inlineStr">
        <is>
          <t>CHF</t>
        </is>
      </c>
      <c r="D18" s="27" t="inlineStr">
        <is>
          <t>6050</t>
        </is>
      </c>
      <c r="E18" s="27" t="inlineStr">
        <is>
          <t>Travel Expense</t>
        </is>
      </c>
      <c r="F18" s="27" t="inlineStr">
        <is>
          <t>OpEx</t>
        </is>
      </c>
      <c r="G18" s="27" t="inlineStr">
        <is>
          <t>HQ</t>
        </is>
      </c>
      <c r="H18" s="27" t="inlineStr">
        <is>
          <t>MGMT</t>
        </is>
      </c>
      <c r="I18" s="28" t="n">
        <v>6885</v>
      </c>
      <c r="J18" s="28" t="n">
        <v>7290</v>
      </c>
      <c r="K18" s="28" t="n">
        <v>7695</v>
      </c>
      <c r="L18" s="28" t="n">
        <v>8100</v>
      </c>
      <c r="M18" s="28" t="n">
        <v>8505</v>
      </c>
      <c r="N18" s="28" t="n">
        <v>8910</v>
      </c>
      <c r="O18" s="28" t="n">
        <v>9315</v>
      </c>
      <c r="P18" s="28" t="n">
        <v>8910</v>
      </c>
      <c r="Q18" s="28" t="n">
        <v>8505</v>
      </c>
      <c r="R18" s="28" t="n">
        <v>8100</v>
      </c>
      <c r="S18" s="28" t="n">
        <v>7695</v>
      </c>
      <c r="T18" s="28" t="n">
        <v>7290</v>
      </c>
      <c r="U18" s="29">
        <f>SUM(I18:T18)</f>
        <v/>
      </c>
    </row>
    <row r="19">
      <c r="A19" s="27" t="inlineStr">
        <is>
          <t>BUDGET_2024</t>
        </is>
      </c>
      <c r="B19" s="27" t="inlineStr">
        <is>
          <t>AMHQ</t>
        </is>
      </c>
      <c r="C19" s="27" t="inlineStr">
        <is>
          <t>CHF</t>
        </is>
      </c>
      <c r="D19" s="27" t="inlineStr">
        <is>
          <t>6060</t>
        </is>
      </c>
      <c r="E19" s="27" t="inlineStr">
        <is>
          <t>Utilities</t>
        </is>
      </c>
      <c r="F19" s="27" t="inlineStr">
        <is>
          <t>OpEx</t>
        </is>
      </c>
      <c r="G19" s="27" t="inlineStr">
        <is>
          <t>HQ</t>
        </is>
      </c>
      <c r="H19" s="27" t="inlineStr">
        <is>
          <t>MGMT</t>
        </is>
      </c>
      <c r="I19" s="28" t="n">
        <v>6885</v>
      </c>
      <c r="J19" s="28" t="n">
        <v>7290</v>
      </c>
      <c r="K19" s="28" t="n">
        <v>7695</v>
      </c>
      <c r="L19" s="28" t="n">
        <v>8100</v>
      </c>
      <c r="M19" s="28" t="n">
        <v>8505</v>
      </c>
      <c r="N19" s="28" t="n">
        <v>8910</v>
      </c>
      <c r="O19" s="28" t="n">
        <v>9315</v>
      </c>
      <c r="P19" s="28" t="n">
        <v>8910</v>
      </c>
      <c r="Q19" s="28" t="n">
        <v>8505</v>
      </c>
      <c r="R19" s="28" t="n">
        <v>8100</v>
      </c>
      <c r="S19" s="28" t="n">
        <v>7695</v>
      </c>
      <c r="T19" s="28" t="n">
        <v>7290</v>
      </c>
      <c r="U19" s="29">
        <f>SUM(I19:T19)</f>
        <v/>
      </c>
    </row>
    <row r="20">
      <c r="E20" s="4" t="inlineStr">
        <is>
          <t>Net Income</t>
        </is>
      </c>
      <c r="I20" s="29">
        <f>SUM(I11:I19)</f>
        <v/>
      </c>
      <c r="J20" s="29">
        <f>SUM(J11:J19)</f>
        <v/>
      </c>
      <c r="K20" s="29">
        <f>SUM(K11:K19)</f>
        <v/>
      </c>
      <c r="L20" s="29">
        <f>SUM(L11:L19)</f>
        <v/>
      </c>
      <c r="M20" s="29">
        <f>SUM(M11:M19)</f>
        <v/>
      </c>
      <c r="N20" s="29">
        <f>SUM(N11:N19)</f>
        <v/>
      </c>
      <c r="O20" s="29">
        <f>SUM(O11:O19)</f>
        <v/>
      </c>
      <c r="P20" s="29">
        <f>SUM(P11:P19)</f>
        <v/>
      </c>
      <c r="Q20" s="29">
        <f>SUM(Q11:Q19)</f>
        <v/>
      </c>
      <c r="R20" s="29">
        <f>SUM(R11:R19)</f>
        <v/>
      </c>
      <c r="S20" s="29">
        <f>SUM(S11:S19)</f>
        <v/>
      </c>
      <c r="T20" s="29">
        <f>SUM(T11:T19)</f>
        <v/>
      </c>
      <c r="U20" s="29">
        <f>SUM(U11:U19)</f>
        <v/>
      </c>
    </row>
    <row r="22">
      <c r="A22" s="24" t="inlineStr">
        <is>
          <t>AMUS</t>
        </is>
      </c>
      <c r="B22" s="24" t="inlineStr">
        <is>
          <t>Alpine Manufacturing US</t>
        </is>
      </c>
      <c r="C22" s="24" t="inlineStr">
        <is>
          <t>USD</t>
        </is>
      </c>
      <c r="D22" s="24" t="n"/>
      <c r="E22" s="25" t="n"/>
      <c r="F22" s="25" t="n"/>
      <c r="G22" s="25" t="n"/>
      <c r="H22" s="25" t="n"/>
      <c r="I22" s="25" t="n"/>
      <c r="J22" s="25" t="n"/>
      <c r="K22" s="25" t="n"/>
      <c r="L22" s="25" t="n"/>
      <c r="M22" s="25" t="n"/>
      <c r="N22" s="25" t="n"/>
      <c r="O22" s="25" t="n"/>
      <c r="P22" s="25" t="n"/>
      <c r="Q22" s="25" t="n"/>
      <c r="R22" s="25" t="n"/>
      <c r="S22" s="25" t="n"/>
      <c r="T22" s="26" t="n"/>
      <c r="U22" s="24" t="n"/>
    </row>
    <row r="23">
      <c r="A23" s="27" t="inlineStr">
        <is>
          <t>BUDGET_2024</t>
        </is>
      </c>
      <c r="B23" s="27" t="inlineStr">
        <is>
          <t>AMUS</t>
        </is>
      </c>
      <c r="C23" s="27" t="inlineStr">
        <is>
          <t>USD</t>
        </is>
      </c>
      <c r="D23" s="27" t="inlineStr">
        <is>
          <t>4010</t>
        </is>
      </c>
      <c r="E23" s="27" t="inlineStr">
        <is>
          <t>Product Revenue</t>
        </is>
      </c>
      <c r="F23" s="27" t="inlineStr">
        <is>
          <t>Revenue</t>
        </is>
      </c>
      <c r="G23" s="27" t="inlineStr">
        <is>
          <t>SALES</t>
        </is>
      </c>
      <c r="H23" s="27" t="inlineStr">
        <is>
          <t>SALES</t>
        </is>
      </c>
      <c r="I23" s="28" t="n">
        <v>-734400</v>
      </c>
      <c r="J23" s="28" t="n">
        <v>-777600</v>
      </c>
      <c r="K23" s="28" t="n">
        <v>-820800</v>
      </c>
      <c r="L23" s="28" t="n">
        <v>-864000</v>
      </c>
      <c r="M23" s="28" t="n">
        <v>-907200</v>
      </c>
      <c r="N23" s="28" t="n">
        <v>-950400</v>
      </c>
      <c r="O23" s="28" t="n">
        <v>-993599</v>
      </c>
      <c r="P23" s="28" t="n">
        <v>-950400</v>
      </c>
      <c r="Q23" s="28" t="n">
        <v>-907200</v>
      </c>
      <c r="R23" s="28" t="n">
        <v>-864000</v>
      </c>
      <c r="S23" s="28" t="n">
        <v>-820800</v>
      </c>
      <c r="T23" s="28" t="n">
        <v>-777600</v>
      </c>
      <c r="U23" s="29">
        <f>SUM(I23:T23)</f>
        <v/>
      </c>
    </row>
    <row r="24">
      <c r="A24" s="27" t="inlineStr">
        <is>
          <t>BUDGET_2024</t>
        </is>
      </c>
      <c r="B24" s="27" t="inlineStr">
        <is>
          <t>AMUS</t>
        </is>
      </c>
      <c r="C24" s="27" t="inlineStr">
        <is>
          <t>USD</t>
        </is>
      </c>
      <c r="D24" s="27" t="inlineStr">
        <is>
          <t>4020</t>
        </is>
      </c>
      <c r="E24" s="27" t="inlineStr">
        <is>
          <t>Service Revenue</t>
        </is>
      </c>
      <c r="F24" s="27" t="inlineStr">
        <is>
          <t>Revenue</t>
        </is>
      </c>
      <c r="G24" s="27" t="inlineStr">
        <is>
          <t>SALES</t>
        </is>
      </c>
      <c r="H24" s="27" t="inlineStr">
        <is>
          <t>SALES</t>
        </is>
      </c>
      <c r="I24" s="28" t="n">
        <v>-88128</v>
      </c>
      <c r="J24" s="28" t="n">
        <v>-93312</v>
      </c>
      <c r="K24" s="28" t="n">
        <v>-98496</v>
      </c>
      <c r="L24" s="28" t="n">
        <v>-103680</v>
      </c>
      <c r="M24" s="28" t="n">
        <v>-108864</v>
      </c>
      <c r="N24" s="28" t="n">
        <v>-114048</v>
      </c>
      <c r="O24" s="28" t="n">
        <v>-119231</v>
      </c>
      <c r="P24" s="28" t="n">
        <v>-114048</v>
      </c>
      <c r="Q24" s="28" t="n">
        <v>-108864</v>
      </c>
      <c r="R24" s="28" t="n">
        <v>-103680</v>
      </c>
      <c r="S24" s="28" t="n">
        <v>-98496</v>
      </c>
      <c r="T24" s="28" t="n">
        <v>-93312</v>
      </c>
      <c r="U24" s="29">
        <f>SUM(I24:T24)</f>
        <v/>
      </c>
    </row>
    <row r="25">
      <c r="A25" s="27" t="inlineStr">
        <is>
          <t>BUDGET_2024</t>
        </is>
      </c>
      <c r="B25" s="27" t="inlineStr">
        <is>
          <t>AMUS</t>
        </is>
      </c>
      <c r="C25" s="27" t="inlineStr">
        <is>
          <t>USD</t>
        </is>
      </c>
      <c r="D25" s="27" t="inlineStr">
        <is>
          <t>5010</t>
        </is>
      </c>
      <c r="E25" s="27" t="inlineStr">
        <is>
          <t>Cost of Goods Sold</t>
        </is>
      </c>
      <c r="F25" s="27" t="inlineStr">
        <is>
          <t>COGS</t>
        </is>
      </c>
      <c r="G25" s="27" t="inlineStr">
        <is>
          <t>SALES</t>
        </is>
      </c>
      <c r="H25" s="27" t="inlineStr">
        <is>
          <t>SALES</t>
        </is>
      </c>
      <c r="I25" s="28" t="n">
        <v>293760</v>
      </c>
      <c r="J25" s="28" t="n">
        <v>311040</v>
      </c>
      <c r="K25" s="28" t="n">
        <v>328320</v>
      </c>
      <c r="L25" s="28" t="n">
        <v>345600</v>
      </c>
      <c r="M25" s="28" t="n">
        <v>362880</v>
      </c>
      <c r="N25" s="28" t="n">
        <v>380160</v>
      </c>
      <c r="O25" s="28" t="n">
        <v>397439</v>
      </c>
      <c r="P25" s="28" t="n">
        <v>380160</v>
      </c>
      <c r="Q25" s="28" t="n">
        <v>362880</v>
      </c>
      <c r="R25" s="28" t="n">
        <v>345600</v>
      </c>
      <c r="S25" s="28" t="n">
        <v>328320</v>
      </c>
      <c r="T25" s="28" t="n">
        <v>311040</v>
      </c>
      <c r="U25" s="29">
        <f>SUM(I25:T25)</f>
        <v/>
      </c>
    </row>
    <row r="26">
      <c r="A26" s="27" t="inlineStr">
        <is>
          <t>BUDGET_2024</t>
        </is>
      </c>
      <c r="B26" s="27" t="inlineStr">
        <is>
          <t>AMUS</t>
        </is>
      </c>
      <c r="C26" s="27" t="inlineStr">
        <is>
          <t>USD</t>
        </is>
      </c>
      <c r="D26" s="27" t="inlineStr">
        <is>
          <t>6010</t>
        </is>
      </c>
      <c r="E26" s="27" t="inlineStr">
        <is>
          <t>Salaries and Wages</t>
        </is>
      </c>
      <c r="F26" s="27" t="inlineStr">
        <is>
          <t>OpEx</t>
        </is>
      </c>
      <c r="G26" s="27" t="inlineStr">
        <is>
          <t>SALES</t>
        </is>
      </c>
      <c r="H26" s="27" t="inlineStr">
        <is>
          <t>SALES</t>
        </is>
      </c>
      <c r="I26" s="28" t="n">
        <v>176256</v>
      </c>
      <c r="J26" s="28" t="n">
        <v>186624</v>
      </c>
      <c r="K26" s="28" t="n">
        <v>196992</v>
      </c>
      <c r="L26" s="28" t="n">
        <v>207360</v>
      </c>
      <c r="M26" s="28" t="n">
        <v>217728</v>
      </c>
      <c r="N26" s="28" t="n">
        <v>228096</v>
      </c>
      <c r="O26" s="28" t="n">
        <v>238463</v>
      </c>
      <c r="P26" s="28" t="n">
        <v>228096</v>
      </c>
      <c r="Q26" s="28" t="n">
        <v>217728</v>
      </c>
      <c r="R26" s="28" t="n">
        <v>207360</v>
      </c>
      <c r="S26" s="28" t="n">
        <v>196992</v>
      </c>
      <c r="T26" s="28" t="n">
        <v>186624</v>
      </c>
      <c r="U26" s="29">
        <f>SUM(I26:T26)</f>
        <v/>
      </c>
    </row>
    <row r="27">
      <c r="A27" s="27" t="inlineStr">
        <is>
          <t>BUDGET_2024</t>
        </is>
      </c>
      <c r="B27" s="27" t="inlineStr">
        <is>
          <t>AMUS</t>
        </is>
      </c>
      <c r="C27" s="27" t="inlineStr">
        <is>
          <t>USD</t>
        </is>
      </c>
      <c r="D27" s="27" t="inlineStr">
        <is>
          <t>6020</t>
        </is>
      </c>
      <c r="E27" s="27" t="inlineStr">
        <is>
          <t>Rent Expense</t>
        </is>
      </c>
      <c r="F27" s="27" t="inlineStr">
        <is>
          <t>OpEx</t>
        </is>
      </c>
      <c r="G27" s="27" t="inlineStr">
        <is>
          <t>SALES</t>
        </is>
      </c>
      <c r="H27" s="27" t="inlineStr">
        <is>
          <t>SALES</t>
        </is>
      </c>
      <c r="I27" s="28" t="n">
        <v>29376</v>
      </c>
      <c r="J27" s="28" t="n">
        <v>31104</v>
      </c>
      <c r="K27" s="28" t="n">
        <v>32832</v>
      </c>
      <c r="L27" s="28" t="n">
        <v>34560</v>
      </c>
      <c r="M27" s="28" t="n">
        <v>36288</v>
      </c>
      <c r="N27" s="28" t="n">
        <v>38016</v>
      </c>
      <c r="O27" s="28" t="n">
        <v>39743</v>
      </c>
      <c r="P27" s="28" t="n">
        <v>38016</v>
      </c>
      <c r="Q27" s="28" t="n">
        <v>36288</v>
      </c>
      <c r="R27" s="28" t="n">
        <v>34560</v>
      </c>
      <c r="S27" s="28" t="n">
        <v>32832</v>
      </c>
      <c r="T27" s="28" t="n">
        <v>31104</v>
      </c>
      <c r="U27" s="29">
        <f>SUM(I27:T27)</f>
        <v/>
      </c>
    </row>
    <row r="28">
      <c r="A28" s="27" t="inlineStr">
        <is>
          <t>BUDGET_2024</t>
        </is>
      </c>
      <c r="B28" s="27" t="inlineStr">
        <is>
          <t>AMUS</t>
        </is>
      </c>
      <c r="C28" s="27" t="inlineStr">
        <is>
          <t>USD</t>
        </is>
      </c>
      <c r="D28" s="27" t="inlineStr">
        <is>
          <t>6030</t>
        </is>
      </c>
      <c r="E28" s="27" t="inlineStr">
        <is>
          <t>Depreciation Expense</t>
        </is>
      </c>
      <c r="F28" s="27" t="inlineStr">
        <is>
          <t>OpEx</t>
        </is>
      </c>
      <c r="G28" s="27" t="inlineStr">
        <is>
          <t>SALES</t>
        </is>
      </c>
      <c r="H28" s="27" t="inlineStr">
        <is>
          <t>SALES</t>
        </is>
      </c>
      <c r="I28" s="28" t="n">
        <v>22032</v>
      </c>
      <c r="J28" s="28" t="n">
        <v>23328</v>
      </c>
      <c r="K28" s="28" t="n">
        <v>24624</v>
      </c>
      <c r="L28" s="28" t="n">
        <v>25920</v>
      </c>
      <c r="M28" s="28" t="n">
        <v>27216</v>
      </c>
      <c r="N28" s="28" t="n">
        <v>28512</v>
      </c>
      <c r="O28" s="28" t="n">
        <v>29807</v>
      </c>
      <c r="P28" s="28" t="n">
        <v>28512</v>
      </c>
      <c r="Q28" s="28" t="n">
        <v>27216</v>
      </c>
      <c r="R28" s="28" t="n">
        <v>25920</v>
      </c>
      <c r="S28" s="28" t="n">
        <v>24624</v>
      </c>
      <c r="T28" s="28" t="n">
        <v>23328</v>
      </c>
      <c r="U28" s="29">
        <f>SUM(I28:T28)</f>
        <v/>
      </c>
    </row>
    <row r="29">
      <c r="A29" s="27" t="inlineStr">
        <is>
          <t>BUDGET_2024</t>
        </is>
      </c>
      <c r="B29" s="27" t="inlineStr">
        <is>
          <t>AMUS</t>
        </is>
      </c>
      <c r="C29" s="27" t="inlineStr">
        <is>
          <t>USD</t>
        </is>
      </c>
      <c r="D29" s="27" t="inlineStr">
        <is>
          <t>6040</t>
        </is>
      </c>
      <c r="E29" s="27" t="inlineStr">
        <is>
          <t>Marketing Expense</t>
        </is>
      </c>
      <c r="F29" s="27" t="inlineStr">
        <is>
          <t>OpEx</t>
        </is>
      </c>
      <c r="G29" s="27" t="inlineStr">
        <is>
          <t>SALES</t>
        </is>
      </c>
      <c r="H29" s="27" t="inlineStr">
        <is>
          <t>SALES</t>
        </is>
      </c>
      <c r="I29" s="28" t="n">
        <v>22032</v>
      </c>
      <c r="J29" s="28" t="n">
        <v>23328</v>
      </c>
      <c r="K29" s="28" t="n">
        <v>24624</v>
      </c>
      <c r="L29" s="28" t="n">
        <v>25920</v>
      </c>
      <c r="M29" s="28" t="n">
        <v>27216</v>
      </c>
      <c r="N29" s="28" t="n">
        <v>28512</v>
      </c>
      <c r="O29" s="28" t="n">
        <v>29807</v>
      </c>
      <c r="P29" s="28" t="n">
        <v>28512</v>
      </c>
      <c r="Q29" s="28" t="n">
        <v>27216</v>
      </c>
      <c r="R29" s="28" t="n">
        <v>25920</v>
      </c>
      <c r="S29" s="28" t="n">
        <v>24624</v>
      </c>
      <c r="T29" s="28" t="n">
        <v>23328</v>
      </c>
      <c r="U29" s="29">
        <f>SUM(I29:T29)</f>
        <v/>
      </c>
    </row>
    <row r="30">
      <c r="A30" s="27" t="inlineStr">
        <is>
          <t>BUDGET_2024</t>
        </is>
      </c>
      <c r="B30" s="27" t="inlineStr">
        <is>
          <t>AMUS</t>
        </is>
      </c>
      <c r="C30" s="27" t="inlineStr">
        <is>
          <t>USD</t>
        </is>
      </c>
      <c r="D30" s="27" t="inlineStr">
        <is>
          <t>6050</t>
        </is>
      </c>
      <c r="E30" s="27" t="inlineStr">
        <is>
          <t>Travel Expense</t>
        </is>
      </c>
      <c r="F30" s="27" t="inlineStr">
        <is>
          <t>OpEx</t>
        </is>
      </c>
      <c r="G30" s="27" t="inlineStr">
        <is>
          <t>SALES</t>
        </is>
      </c>
      <c r="H30" s="27" t="inlineStr">
        <is>
          <t>SALES</t>
        </is>
      </c>
      <c r="I30" s="28" t="n">
        <v>11016</v>
      </c>
      <c r="J30" s="28" t="n">
        <v>11664</v>
      </c>
      <c r="K30" s="28" t="n">
        <v>12312</v>
      </c>
      <c r="L30" s="28" t="n">
        <v>12960</v>
      </c>
      <c r="M30" s="28" t="n">
        <v>13608</v>
      </c>
      <c r="N30" s="28" t="n">
        <v>14256</v>
      </c>
      <c r="O30" s="28" t="n">
        <v>14903</v>
      </c>
      <c r="P30" s="28" t="n">
        <v>14256</v>
      </c>
      <c r="Q30" s="28" t="n">
        <v>13608</v>
      </c>
      <c r="R30" s="28" t="n">
        <v>12960</v>
      </c>
      <c r="S30" s="28" t="n">
        <v>12312</v>
      </c>
      <c r="T30" s="28" t="n">
        <v>11664</v>
      </c>
      <c r="U30" s="29">
        <f>SUM(I30:T30)</f>
        <v/>
      </c>
    </row>
    <row r="31">
      <c r="A31" s="27" t="inlineStr">
        <is>
          <t>BUDGET_2024</t>
        </is>
      </c>
      <c r="B31" s="27" t="inlineStr">
        <is>
          <t>AMUS</t>
        </is>
      </c>
      <c r="C31" s="27" t="inlineStr">
        <is>
          <t>USD</t>
        </is>
      </c>
      <c r="D31" s="27" t="inlineStr">
        <is>
          <t>6060</t>
        </is>
      </c>
      <c r="E31" s="27" t="inlineStr">
        <is>
          <t>Utilities</t>
        </is>
      </c>
      <c r="F31" s="27" t="inlineStr">
        <is>
          <t>OpEx</t>
        </is>
      </c>
      <c r="G31" s="27" t="inlineStr">
        <is>
          <t>SALES</t>
        </is>
      </c>
      <c r="H31" s="27" t="inlineStr">
        <is>
          <t>SALES</t>
        </is>
      </c>
      <c r="I31" s="28" t="n">
        <v>11016</v>
      </c>
      <c r="J31" s="28" t="n">
        <v>11664</v>
      </c>
      <c r="K31" s="28" t="n">
        <v>12312</v>
      </c>
      <c r="L31" s="28" t="n">
        <v>12960</v>
      </c>
      <c r="M31" s="28" t="n">
        <v>13608</v>
      </c>
      <c r="N31" s="28" t="n">
        <v>14256</v>
      </c>
      <c r="O31" s="28" t="n">
        <v>14903</v>
      </c>
      <c r="P31" s="28" t="n">
        <v>14256</v>
      </c>
      <c r="Q31" s="28" t="n">
        <v>13608</v>
      </c>
      <c r="R31" s="28" t="n">
        <v>12960</v>
      </c>
      <c r="S31" s="28" t="n">
        <v>12312</v>
      </c>
      <c r="T31" s="28" t="n">
        <v>11664</v>
      </c>
      <c r="U31" s="29">
        <f>SUM(I31:T31)</f>
        <v/>
      </c>
    </row>
    <row r="32">
      <c r="E32" s="4" t="inlineStr">
        <is>
          <t>Net Income</t>
        </is>
      </c>
      <c r="I32" s="29">
        <f>SUM(I23:I31)</f>
        <v/>
      </c>
      <c r="J32" s="29">
        <f>SUM(J23:J31)</f>
        <v/>
      </c>
      <c r="K32" s="29">
        <f>SUM(K23:K31)</f>
        <v/>
      </c>
      <c r="L32" s="29">
        <f>SUM(L23:L31)</f>
        <v/>
      </c>
      <c r="M32" s="29">
        <f>SUM(M23:M31)</f>
        <v/>
      </c>
      <c r="N32" s="29">
        <f>SUM(N23:N31)</f>
        <v/>
      </c>
      <c r="O32" s="29">
        <f>SUM(O23:O31)</f>
        <v/>
      </c>
      <c r="P32" s="29">
        <f>SUM(P23:P31)</f>
        <v/>
      </c>
      <c r="Q32" s="29">
        <f>SUM(Q23:Q31)</f>
        <v/>
      </c>
      <c r="R32" s="29">
        <f>SUM(R23:R31)</f>
        <v/>
      </c>
      <c r="S32" s="29">
        <f>SUM(S23:S31)</f>
        <v/>
      </c>
      <c r="T32" s="29">
        <f>SUM(T23:T31)</f>
        <v/>
      </c>
      <c r="U32" s="29">
        <f>SUM(U23:U31)</f>
        <v/>
      </c>
    </row>
    <row r="34">
      <c r="A34" s="24" t="inlineStr">
        <is>
          <t>AMDE</t>
        </is>
      </c>
      <c r="B34" s="24" t="inlineStr">
        <is>
          <t>Alpine Manufacturing DE</t>
        </is>
      </c>
      <c r="C34" s="24" t="inlineStr">
        <is>
          <t>EUR</t>
        </is>
      </c>
      <c r="D34" s="24" t="n"/>
      <c r="E34" s="25" t="n"/>
      <c r="F34" s="25" t="n"/>
      <c r="G34" s="25" t="n"/>
      <c r="H34" s="25" t="n"/>
      <c r="I34" s="25" t="n"/>
      <c r="J34" s="25" t="n"/>
      <c r="K34" s="25" t="n"/>
      <c r="L34" s="25" t="n"/>
      <c r="M34" s="25" t="n"/>
      <c r="N34" s="25" t="n"/>
      <c r="O34" s="25" t="n"/>
      <c r="P34" s="25" t="n"/>
      <c r="Q34" s="25" t="n"/>
      <c r="R34" s="25" t="n"/>
      <c r="S34" s="25" t="n"/>
      <c r="T34" s="26" t="n"/>
      <c r="U34" s="24" t="n"/>
    </row>
    <row r="35">
      <c r="A35" s="27" t="inlineStr">
        <is>
          <t>BUDGET_2024</t>
        </is>
      </c>
      <c r="B35" s="27" t="inlineStr">
        <is>
          <t>AMDE</t>
        </is>
      </c>
      <c r="C35" s="27" t="inlineStr">
        <is>
          <t>EUR</t>
        </is>
      </c>
      <c r="D35" s="27" t="inlineStr">
        <is>
          <t>4010</t>
        </is>
      </c>
      <c r="E35" s="27" t="inlineStr">
        <is>
          <t>Product Revenue</t>
        </is>
      </c>
      <c r="F35" s="27" t="inlineStr">
        <is>
          <t>Revenue</t>
        </is>
      </c>
      <c r="G35" s="27" t="inlineStr">
        <is>
          <t>PROD</t>
        </is>
      </c>
      <c r="H35" s="27" t="inlineStr">
        <is>
          <t>OPS</t>
        </is>
      </c>
      <c r="I35" s="28" t="n">
        <v>-550800</v>
      </c>
      <c r="J35" s="28" t="n">
        <v>-583200</v>
      </c>
      <c r="K35" s="28" t="n">
        <v>-615600</v>
      </c>
      <c r="L35" s="28" t="n">
        <v>-648000</v>
      </c>
      <c r="M35" s="28" t="n">
        <v>-680400</v>
      </c>
      <c r="N35" s="28" t="n">
        <v>-712800</v>
      </c>
      <c r="O35" s="28" t="n">
        <v>-745200</v>
      </c>
      <c r="P35" s="28" t="n">
        <v>-712800</v>
      </c>
      <c r="Q35" s="28" t="n">
        <v>-680400</v>
      </c>
      <c r="R35" s="28" t="n">
        <v>-648000</v>
      </c>
      <c r="S35" s="28" t="n">
        <v>-615600</v>
      </c>
      <c r="T35" s="28" t="n">
        <v>-583200</v>
      </c>
      <c r="U35" s="29">
        <f>SUM(I35:T35)</f>
        <v/>
      </c>
    </row>
    <row r="36">
      <c r="A36" s="27" t="inlineStr">
        <is>
          <t>BUDGET_2024</t>
        </is>
      </c>
      <c r="B36" s="27" t="inlineStr">
        <is>
          <t>AMDE</t>
        </is>
      </c>
      <c r="C36" s="27" t="inlineStr">
        <is>
          <t>EUR</t>
        </is>
      </c>
      <c r="D36" s="27" t="inlineStr">
        <is>
          <t>4020</t>
        </is>
      </c>
      <c r="E36" s="27" t="inlineStr">
        <is>
          <t>Service Revenue</t>
        </is>
      </c>
      <c r="F36" s="27" t="inlineStr">
        <is>
          <t>Revenue</t>
        </is>
      </c>
      <c r="G36" s="27" t="inlineStr">
        <is>
          <t>PROD</t>
        </is>
      </c>
      <c r="H36" s="27" t="inlineStr">
        <is>
          <t>OPS</t>
        </is>
      </c>
      <c r="I36" s="28" t="n">
        <v>-66096</v>
      </c>
      <c r="J36" s="28" t="n">
        <v>-69984</v>
      </c>
      <c r="K36" s="28" t="n">
        <v>-73872</v>
      </c>
      <c r="L36" s="28" t="n">
        <v>-77760</v>
      </c>
      <c r="M36" s="28" t="n">
        <v>-81648</v>
      </c>
      <c r="N36" s="28" t="n">
        <v>-85536</v>
      </c>
      <c r="O36" s="28" t="n">
        <v>-89424</v>
      </c>
      <c r="P36" s="28" t="n">
        <v>-85536</v>
      </c>
      <c r="Q36" s="28" t="n">
        <v>-81648</v>
      </c>
      <c r="R36" s="28" t="n">
        <v>-77760</v>
      </c>
      <c r="S36" s="28" t="n">
        <v>-73872</v>
      </c>
      <c r="T36" s="28" t="n">
        <v>-69984</v>
      </c>
      <c r="U36" s="29">
        <f>SUM(I36:T36)</f>
        <v/>
      </c>
    </row>
    <row r="37">
      <c r="A37" s="27" t="inlineStr">
        <is>
          <t>BUDGET_2024</t>
        </is>
      </c>
      <c r="B37" s="27" t="inlineStr">
        <is>
          <t>AMDE</t>
        </is>
      </c>
      <c r="C37" s="27" t="inlineStr">
        <is>
          <t>EUR</t>
        </is>
      </c>
      <c r="D37" s="27" t="inlineStr">
        <is>
          <t>5010</t>
        </is>
      </c>
      <c r="E37" s="27" t="inlineStr">
        <is>
          <t>Cost of Goods Sold</t>
        </is>
      </c>
      <c r="F37" s="27" t="inlineStr">
        <is>
          <t>COGS</t>
        </is>
      </c>
      <c r="G37" s="27" t="inlineStr">
        <is>
          <t>PROD</t>
        </is>
      </c>
      <c r="H37" s="27" t="inlineStr">
        <is>
          <t>OPS</t>
        </is>
      </c>
      <c r="I37" s="28" t="n">
        <v>220320</v>
      </c>
      <c r="J37" s="28" t="n">
        <v>233280</v>
      </c>
      <c r="K37" s="28" t="n">
        <v>246240</v>
      </c>
      <c r="L37" s="28" t="n">
        <v>259200</v>
      </c>
      <c r="M37" s="28" t="n">
        <v>272160</v>
      </c>
      <c r="N37" s="28" t="n">
        <v>285120</v>
      </c>
      <c r="O37" s="28" t="n">
        <v>298080</v>
      </c>
      <c r="P37" s="28" t="n">
        <v>285120</v>
      </c>
      <c r="Q37" s="28" t="n">
        <v>272160</v>
      </c>
      <c r="R37" s="28" t="n">
        <v>259200</v>
      </c>
      <c r="S37" s="28" t="n">
        <v>246240</v>
      </c>
      <c r="T37" s="28" t="n">
        <v>233280</v>
      </c>
      <c r="U37" s="29">
        <f>SUM(I37:T37)</f>
        <v/>
      </c>
    </row>
    <row r="38">
      <c r="A38" s="27" t="inlineStr">
        <is>
          <t>BUDGET_2024</t>
        </is>
      </c>
      <c r="B38" s="27" t="inlineStr">
        <is>
          <t>AMDE</t>
        </is>
      </c>
      <c r="C38" s="27" t="inlineStr">
        <is>
          <t>EUR</t>
        </is>
      </c>
      <c r="D38" s="27" t="inlineStr">
        <is>
          <t>6010</t>
        </is>
      </c>
      <c r="E38" s="27" t="inlineStr">
        <is>
          <t>Salaries and Wages</t>
        </is>
      </c>
      <c r="F38" s="27" t="inlineStr">
        <is>
          <t>OpEx</t>
        </is>
      </c>
      <c r="G38" s="27" t="inlineStr">
        <is>
          <t>PROD</t>
        </is>
      </c>
      <c r="H38" s="27" t="inlineStr">
        <is>
          <t>OPS</t>
        </is>
      </c>
      <c r="I38" s="28" t="n">
        <v>132192</v>
      </c>
      <c r="J38" s="28" t="n">
        <v>139968</v>
      </c>
      <c r="K38" s="28" t="n">
        <v>147744</v>
      </c>
      <c r="L38" s="28" t="n">
        <v>155520</v>
      </c>
      <c r="M38" s="28" t="n">
        <v>163296</v>
      </c>
      <c r="N38" s="28" t="n">
        <v>171072</v>
      </c>
      <c r="O38" s="28" t="n">
        <v>178848</v>
      </c>
      <c r="P38" s="28" t="n">
        <v>171072</v>
      </c>
      <c r="Q38" s="28" t="n">
        <v>163296</v>
      </c>
      <c r="R38" s="28" t="n">
        <v>155520</v>
      </c>
      <c r="S38" s="28" t="n">
        <v>147744</v>
      </c>
      <c r="T38" s="28" t="n">
        <v>139968</v>
      </c>
      <c r="U38" s="29">
        <f>SUM(I38:T38)</f>
        <v/>
      </c>
    </row>
    <row r="39">
      <c r="A39" s="27" t="inlineStr">
        <is>
          <t>BUDGET_2024</t>
        </is>
      </c>
      <c r="B39" s="27" t="inlineStr">
        <is>
          <t>AMDE</t>
        </is>
      </c>
      <c r="C39" s="27" t="inlineStr">
        <is>
          <t>EUR</t>
        </is>
      </c>
      <c r="D39" s="27" t="inlineStr">
        <is>
          <t>6020</t>
        </is>
      </c>
      <c r="E39" s="27" t="inlineStr">
        <is>
          <t>Rent Expense</t>
        </is>
      </c>
      <c r="F39" s="27" t="inlineStr">
        <is>
          <t>OpEx</t>
        </is>
      </c>
      <c r="G39" s="27" t="inlineStr">
        <is>
          <t>PROD</t>
        </is>
      </c>
      <c r="H39" s="27" t="inlineStr">
        <is>
          <t>OPS</t>
        </is>
      </c>
      <c r="I39" s="28" t="n">
        <v>22032</v>
      </c>
      <c r="J39" s="28" t="n">
        <v>23328</v>
      </c>
      <c r="K39" s="28" t="n">
        <v>24624</v>
      </c>
      <c r="L39" s="28" t="n">
        <v>25920</v>
      </c>
      <c r="M39" s="28" t="n">
        <v>27216</v>
      </c>
      <c r="N39" s="28" t="n">
        <v>28512</v>
      </c>
      <c r="O39" s="28" t="n">
        <v>29808</v>
      </c>
      <c r="P39" s="28" t="n">
        <v>28512</v>
      </c>
      <c r="Q39" s="28" t="n">
        <v>27216</v>
      </c>
      <c r="R39" s="28" t="n">
        <v>25920</v>
      </c>
      <c r="S39" s="28" t="n">
        <v>24624</v>
      </c>
      <c r="T39" s="28" t="n">
        <v>23328</v>
      </c>
      <c r="U39" s="29">
        <f>SUM(I39:T39)</f>
        <v/>
      </c>
    </row>
    <row r="40">
      <c r="A40" s="27" t="inlineStr">
        <is>
          <t>BUDGET_2024</t>
        </is>
      </c>
      <c r="B40" s="27" t="inlineStr">
        <is>
          <t>AMDE</t>
        </is>
      </c>
      <c r="C40" s="27" t="inlineStr">
        <is>
          <t>EUR</t>
        </is>
      </c>
      <c r="D40" s="27" t="inlineStr">
        <is>
          <t>6030</t>
        </is>
      </c>
      <c r="E40" s="27" t="inlineStr">
        <is>
          <t>Depreciation Expense</t>
        </is>
      </c>
      <c r="F40" s="27" t="inlineStr">
        <is>
          <t>OpEx</t>
        </is>
      </c>
      <c r="G40" s="27" t="inlineStr">
        <is>
          <t>PROD</t>
        </is>
      </c>
      <c r="H40" s="27" t="inlineStr">
        <is>
          <t>OPS</t>
        </is>
      </c>
      <c r="I40" s="28" t="n">
        <v>16524</v>
      </c>
      <c r="J40" s="28" t="n">
        <v>17496</v>
      </c>
      <c r="K40" s="28" t="n">
        <v>18468</v>
      </c>
      <c r="L40" s="28" t="n">
        <v>19440</v>
      </c>
      <c r="M40" s="28" t="n">
        <v>20412</v>
      </c>
      <c r="N40" s="28" t="n">
        <v>21384</v>
      </c>
      <c r="O40" s="28" t="n">
        <v>22356</v>
      </c>
      <c r="P40" s="28" t="n">
        <v>21384</v>
      </c>
      <c r="Q40" s="28" t="n">
        <v>20412</v>
      </c>
      <c r="R40" s="28" t="n">
        <v>19440</v>
      </c>
      <c r="S40" s="28" t="n">
        <v>18468</v>
      </c>
      <c r="T40" s="28" t="n">
        <v>17496</v>
      </c>
      <c r="U40" s="29">
        <f>SUM(I40:T40)</f>
        <v/>
      </c>
    </row>
    <row r="41">
      <c r="A41" s="27" t="inlineStr">
        <is>
          <t>BUDGET_2024</t>
        </is>
      </c>
      <c r="B41" s="27" t="inlineStr">
        <is>
          <t>AMDE</t>
        </is>
      </c>
      <c r="C41" s="27" t="inlineStr">
        <is>
          <t>EUR</t>
        </is>
      </c>
      <c r="D41" s="27" t="inlineStr">
        <is>
          <t>6040</t>
        </is>
      </c>
      <c r="E41" s="27" t="inlineStr">
        <is>
          <t>Marketing Expense</t>
        </is>
      </c>
      <c r="F41" s="27" t="inlineStr">
        <is>
          <t>OpEx</t>
        </is>
      </c>
      <c r="G41" s="27" t="inlineStr">
        <is>
          <t>PROD</t>
        </is>
      </c>
      <c r="H41" s="27" t="inlineStr">
        <is>
          <t>OPS</t>
        </is>
      </c>
      <c r="I41" s="28" t="n">
        <v>16524</v>
      </c>
      <c r="J41" s="28" t="n">
        <v>17496</v>
      </c>
      <c r="K41" s="28" t="n">
        <v>18468</v>
      </c>
      <c r="L41" s="28" t="n">
        <v>19440</v>
      </c>
      <c r="M41" s="28" t="n">
        <v>20412</v>
      </c>
      <c r="N41" s="28" t="n">
        <v>21384</v>
      </c>
      <c r="O41" s="28" t="n">
        <v>22356</v>
      </c>
      <c r="P41" s="28" t="n">
        <v>21384</v>
      </c>
      <c r="Q41" s="28" t="n">
        <v>20412</v>
      </c>
      <c r="R41" s="28" t="n">
        <v>19440</v>
      </c>
      <c r="S41" s="28" t="n">
        <v>18468</v>
      </c>
      <c r="T41" s="28" t="n">
        <v>17496</v>
      </c>
      <c r="U41" s="29">
        <f>SUM(I41:T41)</f>
        <v/>
      </c>
    </row>
    <row r="42">
      <c r="A42" s="27" t="inlineStr">
        <is>
          <t>BUDGET_2024</t>
        </is>
      </c>
      <c r="B42" s="27" t="inlineStr">
        <is>
          <t>AMDE</t>
        </is>
      </c>
      <c r="C42" s="27" t="inlineStr">
        <is>
          <t>EUR</t>
        </is>
      </c>
      <c r="D42" s="27" t="inlineStr">
        <is>
          <t>6050</t>
        </is>
      </c>
      <c r="E42" s="27" t="inlineStr">
        <is>
          <t>Travel Expense</t>
        </is>
      </c>
      <c r="F42" s="27" t="inlineStr">
        <is>
          <t>OpEx</t>
        </is>
      </c>
      <c r="G42" s="27" t="inlineStr">
        <is>
          <t>PROD</t>
        </is>
      </c>
      <c r="H42" s="27" t="inlineStr">
        <is>
          <t>OPS</t>
        </is>
      </c>
      <c r="I42" s="28" t="n">
        <v>8262</v>
      </c>
      <c r="J42" s="28" t="n">
        <v>8748</v>
      </c>
      <c r="K42" s="28" t="n">
        <v>9234</v>
      </c>
      <c r="L42" s="28" t="n">
        <v>9720</v>
      </c>
      <c r="M42" s="28" t="n">
        <v>10206</v>
      </c>
      <c r="N42" s="28" t="n">
        <v>10692</v>
      </c>
      <c r="O42" s="28" t="n">
        <v>11178</v>
      </c>
      <c r="P42" s="28" t="n">
        <v>10692</v>
      </c>
      <c r="Q42" s="28" t="n">
        <v>10206</v>
      </c>
      <c r="R42" s="28" t="n">
        <v>9720</v>
      </c>
      <c r="S42" s="28" t="n">
        <v>9234</v>
      </c>
      <c r="T42" s="28" t="n">
        <v>8748</v>
      </c>
      <c r="U42" s="29">
        <f>SUM(I42:T42)</f>
        <v/>
      </c>
    </row>
    <row r="43">
      <c r="A43" s="27" t="inlineStr">
        <is>
          <t>BUDGET_2024</t>
        </is>
      </c>
      <c r="B43" s="27" t="inlineStr">
        <is>
          <t>AMDE</t>
        </is>
      </c>
      <c r="C43" s="27" t="inlineStr">
        <is>
          <t>EUR</t>
        </is>
      </c>
      <c r="D43" s="27" t="inlineStr">
        <is>
          <t>6060</t>
        </is>
      </c>
      <c r="E43" s="27" t="inlineStr">
        <is>
          <t>Utilities</t>
        </is>
      </c>
      <c r="F43" s="27" t="inlineStr">
        <is>
          <t>OpEx</t>
        </is>
      </c>
      <c r="G43" s="27" t="inlineStr">
        <is>
          <t>PROD</t>
        </is>
      </c>
      <c r="H43" s="27" t="inlineStr">
        <is>
          <t>OPS</t>
        </is>
      </c>
      <c r="I43" s="28" t="n">
        <v>8262</v>
      </c>
      <c r="J43" s="28" t="n">
        <v>8748</v>
      </c>
      <c r="K43" s="28" t="n">
        <v>9234</v>
      </c>
      <c r="L43" s="28" t="n">
        <v>9720</v>
      </c>
      <c r="M43" s="28" t="n">
        <v>10206</v>
      </c>
      <c r="N43" s="28" t="n">
        <v>10692</v>
      </c>
      <c r="O43" s="28" t="n">
        <v>11178</v>
      </c>
      <c r="P43" s="28" t="n">
        <v>10692</v>
      </c>
      <c r="Q43" s="28" t="n">
        <v>10206</v>
      </c>
      <c r="R43" s="28" t="n">
        <v>9720</v>
      </c>
      <c r="S43" s="28" t="n">
        <v>9234</v>
      </c>
      <c r="T43" s="28" t="n">
        <v>8748</v>
      </c>
      <c r="U43" s="29">
        <f>SUM(I43:T43)</f>
        <v/>
      </c>
    </row>
    <row r="44">
      <c r="E44" s="4" t="inlineStr">
        <is>
          <t>Net Income</t>
        </is>
      </c>
      <c r="I44" s="29">
        <f>SUM(I35:I43)</f>
        <v/>
      </c>
      <c r="J44" s="29">
        <f>SUM(J35:J43)</f>
        <v/>
      </c>
      <c r="K44" s="29">
        <f>SUM(K35:K43)</f>
        <v/>
      </c>
      <c r="L44" s="29">
        <f>SUM(L35:L43)</f>
        <v/>
      </c>
      <c r="M44" s="29">
        <f>SUM(M35:M43)</f>
        <v/>
      </c>
      <c r="N44" s="29">
        <f>SUM(N35:N43)</f>
        <v/>
      </c>
      <c r="O44" s="29">
        <f>SUM(O35:O43)</f>
        <v/>
      </c>
      <c r="P44" s="29">
        <f>SUM(P35:P43)</f>
        <v/>
      </c>
      <c r="Q44" s="29">
        <f>SUM(Q35:Q43)</f>
        <v/>
      </c>
      <c r="R44" s="29">
        <f>SUM(R35:R43)</f>
        <v/>
      </c>
      <c r="S44" s="29">
        <f>SUM(S35:S43)</f>
        <v/>
      </c>
      <c r="T44" s="29">
        <f>SUM(T35:T43)</f>
        <v/>
      </c>
      <c r="U44" s="29">
        <f>SUM(U35:U43)</f>
        <v/>
      </c>
    </row>
  </sheetData>
  <mergeCells count="3">
    <mergeCell ref="D34:T34"/>
    <mergeCell ref="D22:T22"/>
    <mergeCell ref="D10:T10"/>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U44"/>
  <sheetViews>
    <sheetView workbookViewId="0">
      <pane xSplit="8" ySplit="9" topLeftCell="I10"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0" customWidth="1" min="3" max="3"/>
    <col width="10" customWidth="1" min="4" max="4"/>
    <col width="22" customWidth="1" min="5" max="5"/>
    <col width="12" customWidth="1" min="6" max="6"/>
    <col width="14" customWidth="1" min="7" max="7"/>
    <col width="14"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4" customWidth="1" min="21" max="21"/>
  </cols>
  <sheetData>
    <row r="1">
      <c r="A1" s="20" t="inlineStr">
        <is>
          <t>Scenario:</t>
        </is>
      </c>
      <c r="B1" s="21" t="inlineStr">
        <is>
          <t>Forecast 2024 - Jan</t>
        </is>
      </c>
    </row>
    <row r="2">
      <c r="A2" s="20" t="inlineStr">
        <is>
          <t>Scenario ID:</t>
        </is>
      </c>
      <c r="B2" s="21" t="inlineStr">
        <is>
          <t>FORECAST_2024F1</t>
        </is>
      </c>
    </row>
    <row r="3">
      <c r="A3" s="20" t="inlineStr">
        <is>
          <t>Type:</t>
        </is>
      </c>
      <c r="B3" s="21" t="inlineStr">
        <is>
          <t>forecast</t>
        </is>
      </c>
    </row>
    <row r="4">
      <c r="A4" s="20" t="inlineStr">
        <is>
          <t>Fiscal Year:</t>
        </is>
      </c>
      <c r="B4" s="21" t="n">
        <v>2024</v>
      </c>
    </row>
    <row r="5">
      <c r="A5" s="20" t="inlineStr">
        <is>
          <t>Layer:</t>
        </is>
      </c>
      <c r="B5" s="21" t="inlineStr">
        <is>
          <t>base</t>
        </is>
      </c>
    </row>
    <row r="7">
      <c r="A7" s="20" t="inlineStr">
        <is>
          <t>Usage:</t>
        </is>
      </c>
      <c r="B7" s="22" t="inlineStr">
        <is>
          <t>Edit white cells, then press Ctrl+Shift+R or F9 to save to server</t>
        </is>
      </c>
    </row>
    <row r="9">
      <c r="A9" s="23" t="inlineStr">
        <is>
          <t>Scenario ID</t>
        </is>
      </c>
      <c r="B9" s="23" t="inlineStr">
        <is>
          <t>Entity</t>
        </is>
      </c>
      <c r="C9" s="23" t="inlineStr">
        <is>
          <t>Currency</t>
        </is>
      </c>
      <c r="D9" s="23" t="inlineStr">
        <is>
          <t>Account</t>
        </is>
      </c>
      <c r="E9" s="23" t="inlineStr">
        <is>
          <t>Account Name</t>
        </is>
      </c>
      <c r="F9" s="23" t="inlineStr">
        <is>
          <t>Category</t>
        </is>
      </c>
      <c r="G9" s="23" t="inlineStr">
        <is>
          <t>Cost Center</t>
        </is>
      </c>
      <c r="H9" s="23" t="inlineStr">
        <is>
          <t>Department</t>
        </is>
      </c>
      <c r="I9" s="23" t="inlineStr">
        <is>
          <t>Jan</t>
        </is>
      </c>
      <c r="J9" s="23" t="inlineStr">
        <is>
          <t>Feb</t>
        </is>
      </c>
      <c r="K9" s="23" t="inlineStr">
        <is>
          <t>Mar</t>
        </is>
      </c>
      <c r="L9" s="23" t="inlineStr">
        <is>
          <t>Apr</t>
        </is>
      </c>
      <c r="M9" s="23" t="inlineStr">
        <is>
          <t>May</t>
        </is>
      </c>
      <c r="N9" s="23" t="inlineStr">
        <is>
          <t>Jun</t>
        </is>
      </c>
      <c r="O9" s="23" t="inlineStr">
        <is>
          <t>Jul</t>
        </is>
      </c>
      <c r="P9" s="23" t="inlineStr">
        <is>
          <t>Aug</t>
        </is>
      </c>
      <c r="Q9" s="23" t="inlineStr">
        <is>
          <t>Sep</t>
        </is>
      </c>
      <c r="R9" s="23" t="inlineStr">
        <is>
          <t>Oct</t>
        </is>
      </c>
      <c r="S9" s="23" t="inlineStr">
        <is>
          <t>Nov</t>
        </is>
      </c>
      <c r="T9" s="23" t="inlineStr">
        <is>
          <t>Dec</t>
        </is>
      </c>
      <c r="U9" s="23" t="inlineStr">
        <is>
          <t>Annual Total</t>
        </is>
      </c>
    </row>
    <row r="10">
      <c r="A10" s="24" t="inlineStr">
        <is>
          <t>AMHQ</t>
        </is>
      </c>
      <c r="B10" s="24" t="inlineStr">
        <is>
          <t>Alpine Manufacturing HQ</t>
        </is>
      </c>
      <c r="C10" s="24" t="inlineStr">
        <is>
          <t>CHF</t>
        </is>
      </c>
      <c r="D10" s="24" t="n"/>
      <c r="E10" s="25" t="n"/>
      <c r="F10" s="25" t="n"/>
      <c r="G10" s="25" t="n"/>
      <c r="H10" s="25" t="n"/>
      <c r="I10" s="25" t="n"/>
      <c r="J10" s="25" t="n"/>
      <c r="K10" s="25" t="n"/>
      <c r="L10" s="25" t="n"/>
      <c r="M10" s="25" t="n"/>
      <c r="N10" s="25" t="n"/>
      <c r="O10" s="25" t="n"/>
      <c r="P10" s="25" t="n"/>
      <c r="Q10" s="25" t="n"/>
      <c r="R10" s="25" t="n"/>
      <c r="S10" s="25" t="n"/>
      <c r="T10" s="26" t="n"/>
      <c r="U10" s="24" t="n"/>
    </row>
    <row r="11">
      <c r="A11" s="27" t="inlineStr">
        <is>
          <t>FORECAST_2024F1</t>
        </is>
      </c>
      <c r="B11" s="27" t="inlineStr">
        <is>
          <t>AMHQ</t>
        </is>
      </c>
      <c r="C11" s="27" t="inlineStr">
        <is>
          <t>CHF</t>
        </is>
      </c>
      <c r="D11" s="27" t="inlineStr">
        <is>
          <t>4010</t>
        </is>
      </c>
      <c r="E11" s="27" t="inlineStr">
        <is>
          <t>Product Revenue</t>
        </is>
      </c>
      <c r="F11" s="27" t="inlineStr">
        <is>
          <t>Revenue</t>
        </is>
      </c>
      <c r="G11" s="27" t="inlineStr">
        <is>
          <t>HQ</t>
        </is>
      </c>
      <c r="H11" s="27" t="inlineStr">
        <is>
          <t>MGMT</t>
        </is>
      </c>
      <c r="I11" s="28" t="n">
        <v>-459000</v>
      </c>
      <c r="J11" s="28" t="n">
        <v>-486000</v>
      </c>
      <c r="K11" s="28" t="n">
        <v>-513000</v>
      </c>
      <c r="L11" s="28" t="n">
        <v>-540000</v>
      </c>
      <c r="M11" s="28" t="n">
        <v>-567000</v>
      </c>
      <c r="N11" s="28" t="n">
        <v>-594000</v>
      </c>
      <c r="O11" s="28" t="n">
        <v>-621000</v>
      </c>
      <c r="P11" s="28" t="n">
        <v>-594000</v>
      </c>
      <c r="Q11" s="28" t="n">
        <v>-567000</v>
      </c>
      <c r="R11" s="28" t="n">
        <v>-540000</v>
      </c>
      <c r="S11" s="28" t="n">
        <v>-513000</v>
      </c>
      <c r="T11" s="28" t="n">
        <v>-486000</v>
      </c>
      <c r="U11" s="29">
        <f>SUM(I11:T11)</f>
        <v/>
      </c>
    </row>
    <row r="12">
      <c r="A12" s="27" t="inlineStr">
        <is>
          <t>FORECAST_2024F1</t>
        </is>
      </c>
      <c r="B12" s="27" t="inlineStr">
        <is>
          <t>AMHQ</t>
        </is>
      </c>
      <c r="C12" s="27" t="inlineStr">
        <is>
          <t>CHF</t>
        </is>
      </c>
      <c r="D12" s="27" t="inlineStr">
        <is>
          <t>4020</t>
        </is>
      </c>
      <c r="E12" s="27" t="inlineStr">
        <is>
          <t>Service Revenue</t>
        </is>
      </c>
      <c r="F12" s="27" t="inlineStr">
        <is>
          <t>Revenue</t>
        </is>
      </c>
      <c r="G12" s="27" t="inlineStr">
        <is>
          <t>HQ</t>
        </is>
      </c>
      <c r="H12" s="27" t="inlineStr">
        <is>
          <t>MGMT</t>
        </is>
      </c>
      <c r="I12" s="28" t="n">
        <v>-55080</v>
      </c>
      <c r="J12" s="28" t="n">
        <v>-58320</v>
      </c>
      <c r="K12" s="28" t="n">
        <v>-61560</v>
      </c>
      <c r="L12" s="28" t="n">
        <v>-64800</v>
      </c>
      <c r="M12" s="28" t="n">
        <v>-68040</v>
      </c>
      <c r="N12" s="28" t="n">
        <v>-71280</v>
      </c>
      <c r="O12" s="28" t="n">
        <v>-74520</v>
      </c>
      <c r="P12" s="28" t="n">
        <v>-71280</v>
      </c>
      <c r="Q12" s="28" t="n">
        <v>-68040</v>
      </c>
      <c r="R12" s="28" t="n">
        <v>-64800</v>
      </c>
      <c r="S12" s="28" t="n">
        <v>-61560</v>
      </c>
      <c r="T12" s="28" t="n">
        <v>-58320</v>
      </c>
      <c r="U12" s="29">
        <f>SUM(I12:T12)</f>
        <v/>
      </c>
    </row>
    <row r="13">
      <c r="A13" s="27" t="inlineStr">
        <is>
          <t>FORECAST_2024F1</t>
        </is>
      </c>
      <c r="B13" s="27" t="inlineStr">
        <is>
          <t>AMHQ</t>
        </is>
      </c>
      <c r="C13" s="27" t="inlineStr">
        <is>
          <t>CHF</t>
        </is>
      </c>
      <c r="D13" s="27" t="inlineStr">
        <is>
          <t>5010</t>
        </is>
      </c>
      <c r="E13" s="27" t="inlineStr">
        <is>
          <t>Cost of Goods Sold</t>
        </is>
      </c>
      <c r="F13" s="27" t="inlineStr">
        <is>
          <t>COGS</t>
        </is>
      </c>
      <c r="G13" s="27" t="inlineStr">
        <is>
          <t>HQ</t>
        </is>
      </c>
      <c r="H13" s="27" t="inlineStr">
        <is>
          <t>MGMT</t>
        </is>
      </c>
      <c r="I13" s="28" t="n">
        <v>183600</v>
      </c>
      <c r="J13" s="28" t="n">
        <v>194400</v>
      </c>
      <c r="K13" s="28" t="n">
        <v>205200</v>
      </c>
      <c r="L13" s="28" t="n">
        <v>216000</v>
      </c>
      <c r="M13" s="28" t="n">
        <v>226800</v>
      </c>
      <c r="N13" s="28" t="n">
        <v>237600</v>
      </c>
      <c r="O13" s="28" t="n">
        <v>248400</v>
      </c>
      <c r="P13" s="28" t="n">
        <v>237600</v>
      </c>
      <c r="Q13" s="28" t="n">
        <v>226800</v>
      </c>
      <c r="R13" s="28" t="n">
        <v>216000</v>
      </c>
      <c r="S13" s="28" t="n">
        <v>205200</v>
      </c>
      <c r="T13" s="28" t="n">
        <v>194400</v>
      </c>
      <c r="U13" s="29">
        <f>SUM(I13:T13)</f>
        <v/>
      </c>
    </row>
    <row r="14">
      <c r="A14" s="27" t="inlineStr">
        <is>
          <t>FORECAST_2024F1</t>
        </is>
      </c>
      <c r="B14" s="27" t="inlineStr">
        <is>
          <t>AMHQ</t>
        </is>
      </c>
      <c r="C14" s="27" t="inlineStr">
        <is>
          <t>CHF</t>
        </is>
      </c>
      <c r="D14" s="27" t="inlineStr">
        <is>
          <t>6010</t>
        </is>
      </c>
      <c r="E14" s="27" t="inlineStr">
        <is>
          <t>Salaries and Wages</t>
        </is>
      </c>
      <c r="F14" s="27" t="inlineStr">
        <is>
          <t>OpEx</t>
        </is>
      </c>
      <c r="G14" s="27" t="inlineStr">
        <is>
          <t>HQ</t>
        </is>
      </c>
      <c r="H14" s="27" t="inlineStr">
        <is>
          <t>MGMT</t>
        </is>
      </c>
      <c r="I14" s="28" t="n">
        <v>110160</v>
      </c>
      <c r="J14" s="28" t="n">
        <v>116640</v>
      </c>
      <c r="K14" s="28" t="n">
        <v>123120</v>
      </c>
      <c r="L14" s="28" t="n">
        <v>129600</v>
      </c>
      <c r="M14" s="28" t="n">
        <v>136080</v>
      </c>
      <c r="N14" s="28" t="n">
        <v>142560</v>
      </c>
      <c r="O14" s="28" t="n">
        <v>149040</v>
      </c>
      <c r="P14" s="28" t="n">
        <v>142560</v>
      </c>
      <c r="Q14" s="28" t="n">
        <v>136080</v>
      </c>
      <c r="R14" s="28" t="n">
        <v>129600</v>
      </c>
      <c r="S14" s="28" t="n">
        <v>123120</v>
      </c>
      <c r="T14" s="28" t="n">
        <v>116640</v>
      </c>
      <c r="U14" s="29">
        <f>SUM(I14:T14)</f>
        <v/>
      </c>
    </row>
    <row r="15">
      <c r="A15" s="27" t="inlineStr">
        <is>
          <t>FORECAST_2024F1</t>
        </is>
      </c>
      <c r="B15" s="27" t="inlineStr">
        <is>
          <t>AMHQ</t>
        </is>
      </c>
      <c r="C15" s="27" t="inlineStr">
        <is>
          <t>CHF</t>
        </is>
      </c>
      <c r="D15" s="27" t="inlineStr">
        <is>
          <t>6020</t>
        </is>
      </c>
      <c r="E15" s="27" t="inlineStr">
        <is>
          <t>Rent Expense</t>
        </is>
      </c>
      <c r="F15" s="27" t="inlineStr">
        <is>
          <t>OpEx</t>
        </is>
      </c>
      <c r="G15" s="27" t="inlineStr">
        <is>
          <t>HQ</t>
        </is>
      </c>
      <c r="H15" s="27" t="inlineStr">
        <is>
          <t>MGMT</t>
        </is>
      </c>
      <c r="I15" s="28" t="n">
        <v>18360</v>
      </c>
      <c r="J15" s="28" t="n">
        <v>19440</v>
      </c>
      <c r="K15" s="28" t="n">
        <v>20520</v>
      </c>
      <c r="L15" s="28" t="n">
        <v>21600</v>
      </c>
      <c r="M15" s="28" t="n">
        <v>22680</v>
      </c>
      <c r="N15" s="28" t="n">
        <v>23760</v>
      </c>
      <c r="O15" s="28" t="n">
        <v>24840</v>
      </c>
      <c r="P15" s="28" t="n">
        <v>23760</v>
      </c>
      <c r="Q15" s="28" t="n">
        <v>22680</v>
      </c>
      <c r="R15" s="28" t="n">
        <v>21600</v>
      </c>
      <c r="S15" s="28" t="n">
        <v>20520</v>
      </c>
      <c r="T15" s="28" t="n">
        <v>19440</v>
      </c>
      <c r="U15" s="29">
        <f>SUM(I15:T15)</f>
        <v/>
      </c>
    </row>
    <row r="16">
      <c r="A16" s="27" t="inlineStr">
        <is>
          <t>FORECAST_2024F1</t>
        </is>
      </c>
      <c r="B16" s="27" t="inlineStr">
        <is>
          <t>AMHQ</t>
        </is>
      </c>
      <c r="C16" s="27" t="inlineStr">
        <is>
          <t>CHF</t>
        </is>
      </c>
      <c r="D16" s="27" t="inlineStr">
        <is>
          <t>6030</t>
        </is>
      </c>
      <c r="E16" s="27" t="inlineStr">
        <is>
          <t>Depreciation Expense</t>
        </is>
      </c>
      <c r="F16" s="27" t="inlineStr">
        <is>
          <t>OpEx</t>
        </is>
      </c>
      <c r="G16" s="27" t="inlineStr">
        <is>
          <t>HQ</t>
        </is>
      </c>
      <c r="H16" s="27" t="inlineStr">
        <is>
          <t>MGMT</t>
        </is>
      </c>
      <c r="I16" s="28" t="n">
        <v>13770</v>
      </c>
      <c r="J16" s="28" t="n">
        <v>14580</v>
      </c>
      <c r="K16" s="28" t="n">
        <v>15390</v>
      </c>
      <c r="L16" s="28" t="n">
        <v>16200</v>
      </c>
      <c r="M16" s="28" t="n">
        <v>17010</v>
      </c>
      <c r="N16" s="28" t="n">
        <v>17820</v>
      </c>
      <c r="O16" s="28" t="n">
        <v>18630</v>
      </c>
      <c r="P16" s="28" t="n">
        <v>17820</v>
      </c>
      <c r="Q16" s="28" t="n">
        <v>17010</v>
      </c>
      <c r="R16" s="28" t="n">
        <v>16200</v>
      </c>
      <c r="S16" s="28" t="n">
        <v>15390</v>
      </c>
      <c r="T16" s="28" t="n">
        <v>14580</v>
      </c>
      <c r="U16" s="29">
        <f>SUM(I16:T16)</f>
        <v/>
      </c>
    </row>
    <row r="17">
      <c r="A17" s="27" t="inlineStr">
        <is>
          <t>FORECAST_2024F1</t>
        </is>
      </c>
      <c r="B17" s="27" t="inlineStr">
        <is>
          <t>AMHQ</t>
        </is>
      </c>
      <c r="C17" s="27" t="inlineStr">
        <is>
          <t>CHF</t>
        </is>
      </c>
      <c r="D17" s="27" t="inlineStr">
        <is>
          <t>6040</t>
        </is>
      </c>
      <c r="E17" s="27" t="inlineStr">
        <is>
          <t>Marketing Expense</t>
        </is>
      </c>
      <c r="F17" s="27" t="inlineStr">
        <is>
          <t>OpEx</t>
        </is>
      </c>
      <c r="G17" s="27" t="inlineStr">
        <is>
          <t>HQ</t>
        </is>
      </c>
      <c r="H17" s="27" t="inlineStr">
        <is>
          <t>MGMT</t>
        </is>
      </c>
      <c r="I17" s="28" t="n">
        <v>13770</v>
      </c>
      <c r="J17" s="28" t="n">
        <v>14580</v>
      </c>
      <c r="K17" s="28" t="n">
        <v>15390</v>
      </c>
      <c r="L17" s="28" t="n">
        <v>16200</v>
      </c>
      <c r="M17" s="28" t="n">
        <v>17010</v>
      </c>
      <c r="N17" s="28" t="n">
        <v>17820</v>
      </c>
      <c r="O17" s="28" t="n">
        <v>18630</v>
      </c>
      <c r="P17" s="28" t="n">
        <v>17820</v>
      </c>
      <c r="Q17" s="28" t="n">
        <v>17010</v>
      </c>
      <c r="R17" s="28" t="n">
        <v>16200</v>
      </c>
      <c r="S17" s="28" t="n">
        <v>15390</v>
      </c>
      <c r="T17" s="28" t="n">
        <v>14580</v>
      </c>
      <c r="U17" s="29">
        <f>SUM(I17:T17)</f>
        <v/>
      </c>
    </row>
    <row r="18">
      <c r="A18" s="27" t="inlineStr">
        <is>
          <t>FORECAST_2024F1</t>
        </is>
      </c>
      <c r="B18" s="27" t="inlineStr">
        <is>
          <t>AMHQ</t>
        </is>
      </c>
      <c r="C18" s="27" t="inlineStr">
        <is>
          <t>CHF</t>
        </is>
      </c>
      <c r="D18" s="27" t="inlineStr">
        <is>
          <t>6050</t>
        </is>
      </c>
      <c r="E18" s="27" t="inlineStr">
        <is>
          <t>Travel Expense</t>
        </is>
      </c>
      <c r="F18" s="27" t="inlineStr">
        <is>
          <t>OpEx</t>
        </is>
      </c>
      <c r="G18" s="27" t="inlineStr">
        <is>
          <t>HQ</t>
        </is>
      </c>
      <c r="H18" s="27" t="inlineStr">
        <is>
          <t>MGMT</t>
        </is>
      </c>
      <c r="I18" s="28" t="n">
        <v>6885</v>
      </c>
      <c r="J18" s="28" t="n">
        <v>7290</v>
      </c>
      <c r="K18" s="28" t="n">
        <v>7695</v>
      </c>
      <c r="L18" s="28" t="n">
        <v>8100</v>
      </c>
      <c r="M18" s="28" t="n">
        <v>8505</v>
      </c>
      <c r="N18" s="28" t="n">
        <v>8910</v>
      </c>
      <c r="O18" s="28" t="n">
        <v>9315</v>
      </c>
      <c r="P18" s="28" t="n">
        <v>8910</v>
      </c>
      <c r="Q18" s="28" t="n">
        <v>8505</v>
      </c>
      <c r="R18" s="28" t="n">
        <v>8100</v>
      </c>
      <c r="S18" s="28" t="n">
        <v>7695</v>
      </c>
      <c r="T18" s="28" t="n">
        <v>7290</v>
      </c>
      <c r="U18" s="29">
        <f>SUM(I18:T18)</f>
        <v/>
      </c>
    </row>
    <row r="19">
      <c r="A19" s="27" t="inlineStr">
        <is>
          <t>FORECAST_2024F1</t>
        </is>
      </c>
      <c r="B19" s="27" t="inlineStr">
        <is>
          <t>AMHQ</t>
        </is>
      </c>
      <c r="C19" s="27" t="inlineStr">
        <is>
          <t>CHF</t>
        </is>
      </c>
      <c r="D19" s="27" t="inlineStr">
        <is>
          <t>6060</t>
        </is>
      </c>
      <c r="E19" s="27" t="inlineStr">
        <is>
          <t>Utilities</t>
        </is>
      </c>
      <c r="F19" s="27" t="inlineStr">
        <is>
          <t>OpEx</t>
        </is>
      </c>
      <c r="G19" s="27" t="inlineStr">
        <is>
          <t>HQ</t>
        </is>
      </c>
      <c r="H19" s="27" t="inlineStr">
        <is>
          <t>MGMT</t>
        </is>
      </c>
      <c r="I19" s="28" t="n">
        <v>6885</v>
      </c>
      <c r="J19" s="28" t="n">
        <v>7290</v>
      </c>
      <c r="K19" s="28" t="n">
        <v>7695</v>
      </c>
      <c r="L19" s="28" t="n">
        <v>8100</v>
      </c>
      <c r="M19" s="28" t="n">
        <v>8505</v>
      </c>
      <c r="N19" s="28" t="n">
        <v>8910</v>
      </c>
      <c r="O19" s="28" t="n">
        <v>9315</v>
      </c>
      <c r="P19" s="28" t="n">
        <v>8910</v>
      </c>
      <c r="Q19" s="28" t="n">
        <v>8505</v>
      </c>
      <c r="R19" s="28" t="n">
        <v>8100</v>
      </c>
      <c r="S19" s="28" t="n">
        <v>7695</v>
      </c>
      <c r="T19" s="28" t="n">
        <v>7290</v>
      </c>
      <c r="U19" s="29">
        <f>SUM(I19:T19)</f>
        <v/>
      </c>
    </row>
    <row r="20">
      <c r="E20" s="4" t="inlineStr">
        <is>
          <t>Net Income</t>
        </is>
      </c>
      <c r="I20" s="29">
        <f>SUM(I11:I19)</f>
        <v/>
      </c>
      <c r="J20" s="29">
        <f>SUM(J11:J19)</f>
        <v/>
      </c>
      <c r="K20" s="29">
        <f>SUM(K11:K19)</f>
        <v/>
      </c>
      <c r="L20" s="29">
        <f>SUM(L11:L19)</f>
        <v/>
      </c>
      <c r="M20" s="29">
        <f>SUM(M11:M19)</f>
        <v/>
      </c>
      <c r="N20" s="29">
        <f>SUM(N11:N19)</f>
        <v/>
      </c>
      <c r="O20" s="29">
        <f>SUM(O11:O19)</f>
        <v/>
      </c>
      <c r="P20" s="29">
        <f>SUM(P11:P19)</f>
        <v/>
      </c>
      <c r="Q20" s="29">
        <f>SUM(Q11:Q19)</f>
        <v/>
      </c>
      <c r="R20" s="29">
        <f>SUM(R11:R19)</f>
        <v/>
      </c>
      <c r="S20" s="29">
        <f>SUM(S11:S19)</f>
        <v/>
      </c>
      <c r="T20" s="29">
        <f>SUM(T11:T19)</f>
        <v/>
      </c>
      <c r="U20" s="29">
        <f>SUM(U11:U19)</f>
        <v/>
      </c>
    </row>
    <row r="22">
      <c r="A22" s="24" t="inlineStr">
        <is>
          <t>AMUS</t>
        </is>
      </c>
      <c r="B22" s="24" t="inlineStr">
        <is>
          <t>Alpine Manufacturing US</t>
        </is>
      </c>
      <c r="C22" s="24" t="inlineStr">
        <is>
          <t>USD</t>
        </is>
      </c>
      <c r="D22" s="24" t="n"/>
      <c r="E22" s="25" t="n"/>
      <c r="F22" s="25" t="n"/>
      <c r="G22" s="25" t="n"/>
      <c r="H22" s="25" t="n"/>
      <c r="I22" s="25" t="n"/>
      <c r="J22" s="25" t="n"/>
      <c r="K22" s="25" t="n"/>
      <c r="L22" s="25" t="n"/>
      <c r="M22" s="25" t="n"/>
      <c r="N22" s="25" t="n"/>
      <c r="O22" s="25" t="n"/>
      <c r="P22" s="25" t="n"/>
      <c r="Q22" s="25" t="n"/>
      <c r="R22" s="25" t="n"/>
      <c r="S22" s="25" t="n"/>
      <c r="T22" s="26" t="n"/>
      <c r="U22" s="24" t="n"/>
    </row>
    <row r="23">
      <c r="A23" s="27" t="inlineStr">
        <is>
          <t>FORECAST_2024F1</t>
        </is>
      </c>
      <c r="B23" s="27" t="inlineStr">
        <is>
          <t>AMUS</t>
        </is>
      </c>
      <c r="C23" s="27" t="inlineStr">
        <is>
          <t>USD</t>
        </is>
      </c>
      <c r="D23" s="27" t="inlineStr">
        <is>
          <t>4010</t>
        </is>
      </c>
      <c r="E23" s="27" t="inlineStr">
        <is>
          <t>Product Revenue</t>
        </is>
      </c>
      <c r="F23" s="27" t="inlineStr">
        <is>
          <t>Revenue</t>
        </is>
      </c>
      <c r="G23" s="27" t="inlineStr">
        <is>
          <t>SALES</t>
        </is>
      </c>
      <c r="H23" s="27" t="inlineStr">
        <is>
          <t>SALES</t>
        </is>
      </c>
      <c r="I23" s="28" t="n">
        <v>-734400</v>
      </c>
      <c r="J23" s="28" t="n">
        <v>-777600</v>
      </c>
      <c r="K23" s="28" t="n">
        <v>-820800</v>
      </c>
      <c r="L23" s="28" t="n">
        <v>-864000</v>
      </c>
      <c r="M23" s="28" t="n">
        <v>-907200</v>
      </c>
      <c r="N23" s="28" t="n">
        <v>-950400</v>
      </c>
      <c r="O23" s="28" t="n">
        <v>-993599</v>
      </c>
      <c r="P23" s="28" t="n">
        <v>-950400</v>
      </c>
      <c r="Q23" s="28" t="n">
        <v>-907200</v>
      </c>
      <c r="R23" s="28" t="n">
        <v>-864000</v>
      </c>
      <c r="S23" s="28" t="n">
        <v>-820800</v>
      </c>
      <c r="T23" s="28" t="n">
        <v>-777600</v>
      </c>
      <c r="U23" s="29">
        <f>SUM(I23:T23)</f>
        <v/>
      </c>
    </row>
    <row r="24">
      <c r="A24" s="27" t="inlineStr">
        <is>
          <t>FORECAST_2024F1</t>
        </is>
      </c>
      <c r="B24" s="27" t="inlineStr">
        <is>
          <t>AMUS</t>
        </is>
      </c>
      <c r="C24" s="27" t="inlineStr">
        <is>
          <t>USD</t>
        </is>
      </c>
      <c r="D24" s="27" t="inlineStr">
        <is>
          <t>4020</t>
        </is>
      </c>
      <c r="E24" s="27" t="inlineStr">
        <is>
          <t>Service Revenue</t>
        </is>
      </c>
      <c r="F24" s="27" t="inlineStr">
        <is>
          <t>Revenue</t>
        </is>
      </c>
      <c r="G24" s="27" t="inlineStr">
        <is>
          <t>SALES</t>
        </is>
      </c>
      <c r="H24" s="27" t="inlineStr">
        <is>
          <t>SALES</t>
        </is>
      </c>
      <c r="I24" s="28" t="n">
        <v>-88128</v>
      </c>
      <c r="J24" s="28" t="n">
        <v>-93312</v>
      </c>
      <c r="K24" s="28" t="n">
        <v>-98496</v>
      </c>
      <c r="L24" s="28" t="n">
        <v>-103680</v>
      </c>
      <c r="M24" s="28" t="n">
        <v>-108864</v>
      </c>
      <c r="N24" s="28" t="n">
        <v>-114048</v>
      </c>
      <c r="O24" s="28" t="n">
        <v>-119231</v>
      </c>
      <c r="P24" s="28" t="n">
        <v>-114048</v>
      </c>
      <c r="Q24" s="28" t="n">
        <v>-108864</v>
      </c>
      <c r="R24" s="28" t="n">
        <v>-103680</v>
      </c>
      <c r="S24" s="28" t="n">
        <v>-98496</v>
      </c>
      <c r="T24" s="28" t="n">
        <v>-93312</v>
      </c>
      <c r="U24" s="29">
        <f>SUM(I24:T24)</f>
        <v/>
      </c>
    </row>
    <row r="25">
      <c r="A25" s="27" t="inlineStr">
        <is>
          <t>FORECAST_2024F1</t>
        </is>
      </c>
      <c r="B25" s="27" t="inlineStr">
        <is>
          <t>AMUS</t>
        </is>
      </c>
      <c r="C25" s="27" t="inlineStr">
        <is>
          <t>USD</t>
        </is>
      </c>
      <c r="D25" s="27" t="inlineStr">
        <is>
          <t>5010</t>
        </is>
      </c>
      <c r="E25" s="27" t="inlineStr">
        <is>
          <t>Cost of Goods Sold</t>
        </is>
      </c>
      <c r="F25" s="27" t="inlineStr">
        <is>
          <t>COGS</t>
        </is>
      </c>
      <c r="G25" s="27" t="inlineStr">
        <is>
          <t>SALES</t>
        </is>
      </c>
      <c r="H25" s="27" t="inlineStr">
        <is>
          <t>SALES</t>
        </is>
      </c>
      <c r="I25" s="28" t="n">
        <v>293760</v>
      </c>
      <c r="J25" s="28" t="n">
        <v>311040</v>
      </c>
      <c r="K25" s="28" t="n">
        <v>328320</v>
      </c>
      <c r="L25" s="28" t="n">
        <v>345600</v>
      </c>
      <c r="M25" s="28" t="n">
        <v>362880</v>
      </c>
      <c r="N25" s="28" t="n">
        <v>380160</v>
      </c>
      <c r="O25" s="28" t="n">
        <v>397439</v>
      </c>
      <c r="P25" s="28" t="n">
        <v>380160</v>
      </c>
      <c r="Q25" s="28" t="n">
        <v>362880</v>
      </c>
      <c r="R25" s="28" t="n">
        <v>345600</v>
      </c>
      <c r="S25" s="28" t="n">
        <v>328320</v>
      </c>
      <c r="T25" s="28" t="n">
        <v>311040</v>
      </c>
      <c r="U25" s="29">
        <f>SUM(I25:T25)</f>
        <v/>
      </c>
    </row>
    <row r="26">
      <c r="A26" s="27" t="inlineStr">
        <is>
          <t>FORECAST_2024F1</t>
        </is>
      </c>
      <c r="B26" s="27" t="inlineStr">
        <is>
          <t>AMUS</t>
        </is>
      </c>
      <c r="C26" s="27" t="inlineStr">
        <is>
          <t>USD</t>
        </is>
      </c>
      <c r="D26" s="27" t="inlineStr">
        <is>
          <t>6010</t>
        </is>
      </c>
      <c r="E26" s="27" t="inlineStr">
        <is>
          <t>Salaries and Wages</t>
        </is>
      </c>
      <c r="F26" s="27" t="inlineStr">
        <is>
          <t>OpEx</t>
        </is>
      </c>
      <c r="G26" s="27" t="inlineStr">
        <is>
          <t>SALES</t>
        </is>
      </c>
      <c r="H26" s="27" t="inlineStr">
        <is>
          <t>SALES</t>
        </is>
      </c>
      <c r="I26" s="28" t="n">
        <v>176256</v>
      </c>
      <c r="J26" s="28" t="n">
        <v>186624</v>
      </c>
      <c r="K26" s="28" t="n">
        <v>196992</v>
      </c>
      <c r="L26" s="28" t="n">
        <v>207360</v>
      </c>
      <c r="M26" s="28" t="n">
        <v>217728</v>
      </c>
      <c r="N26" s="28" t="n">
        <v>228096</v>
      </c>
      <c r="O26" s="28" t="n">
        <v>238463</v>
      </c>
      <c r="P26" s="28" t="n">
        <v>228096</v>
      </c>
      <c r="Q26" s="28" t="n">
        <v>217728</v>
      </c>
      <c r="R26" s="28" t="n">
        <v>207360</v>
      </c>
      <c r="S26" s="28" t="n">
        <v>196992</v>
      </c>
      <c r="T26" s="28" t="n">
        <v>186624</v>
      </c>
      <c r="U26" s="29">
        <f>SUM(I26:T26)</f>
        <v/>
      </c>
    </row>
    <row r="27">
      <c r="A27" s="27" t="inlineStr">
        <is>
          <t>FORECAST_2024F1</t>
        </is>
      </c>
      <c r="B27" s="27" t="inlineStr">
        <is>
          <t>AMUS</t>
        </is>
      </c>
      <c r="C27" s="27" t="inlineStr">
        <is>
          <t>USD</t>
        </is>
      </c>
      <c r="D27" s="27" t="inlineStr">
        <is>
          <t>6020</t>
        </is>
      </c>
      <c r="E27" s="27" t="inlineStr">
        <is>
          <t>Rent Expense</t>
        </is>
      </c>
      <c r="F27" s="27" t="inlineStr">
        <is>
          <t>OpEx</t>
        </is>
      </c>
      <c r="G27" s="27" t="inlineStr">
        <is>
          <t>SALES</t>
        </is>
      </c>
      <c r="H27" s="27" t="inlineStr">
        <is>
          <t>SALES</t>
        </is>
      </c>
      <c r="I27" s="28" t="n">
        <v>29376</v>
      </c>
      <c r="J27" s="28" t="n">
        <v>31104</v>
      </c>
      <c r="K27" s="28" t="n">
        <v>32832</v>
      </c>
      <c r="L27" s="28" t="n">
        <v>34560</v>
      </c>
      <c r="M27" s="28" t="n">
        <v>36288</v>
      </c>
      <c r="N27" s="28" t="n">
        <v>38016</v>
      </c>
      <c r="O27" s="28" t="n">
        <v>39743</v>
      </c>
      <c r="P27" s="28" t="n">
        <v>38016</v>
      </c>
      <c r="Q27" s="28" t="n">
        <v>36288</v>
      </c>
      <c r="R27" s="28" t="n">
        <v>34560</v>
      </c>
      <c r="S27" s="28" t="n">
        <v>32832</v>
      </c>
      <c r="T27" s="28" t="n">
        <v>31104</v>
      </c>
      <c r="U27" s="29">
        <f>SUM(I27:T27)</f>
        <v/>
      </c>
    </row>
    <row r="28">
      <c r="A28" s="27" t="inlineStr">
        <is>
          <t>FORECAST_2024F1</t>
        </is>
      </c>
      <c r="B28" s="27" t="inlineStr">
        <is>
          <t>AMUS</t>
        </is>
      </c>
      <c r="C28" s="27" t="inlineStr">
        <is>
          <t>USD</t>
        </is>
      </c>
      <c r="D28" s="27" t="inlineStr">
        <is>
          <t>6030</t>
        </is>
      </c>
      <c r="E28" s="27" t="inlineStr">
        <is>
          <t>Depreciation Expense</t>
        </is>
      </c>
      <c r="F28" s="27" t="inlineStr">
        <is>
          <t>OpEx</t>
        </is>
      </c>
      <c r="G28" s="27" t="inlineStr">
        <is>
          <t>SALES</t>
        </is>
      </c>
      <c r="H28" s="27" t="inlineStr">
        <is>
          <t>SALES</t>
        </is>
      </c>
      <c r="I28" s="28" t="n">
        <v>22032</v>
      </c>
      <c r="J28" s="28" t="n">
        <v>23328</v>
      </c>
      <c r="K28" s="28" t="n">
        <v>24624</v>
      </c>
      <c r="L28" s="28" t="n">
        <v>25920</v>
      </c>
      <c r="M28" s="28" t="n">
        <v>27216</v>
      </c>
      <c r="N28" s="28" t="n">
        <v>28512</v>
      </c>
      <c r="O28" s="28" t="n">
        <v>29807</v>
      </c>
      <c r="P28" s="28" t="n">
        <v>28512</v>
      </c>
      <c r="Q28" s="28" t="n">
        <v>27216</v>
      </c>
      <c r="R28" s="28" t="n">
        <v>25920</v>
      </c>
      <c r="S28" s="28" t="n">
        <v>24624</v>
      </c>
      <c r="T28" s="28" t="n">
        <v>23328</v>
      </c>
      <c r="U28" s="29">
        <f>SUM(I28:T28)</f>
        <v/>
      </c>
    </row>
    <row r="29">
      <c r="A29" s="27" t="inlineStr">
        <is>
          <t>FORECAST_2024F1</t>
        </is>
      </c>
      <c r="B29" s="27" t="inlineStr">
        <is>
          <t>AMUS</t>
        </is>
      </c>
      <c r="C29" s="27" t="inlineStr">
        <is>
          <t>USD</t>
        </is>
      </c>
      <c r="D29" s="27" t="inlineStr">
        <is>
          <t>6040</t>
        </is>
      </c>
      <c r="E29" s="27" t="inlineStr">
        <is>
          <t>Marketing Expense</t>
        </is>
      </c>
      <c r="F29" s="27" t="inlineStr">
        <is>
          <t>OpEx</t>
        </is>
      </c>
      <c r="G29" s="27" t="inlineStr">
        <is>
          <t>SALES</t>
        </is>
      </c>
      <c r="H29" s="27" t="inlineStr">
        <is>
          <t>SALES</t>
        </is>
      </c>
      <c r="I29" s="28" t="n">
        <v>22032</v>
      </c>
      <c r="J29" s="28" t="n">
        <v>23328</v>
      </c>
      <c r="K29" s="28" t="n">
        <v>24624</v>
      </c>
      <c r="L29" s="28" t="n">
        <v>25920</v>
      </c>
      <c r="M29" s="28" t="n">
        <v>27216</v>
      </c>
      <c r="N29" s="28" t="n">
        <v>28512</v>
      </c>
      <c r="O29" s="28" t="n">
        <v>29807</v>
      </c>
      <c r="P29" s="28" t="n">
        <v>28512</v>
      </c>
      <c r="Q29" s="28" t="n">
        <v>27216</v>
      </c>
      <c r="R29" s="28" t="n">
        <v>25920</v>
      </c>
      <c r="S29" s="28" t="n">
        <v>24624</v>
      </c>
      <c r="T29" s="28" t="n">
        <v>23328</v>
      </c>
      <c r="U29" s="29">
        <f>SUM(I29:T29)</f>
        <v/>
      </c>
    </row>
    <row r="30">
      <c r="A30" s="27" t="inlineStr">
        <is>
          <t>FORECAST_2024F1</t>
        </is>
      </c>
      <c r="B30" s="27" t="inlineStr">
        <is>
          <t>AMUS</t>
        </is>
      </c>
      <c r="C30" s="27" t="inlineStr">
        <is>
          <t>USD</t>
        </is>
      </c>
      <c r="D30" s="27" t="inlineStr">
        <is>
          <t>6050</t>
        </is>
      </c>
      <c r="E30" s="27" t="inlineStr">
        <is>
          <t>Travel Expense</t>
        </is>
      </c>
      <c r="F30" s="27" t="inlineStr">
        <is>
          <t>OpEx</t>
        </is>
      </c>
      <c r="G30" s="27" t="inlineStr">
        <is>
          <t>SALES</t>
        </is>
      </c>
      <c r="H30" s="27" t="inlineStr">
        <is>
          <t>SALES</t>
        </is>
      </c>
      <c r="I30" s="28" t="n">
        <v>11016</v>
      </c>
      <c r="J30" s="28" t="n">
        <v>11664</v>
      </c>
      <c r="K30" s="28" t="n">
        <v>12312</v>
      </c>
      <c r="L30" s="28" t="n">
        <v>12960</v>
      </c>
      <c r="M30" s="28" t="n">
        <v>13608</v>
      </c>
      <c r="N30" s="28" t="n">
        <v>14256</v>
      </c>
      <c r="O30" s="28" t="n">
        <v>14903</v>
      </c>
      <c r="P30" s="28" t="n">
        <v>14256</v>
      </c>
      <c r="Q30" s="28" t="n">
        <v>13608</v>
      </c>
      <c r="R30" s="28" t="n">
        <v>12960</v>
      </c>
      <c r="S30" s="28" t="n">
        <v>12312</v>
      </c>
      <c r="T30" s="28" t="n">
        <v>11664</v>
      </c>
      <c r="U30" s="29">
        <f>SUM(I30:T30)</f>
        <v/>
      </c>
    </row>
    <row r="31">
      <c r="A31" s="27" t="inlineStr">
        <is>
          <t>FORECAST_2024F1</t>
        </is>
      </c>
      <c r="B31" s="27" t="inlineStr">
        <is>
          <t>AMUS</t>
        </is>
      </c>
      <c r="C31" s="27" t="inlineStr">
        <is>
          <t>USD</t>
        </is>
      </c>
      <c r="D31" s="27" t="inlineStr">
        <is>
          <t>6060</t>
        </is>
      </c>
      <c r="E31" s="27" t="inlineStr">
        <is>
          <t>Utilities</t>
        </is>
      </c>
      <c r="F31" s="27" t="inlineStr">
        <is>
          <t>OpEx</t>
        </is>
      </c>
      <c r="G31" s="27" t="inlineStr">
        <is>
          <t>SALES</t>
        </is>
      </c>
      <c r="H31" s="27" t="inlineStr">
        <is>
          <t>SALES</t>
        </is>
      </c>
      <c r="I31" s="28" t="n">
        <v>11016</v>
      </c>
      <c r="J31" s="28" t="n">
        <v>11664</v>
      </c>
      <c r="K31" s="28" t="n">
        <v>12312</v>
      </c>
      <c r="L31" s="28" t="n">
        <v>12960</v>
      </c>
      <c r="M31" s="28" t="n">
        <v>13608</v>
      </c>
      <c r="N31" s="28" t="n">
        <v>14256</v>
      </c>
      <c r="O31" s="28" t="n">
        <v>14903</v>
      </c>
      <c r="P31" s="28" t="n">
        <v>14256</v>
      </c>
      <c r="Q31" s="28" t="n">
        <v>13608</v>
      </c>
      <c r="R31" s="28" t="n">
        <v>12960</v>
      </c>
      <c r="S31" s="28" t="n">
        <v>12312</v>
      </c>
      <c r="T31" s="28" t="n">
        <v>11664</v>
      </c>
      <c r="U31" s="29">
        <f>SUM(I31:T31)</f>
        <v/>
      </c>
    </row>
    <row r="32">
      <c r="E32" s="4" t="inlineStr">
        <is>
          <t>Net Income</t>
        </is>
      </c>
      <c r="I32" s="29">
        <f>SUM(I23:I31)</f>
        <v/>
      </c>
      <c r="J32" s="29">
        <f>SUM(J23:J31)</f>
        <v/>
      </c>
      <c r="K32" s="29">
        <f>SUM(K23:K31)</f>
        <v/>
      </c>
      <c r="L32" s="29">
        <f>SUM(L23:L31)</f>
        <v/>
      </c>
      <c r="M32" s="29">
        <f>SUM(M23:M31)</f>
        <v/>
      </c>
      <c r="N32" s="29">
        <f>SUM(N23:N31)</f>
        <v/>
      </c>
      <c r="O32" s="29">
        <f>SUM(O23:O31)</f>
        <v/>
      </c>
      <c r="P32" s="29">
        <f>SUM(P23:P31)</f>
        <v/>
      </c>
      <c r="Q32" s="29">
        <f>SUM(Q23:Q31)</f>
        <v/>
      </c>
      <c r="R32" s="29">
        <f>SUM(R23:R31)</f>
        <v/>
      </c>
      <c r="S32" s="29">
        <f>SUM(S23:S31)</f>
        <v/>
      </c>
      <c r="T32" s="29">
        <f>SUM(T23:T31)</f>
        <v/>
      </c>
      <c r="U32" s="29">
        <f>SUM(U23:U31)</f>
        <v/>
      </c>
    </row>
    <row r="34">
      <c r="A34" s="24" t="inlineStr">
        <is>
          <t>AMDE</t>
        </is>
      </c>
      <c r="B34" s="24" t="inlineStr">
        <is>
          <t>Alpine Manufacturing DE</t>
        </is>
      </c>
      <c r="C34" s="24" t="inlineStr">
        <is>
          <t>EUR</t>
        </is>
      </c>
      <c r="D34" s="24" t="n"/>
      <c r="E34" s="25" t="n"/>
      <c r="F34" s="25" t="n"/>
      <c r="G34" s="25" t="n"/>
      <c r="H34" s="25" t="n"/>
      <c r="I34" s="25" t="n"/>
      <c r="J34" s="25" t="n"/>
      <c r="K34" s="25" t="n"/>
      <c r="L34" s="25" t="n"/>
      <c r="M34" s="25" t="n"/>
      <c r="N34" s="25" t="n"/>
      <c r="O34" s="25" t="n"/>
      <c r="P34" s="25" t="n"/>
      <c r="Q34" s="25" t="n"/>
      <c r="R34" s="25" t="n"/>
      <c r="S34" s="25" t="n"/>
      <c r="T34" s="26" t="n"/>
      <c r="U34" s="24" t="n"/>
    </row>
    <row r="35">
      <c r="A35" s="27" t="inlineStr">
        <is>
          <t>FORECAST_2024F1</t>
        </is>
      </c>
      <c r="B35" s="27" t="inlineStr">
        <is>
          <t>AMDE</t>
        </is>
      </c>
      <c r="C35" s="27" t="inlineStr">
        <is>
          <t>EUR</t>
        </is>
      </c>
      <c r="D35" s="27" t="inlineStr">
        <is>
          <t>4010</t>
        </is>
      </c>
      <c r="E35" s="27" t="inlineStr">
        <is>
          <t>Product Revenue</t>
        </is>
      </c>
      <c r="F35" s="27" t="inlineStr">
        <is>
          <t>Revenue</t>
        </is>
      </c>
      <c r="G35" s="27" t="inlineStr">
        <is>
          <t>PROD</t>
        </is>
      </c>
      <c r="H35" s="27" t="inlineStr">
        <is>
          <t>OPS</t>
        </is>
      </c>
      <c r="I35" s="28" t="n">
        <v>-550800</v>
      </c>
      <c r="J35" s="28" t="n">
        <v>-583200</v>
      </c>
      <c r="K35" s="28" t="n">
        <v>-615600</v>
      </c>
      <c r="L35" s="28" t="n">
        <v>-648000</v>
      </c>
      <c r="M35" s="28" t="n">
        <v>-680400</v>
      </c>
      <c r="N35" s="28" t="n">
        <v>-712800</v>
      </c>
      <c r="O35" s="28" t="n">
        <v>-745200</v>
      </c>
      <c r="P35" s="28" t="n">
        <v>-712800</v>
      </c>
      <c r="Q35" s="28" t="n">
        <v>-680400</v>
      </c>
      <c r="R35" s="28" t="n">
        <v>-648000</v>
      </c>
      <c r="S35" s="28" t="n">
        <v>-615600</v>
      </c>
      <c r="T35" s="28" t="n">
        <v>-583200</v>
      </c>
      <c r="U35" s="29">
        <f>SUM(I35:T35)</f>
        <v/>
      </c>
    </row>
    <row r="36">
      <c r="A36" s="27" t="inlineStr">
        <is>
          <t>FORECAST_2024F1</t>
        </is>
      </c>
      <c r="B36" s="27" t="inlineStr">
        <is>
          <t>AMDE</t>
        </is>
      </c>
      <c r="C36" s="27" t="inlineStr">
        <is>
          <t>EUR</t>
        </is>
      </c>
      <c r="D36" s="27" t="inlineStr">
        <is>
          <t>4020</t>
        </is>
      </c>
      <c r="E36" s="27" t="inlineStr">
        <is>
          <t>Service Revenue</t>
        </is>
      </c>
      <c r="F36" s="27" t="inlineStr">
        <is>
          <t>Revenue</t>
        </is>
      </c>
      <c r="G36" s="27" t="inlineStr">
        <is>
          <t>PROD</t>
        </is>
      </c>
      <c r="H36" s="27" t="inlineStr">
        <is>
          <t>OPS</t>
        </is>
      </c>
      <c r="I36" s="28" t="n">
        <v>-66096</v>
      </c>
      <c r="J36" s="28" t="n">
        <v>-69984</v>
      </c>
      <c r="K36" s="28" t="n">
        <v>-73872</v>
      </c>
      <c r="L36" s="28" t="n">
        <v>-77760</v>
      </c>
      <c r="M36" s="28" t="n">
        <v>-81648</v>
      </c>
      <c r="N36" s="28" t="n">
        <v>-85536</v>
      </c>
      <c r="O36" s="28" t="n">
        <v>-89424</v>
      </c>
      <c r="P36" s="28" t="n">
        <v>-85536</v>
      </c>
      <c r="Q36" s="28" t="n">
        <v>-81648</v>
      </c>
      <c r="R36" s="28" t="n">
        <v>-77760</v>
      </c>
      <c r="S36" s="28" t="n">
        <v>-73872</v>
      </c>
      <c r="T36" s="28" t="n">
        <v>-69984</v>
      </c>
      <c r="U36" s="29">
        <f>SUM(I36:T36)</f>
        <v/>
      </c>
    </row>
    <row r="37">
      <c r="A37" s="27" t="inlineStr">
        <is>
          <t>FORECAST_2024F1</t>
        </is>
      </c>
      <c r="B37" s="27" t="inlineStr">
        <is>
          <t>AMDE</t>
        </is>
      </c>
      <c r="C37" s="27" t="inlineStr">
        <is>
          <t>EUR</t>
        </is>
      </c>
      <c r="D37" s="27" t="inlineStr">
        <is>
          <t>5010</t>
        </is>
      </c>
      <c r="E37" s="27" t="inlineStr">
        <is>
          <t>Cost of Goods Sold</t>
        </is>
      </c>
      <c r="F37" s="27" t="inlineStr">
        <is>
          <t>COGS</t>
        </is>
      </c>
      <c r="G37" s="27" t="inlineStr">
        <is>
          <t>PROD</t>
        </is>
      </c>
      <c r="H37" s="27" t="inlineStr">
        <is>
          <t>OPS</t>
        </is>
      </c>
      <c r="I37" s="28" t="n">
        <v>220320</v>
      </c>
      <c r="J37" s="28" t="n">
        <v>233280</v>
      </c>
      <c r="K37" s="28" t="n">
        <v>246240</v>
      </c>
      <c r="L37" s="28" t="n">
        <v>259200</v>
      </c>
      <c r="M37" s="28" t="n">
        <v>272160</v>
      </c>
      <c r="N37" s="28" t="n">
        <v>285120</v>
      </c>
      <c r="O37" s="28" t="n">
        <v>298080</v>
      </c>
      <c r="P37" s="28" t="n">
        <v>285120</v>
      </c>
      <c r="Q37" s="28" t="n">
        <v>272160</v>
      </c>
      <c r="R37" s="28" t="n">
        <v>259200</v>
      </c>
      <c r="S37" s="28" t="n">
        <v>246240</v>
      </c>
      <c r="T37" s="28" t="n">
        <v>233280</v>
      </c>
      <c r="U37" s="29">
        <f>SUM(I37:T37)</f>
        <v/>
      </c>
    </row>
    <row r="38">
      <c r="A38" s="27" t="inlineStr">
        <is>
          <t>FORECAST_2024F1</t>
        </is>
      </c>
      <c r="B38" s="27" t="inlineStr">
        <is>
          <t>AMDE</t>
        </is>
      </c>
      <c r="C38" s="27" t="inlineStr">
        <is>
          <t>EUR</t>
        </is>
      </c>
      <c r="D38" s="27" t="inlineStr">
        <is>
          <t>6010</t>
        </is>
      </c>
      <c r="E38" s="27" t="inlineStr">
        <is>
          <t>Salaries and Wages</t>
        </is>
      </c>
      <c r="F38" s="27" t="inlineStr">
        <is>
          <t>OpEx</t>
        </is>
      </c>
      <c r="G38" s="27" t="inlineStr">
        <is>
          <t>PROD</t>
        </is>
      </c>
      <c r="H38" s="27" t="inlineStr">
        <is>
          <t>OPS</t>
        </is>
      </c>
      <c r="I38" s="28" t="n">
        <v>132192</v>
      </c>
      <c r="J38" s="28" t="n">
        <v>139968</v>
      </c>
      <c r="K38" s="28" t="n">
        <v>147744</v>
      </c>
      <c r="L38" s="28" t="n">
        <v>155520</v>
      </c>
      <c r="M38" s="28" t="n">
        <v>163296</v>
      </c>
      <c r="N38" s="28" t="n">
        <v>171072</v>
      </c>
      <c r="O38" s="28" t="n">
        <v>178848</v>
      </c>
      <c r="P38" s="28" t="n">
        <v>171072</v>
      </c>
      <c r="Q38" s="28" t="n">
        <v>163296</v>
      </c>
      <c r="R38" s="28" t="n">
        <v>155520</v>
      </c>
      <c r="S38" s="28" t="n">
        <v>147744</v>
      </c>
      <c r="T38" s="28" t="n">
        <v>139968</v>
      </c>
      <c r="U38" s="29">
        <f>SUM(I38:T38)</f>
        <v/>
      </c>
    </row>
    <row r="39">
      <c r="A39" s="27" t="inlineStr">
        <is>
          <t>FORECAST_2024F1</t>
        </is>
      </c>
      <c r="B39" s="27" t="inlineStr">
        <is>
          <t>AMDE</t>
        </is>
      </c>
      <c r="C39" s="27" t="inlineStr">
        <is>
          <t>EUR</t>
        </is>
      </c>
      <c r="D39" s="27" t="inlineStr">
        <is>
          <t>6020</t>
        </is>
      </c>
      <c r="E39" s="27" t="inlineStr">
        <is>
          <t>Rent Expense</t>
        </is>
      </c>
      <c r="F39" s="27" t="inlineStr">
        <is>
          <t>OpEx</t>
        </is>
      </c>
      <c r="G39" s="27" t="inlineStr">
        <is>
          <t>PROD</t>
        </is>
      </c>
      <c r="H39" s="27" t="inlineStr">
        <is>
          <t>OPS</t>
        </is>
      </c>
      <c r="I39" s="28" t="n">
        <v>22032</v>
      </c>
      <c r="J39" s="28" t="n">
        <v>23328</v>
      </c>
      <c r="K39" s="28" t="n">
        <v>24624</v>
      </c>
      <c r="L39" s="28" t="n">
        <v>25920</v>
      </c>
      <c r="M39" s="28" t="n">
        <v>27216</v>
      </c>
      <c r="N39" s="28" t="n">
        <v>28512</v>
      </c>
      <c r="O39" s="28" t="n">
        <v>29808</v>
      </c>
      <c r="P39" s="28" t="n">
        <v>28512</v>
      </c>
      <c r="Q39" s="28" t="n">
        <v>27216</v>
      </c>
      <c r="R39" s="28" t="n">
        <v>25920</v>
      </c>
      <c r="S39" s="28" t="n">
        <v>24624</v>
      </c>
      <c r="T39" s="28" t="n">
        <v>23328</v>
      </c>
      <c r="U39" s="29">
        <f>SUM(I39:T39)</f>
        <v/>
      </c>
    </row>
    <row r="40">
      <c r="A40" s="27" t="inlineStr">
        <is>
          <t>FORECAST_2024F1</t>
        </is>
      </c>
      <c r="B40" s="27" t="inlineStr">
        <is>
          <t>AMDE</t>
        </is>
      </c>
      <c r="C40" s="27" t="inlineStr">
        <is>
          <t>EUR</t>
        </is>
      </c>
      <c r="D40" s="27" t="inlineStr">
        <is>
          <t>6030</t>
        </is>
      </c>
      <c r="E40" s="27" t="inlineStr">
        <is>
          <t>Depreciation Expense</t>
        </is>
      </c>
      <c r="F40" s="27" t="inlineStr">
        <is>
          <t>OpEx</t>
        </is>
      </c>
      <c r="G40" s="27" t="inlineStr">
        <is>
          <t>PROD</t>
        </is>
      </c>
      <c r="H40" s="27" t="inlineStr">
        <is>
          <t>OPS</t>
        </is>
      </c>
      <c r="I40" s="28" t="n">
        <v>16524</v>
      </c>
      <c r="J40" s="28" t="n">
        <v>17496</v>
      </c>
      <c r="K40" s="28" t="n">
        <v>18468</v>
      </c>
      <c r="L40" s="28" t="n">
        <v>19440</v>
      </c>
      <c r="M40" s="28" t="n">
        <v>20412</v>
      </c>
      <c r="N40" s="28" t="n">
        <v>21384</v>
      </c>
      <c r="O40" s="28" t="n">
        <v>22356</v>
      </c>
      <c r="P40" s="28" t="n">
        <v>21384</v>
      </c>
      <c r="Q40" s="28" t="n">
        <v>20412</v>
      </c>
      <c r="R40" s="28" t="n">
        <v>19440</v>
      </c>
      <c r="S40" s="28" t="n">
        <v>18468</v>
      </c>
      <c r="T40" s="28" t="n">
        <v>17496</v>
      </c>
      <c r="U40" s="29">
        <f>SUM(I40:T40)</f>
        <v/>
      </c>
    </row>
    <row r="41">
      <c r="A41" s="27" t="inlineStr">
        <is>
          <t>FORECAST_2024F1</t>
        </is>
      </c>
      <c r="B41" s="27" t="inlineStr">
        <is>
          <t>AMDE</t>
        </is>
      </c>
      <c r="C41" s="27" t="inlineStr">
        <is>
          <t>EUR</t>
        </is>
      </c>
      <c r="D41" s="27" t="inlineStr">
        <is>
          <t>6040</t>
        </is>
      </c>
      <c r="E41" s="27" t="inlineStr">
        <is>
          <t>Marketing Expense</t>
        </is>
      </c>
      <c r="F41" s="27" t="inlineStr">
        <is>
          <t>OpEx</t>
        </is>
      </c>
      <c r="G41" s="27" t="inlineStr">
        <is>
          <t>PROD</t>
        </is>
      </c>
      <c r="H41" s="27" t="inlineStr">
        <is>
          <t>OPS</t>
        </is>
      </c>
      <c r="I41" s="28" t="n">
        <v>16524</v>
      </c>
      <c r="J41" s="28" t="n">
        <v>17496</v>
      </c>
      <c r="K41" s="28" t="n">
        <v>18468</v>
      </c>
      <c r="L41" s="28" t="n">
        <v>19440</v>
      </c>
      <c r="M41" s="28" t="n">
        <v>20412</v>
      </c>
      <c r="N41" s="28" t="n">
        <v>21384</v>
      </c>
      <c r="O41" s="28" t="n">
        <v>22356</v>
      </c>
      <c r="P41" s="28" t="n">
        <v>21384</v>
      </c>
      <c r="Q41" s="28" t="n">
        <v>20412</v>
      </c>
      <c r="R41" s="28" t="n">
        <v>19440</v>
      </c>
      <c r="S41" s="28" t="n">
        <v>18468</v>
      </c>
      <c r="T41" s="28" t="n">
        <v>17496</v>
      </c>
      <c r="U41" s="29">
        <f>SUM(I41:T41)</f>
        <v/>
      </c>
    </row>
    <row r="42">
      <c r="A42" s="27" t="inlineStr">
        <is>
          <t>FORECAST_2024F1</t>
        </is>
      </c>
      <c r="B42" s="27" t="inlineStr">
        <is>
          <t>AMDE</t>
        </is>
      </c>
      <c r="C42" s="27" t="inlineStr">
        <is>
          <t>EUR</t>
        </is>
      </c>
      <c r="D42" s="27" t="inlineStr">
        <is>
          <t>6050</t>
        </is>
      </c>
      <c r="E42" s="27" t="inlineStr">
        <is>
          <t>Travel Expense</t>
        </is>
      </c>
      <c r="F42" s="27" t="inlineStr">
        <is>
          <t>OpEx</t>
        </is>
      </c>
      <c r="G42" s="27" t="inlineStr">
        <is>
          <t>PROD</t>
        </is>
      </c>
      <c r="H42" s="27" t="inlineStr">
        <is>
          <t>OPS</t>
        </is>
      </c>
      <c r="I42" s="28" t="n">
        <v>8262</v>
      </c>
      <c r="J42" s="28" t="n">
        <v>8748</v>
      </c>
      <c r="K42" s="28" t="n">
        <v>9234</v>
      </c>
      <c r="L42" s="28" t="n">
        <v>9720</v>
      </c>
      <c r="M42" s="28" t="n">
        <v>10206</v>
      </c>
      <c r="N42" s="28" t="n">
        <v>10692</v>
      </c>
      <c r="O42" s="28" t="n">
        <v>11178</v>
      </c>
      <c r="P42" s="28" t="n">
        <v>10692</v>
      </c>
      <c r="Q42" s="28" t="n">
        <v>10206</v>
      </c>
      <c r="R42" s="28" t="n">
        <v>9720</v>
      </c>
      <c r="S42" s="28" t="n">
        <v>9234</v>
      </c>
      <c r="T42" s="28" t="n">
        <v>8748</v>
      </c>
      <c r="U42" s="29">
        <f>SUM(I42:T42)</f>
        <v/>
      </c>
    </row>
    <row r="43">
      <c r="A43" s="27" t="inlineStr">
        <is>
          <t>FORECAST_2024F1</t>
        </is>
      </c>
      <c r="B43" s="27" t="inlineStr">
        <is>
          <t>AMDE</t>
        </is>
      </c>
      <c r="C43" s="27" t="inlineStr">
        <is>
          <t>EUR</t>
        </is>
      </c>
      <c r="D43" s="27" t="inlineStr">
        <is>
          <t>6060</t>
        </is>
      </c>
      <c r="E43" s="27" t="inlineStr">
        <is>
          <t>Utilities</t>
        </is>
      </c>
      <c r="F43" s="27" t="inlineStr">
        <is>
          <t>OpEx</t>
        </is>
      </c>
      <c r="G43" s="27" t="inlineStr">
        <is>
          <t>PROD</t>
        </is>
      </c>
      <c r="H43" s="27" t="inlineStr">
        <is>
          <t>OPS</t>
        </is>
      </c>
      <c r="I43" s="28" t="n">
        <v>8262</v>
      </c>
      <c r="J43" s="28" t="n">
        <v>8748</v>
      </c>
      <c r="K43" s="28" t="n">
        <v>9234</v>
      </c>
      <c r="L43" s="28" t="n">
        <v>9720</v>
      </c>
      <c r="M43" s="28" t="n">
        <v>10206</v>
      </c>
      <c r="N43" s="28" t="n">
        <v>10692</v>
      </c>
      <c r="O43" s="28" t="n">
        <v>11178</v>
      </c>
      <c r="P43" s="28" t="n">
        <v>10692</v>
      </c>
      <c r="Q43" s="28" t="n">
        <v>10206</v>
      </c>
      <c r="R43" s="28" t="n">
        <v>9720</v>
      </c>
      <c r="S43" s="28" t="n">
        <v>9234</v>
      </c>
      <c r="T43" s="28" t="n">
        <v>8748</v>
      </c>
      <c r="U43" s="29">
        <f>SUM(I43:T43)</f>
        <v/>
      </c>
    </row>
    <row r="44">
      <c r="E44" s="4" t="inlineStr">
        <is>
          <t>Net Income</t>
        </is>
      </c>
      <c r="I44" s="29">
        <f>SUM(I35:I43)</f>
        <v/>
      </c>
      <c r="J44" s="29">
        <f>SUM(J35:J43)</f>
        <v/>
      </c>
      <c r="K44" s="29">
        <f>SUM(K35:K43)</f>
        <v/>
      </c>
      <c r="L44" s="29">
        <f>SUM(L35:L43)</f>
        <v/>
      </c>
      <c r="M44" s="29">
        <f>SUM(M35:M43)</f>
        <v/>
      </c>
      <c r="N44" s="29">
        <f>SUM(N35:N43)</f>
        <v/>
      </c>
      <c r="O44" s="29">
        <f>SUM(O35:O43)</f>
        <v/>
      </c>
      <c r="P44" s="29">
        <f>SUM(P35:P43)</f>
        <v/>
      </c>
      <c r="Q44" s="29">
        <f>SUM(Q35:Q43)</f>
        <v/>
      </c>
      <c r="R44" s="29">
        <f>SUM(R35:R43)</f>
        <v/>
      </c>
      <c r="S44" s="29">
        <f>SUM(S35:S43)</f>
        <v/>
      </c>
      <c r="T44" s="29">
        <f>SUM(T35:T43)</f>
        <v/>
      </c>
      <c r="U44" s="29">
        <f>SUM(U35:U43)</f>
        <v/>
      </c>
    </row>
  </sheetData>
  <mergeCells count="3">
    <mergeCell ref="D34:T34"/>
    <mergeCell ref="D22:T22"/>
    <mergeCell ref="D10:T10"/>
  </mergeCell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44"/>
  <sheetViews>
    <sheetView workbookViewId="0">
      <pane xSplit="8" ySplit="9" topLeftCell="I10"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0" customWidth="1" min="3" max="3"/>
    <col width="10" customWidth="1" min="4" max="4"/>
    <col width="22" customWidth="1" min="5" max="5"/>
    <col width="12" customWidth="1" min="6" max="6"/>
    <col width="14" customWidth="1" min="7" max="7"/>
    <col width="14"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4" customWidth="1" min="21" max="21"/>
  </cols>
  <sheetData>
    <row r="1">
      <c r="A1" s="20" t="inlineStr">
        <is>
          <t>Scenario:</t>
        </is>
      </c>
      <c r="B1" s="21" t="inlineStr">
        <is>
          <t>Forecast 2024 - Feb</t>
        </is>
      </c>
    </row>
    <row r="2">
      <c r="A2" s="20" t="inlineStr">
        <is>
          <t>Scenario ID:</t>
        </is>
      </c>
      <c r="B2" s="21" t="inlineStr">
        <is>
          <t>FORECAST_2024F2</t>
        </is>
      </c>
    </row>
    <row r="3">
      <c r="A3" s="20" t="inlineStr">
        <is>
          <t>Type:</t>
        </is>
      </c>
      <c r="B3" s="21" t="inlineStr">
        <is>
          <t>forecast</t>
        </is>
      </c>
    </row>
    <row r="4">
      <c r="A4" s="20" t="inlineStr">
        <is>
          <t>Fiscal Year:</t>
        </is>
      </c>
      <c r="B4" s="21" t="n">
        <v>2024</v>
      </c>
    </row>
    <row r="5">
      <c r="A5" s="20" t="inlineStr">
        <is>
          <t>Layer:</t>
        </is>
      </c>
      <c r="B5" s="21" t="inlineStr">
        <is>
          <t>base</t>
        </is>
      </c>
    </row>
    <row r="6">
      <c r="A6" s="20" t="inlineStr">
        <is>
          <t>Actual months:</t>
        </is>
      </c>
      <c r="B6" s="30" t="inlineStr">
        <is>
          <t>1-1 (yellow = actuals, white = editable forecast)</t>
        </is>
      </c>
    </row>
    <row r="7">
      <c r="A7" s="20" t="inlineStr">
        <is>
          <t>Usage:</t>
        </is>
      </c>
      <c r="B7" s="22" t="inlineStr">
        <is>
          <t>Edit white cells, then press Ctrl+Shift+R or F9 to save to server</t>
        </is>
      </c>
    </row>
    <row r="9">
      <c r="A9" s="23" t="inlineStr">
        <is>
          <t>Scenario ID</t>
        </is>
      </c>
      <c r="B9" s="23" t="inlineStr">
        <is>
          <t>Entity</t>
        </is>
      </c>
      <c r="C9" s="23" t="inlineStr">
        <is>
          <t>Currency</t>
        </is>
      </c>
      <c r="D9" s="23" t="inlineStr">
        <is>
          <t>Account</t>
        </is>
      </c>
      <c r="E9" s="23" t="inlineStr">
        <is>
          <t>Account Name</t>
        </is>
      </c>
      <c r="F9" s="23" t="inlineStr">
        <is>
          <t>Category</t>
        </is>
      </c>
      <c r="G9" s="23" t="inlineStr">
        <is>
          <t>Cost Center</t>
        </is>
      </c>
      <c r="H9" s="23" t="inlineStr">
        <is>
          <t>Department</t>
        </is>
      </c>
      <c r="I9" s="23" t="inlineStr">
        <is>
          <t>Jan</t>
        </is>
      </c>
      <c r="J9" s="23" t="inlineStr">
        <is>
          <t>Feb</t>
        </is>
      </c>
      <c r="K9" s="23" t="inlineStr">
        <is>
          <t>Mar</t>
        </is>
      </c>
      <c r="L9" s="23" t="inlineStr">
        <is>
          <t>Apr</t>
        </is>
      </c>
      <c r="M9" s="23" t="inlineStr">
        <is>
          <t>May</t>
        </is>
      </c>
      <c r="N9" s="23" t="inlineStr">
        <is>
          <t>Jun</t>
        </is>
      </c>
      <c r="O9" s="23" t="inlineStr">
        <is>
          <t>Jul</t>
        </is>
      </c>
      <c r="P9" s="23" t="inlineStr">
        <is>
          <t>Aug</t>
        </is>
      </c>
      <c r="Q9" s="23" t="inlineStr">
        <is>
          <t>Sep</t>
        </is>
      </c>
      <c r="R9" s="23" t="inlineStr">
        <is>
          <t>Oct</t>
        </is>
      </c>
      <c r="S9" s="23" t="inlineStr">
        <is>
          <t>Nov</t>
        </is>
      </c>
      <c r="T9" s="23" t="inlineStr">
        <is>
          <t>Dec</t>
        </is>
      </c>
      <c r="U9" s="23" t="inlineStr">
        <is>
          <t>Annual Total</t>
        </is>
      </c>
    </row>
    <row r="10">
      <c r="A10" s="24" t="inlineStr">
        <is>
          <t>AMHQ</t>
        </is>
      </c>
      <c r="B10" s="24" t="inlineStr">
        <is>
          <t>Alpine Manufacturing HQ</t>
        </is>
      </c>
      <c r="C10" s="24" t="inlineStr">
        <is>
          <t>CHF</t>
        </is>
      </c>
      <c r="D10" s="24" t="n"/>
      <c r="E10" s="25" t="n"/>
      <c r="F10" s="25" t="n"/>
      <c r="G10" s="25" t="n"/>
      <c r="H10" s="25" t="n"/>
      <c r="I10" s="25" t="n"/>
      <c r="J10" s="25" t="n"/>
      <c r="K10" s="25" t="n"/>
      <c r="L10" s="25" t="n"/>
      <c r="M10" s="25" t="n"/>
      <c r="N10" s="25" t="n"/>
      <c r="O10" s="25" t="n"/>
      <c r="P10" s="25" t="n"/>
      <c r="Q10" s="25" t="n"/>
      <c r="R10" s="25" t="n"/>
      <c r="S10" s="25" t="n"/>
      <c r="T10" s="26" t="n"/>
      <c r="U10" s="24" t="n"/>
    </row>
    <row r="11">
      <c r="A11" s="27" t="inlineStr">
        <is>
          <t>FORECAST_2024F2</t>
        </is>
      </c>
      <c r="B11" s="27" t="inlineStr">
        <is>
          <t>AMHQ</t>
        </is>
      </c>
      <c r="C11" s="27" t="inlineStr">
        <is>
          <t>CHF</t>
        </is>
      </c>
      <c r="D11" s="27" t="inlineStr">
        <is>
          <t>4010</t>
        </is>
      </c>
      <c r="E11" s="27" t="inlineStr">
        <is>
          <t>Product Revenue</t>
        </is>
      </c>
      <c r="F11" s="27" t="inlineStr">
        <is>
          <t>Revenue</t>
        </is>
      </c>
      <c r="G11" s="27" t="inlineStr">
        <is>
          <t>HQ</t>
        </is>
      </c>
      <c r="H11" s="27" t="inlineStr">
        <is>
          <t>MGMT</t>
        </is>
      </c>
      <c r="I11" s="31" t="n">
        <v>-396862</v>
      </c>
      <c r="J11" s="28" t="n">
        <v>-453103</v>
      </c>
      <c r="K11" s="28" t="n">
        <v>-478275</v>
      </c>
      <c r="L11" s="28" t="n">
        <v>-503448</v>
      </c>
      <c r="M11" s="28" t="n">
        <v>-528620</v>
      </c>
      <c r="N11" s="28" t="n">
        <v>-553793</v>
      </c>
      <c r="O11" s="28" t="n">
        <v>-578965</v>
      </c>
      <c r="P11" s="28" t="n">
        <v>-553793</v>
      </c>
      <c r="Q11" s="28" t="n">
        <v>-528620</v>
      </c>
      <c r="R11" s="28" t="n">
        <v>-503448</v>
      </c>
      <c r="S11" s="28" t="n">
        <v>-478275</v>
      </c>
      <c r="T11" s="28" t="n">
        <v>-453103</v>
      </c>
      <c r="U11" s="29">
        <f>SUM(I11:T11)</f>
        <v/>
      </c>
    </row>
    <row r="12">
      <c r="A12" s="27" t="inlineStr">
        <is>
          <t>FORECAST_2024F2</t>
        </is>
      </c>
      <c r="B12" s="27" t="inlineStr">
        <is>
          <t>AMHQ</t>
        </is>
      </c>
      <c r="C12" s="27" t="inlineStr">
        <is>
          <t>CHF</t>
        </is>
      </c>
      <c r="D12" s="27" t="inlineStr">
        <is>
          <t>4020</t>
        </is>
      </c>
      <c r="E12" s="27" t="inlineStr">
        <is>
          <t>Service Revenue</t>
        </is>
      </c>
      <c r="F12" s="27" t="inlineStr">
        <is>
          <t>Revenue</t>
        </is>
      </c>
      <c r="G12" s="27" t="inlineStr">
        <is>
          <t>HQ</t>
        </is>
      </c>
      <c r="H12" s="27" t="inlineStr">
        <is>
          <t>MGMT</t>
        </is>
      </c>
      <c r="I12" s="31" t="n">
        <v>-42370</v>
      </c>
      <c r="J12" s="28" t="n">
        <v>-51591</v>
      </c>
      <c r="K12" s="28" t="n">
        <v>-54457</v>
      </c>
      <c r="L12" s="28" t="n">
        <v>-57323</v>
      </c>
      <c r="M12" s="28" t="n">
        <v>-60189</v>
      </c>
      <c r="N12" s="28" t="n">
        <v>-63055</v>
      </c>
      <c r="O12" s="28" t="n">
        <v>-65922</v>
      </c>
      <c r="P12" s="28" t="n">
        <v>-63055</v>
      </c>
      <c r="Q12" s="28" t="n">
        <v>-60189</v>
      </c>
      <c r="R12" s="28" t="n">
        <v>-57323</v>
      </c>
      <c r="S12" s="28" t="n">
        <v>-54457</v>
      </c>
      <c r="T12" s="28" t="n">
        <v>-51591</v>
      </c>
      <c r="U12" s="29">
        <f>SUM(I12:T12)</f>
        <v/>
      </c>
    </row>
    <row r="13">
      <c r="A13" s="27" t="inlineStr">
        <is>
          <t>FORECAST_2024F2</t>
        </is>
      </c>
      <c r="B13" s="27" t="inlineStr">
        <is>
          <t>AMHQ</t>
        </is>
      </c>
      <c r="C13" s="27" t="inlineStr">
        <is>
          <t>CHF</t>
        </is>
      </c>
      <c r="D13" s="27" t="inlineStr">
        <is>
          <t>5010</t>
        </is>
      </c>
      <c r="E13" s="27" t="inlineStr">
        <is>
          <t>Cost of Goods Sold</t>
        </is>
      </c>
      <c r="F13" s="27" t="inlineStr">
        <is>
          <t>COGS</t>
        </is>
      </c>
      <c r="G13" s="27" t="inlineStr">
        <is>
          <t>HQ</t>
        </is>
      </c>
      <c r="H13" s="27" t="inlineStr">
        <is>
          <t>MGMT</t>
        </is>
      </c>
      <c r="I13" s="31" t="n">
        <v>194419</v>
      </c>
      <c r="J13" s="28" t="n">
        <v>200127</v>
      </c>
      <c r="K13" s="28" t="n">
        <v>211245</v>
      </c>
      <c r="L13" s="28" t="n">
        <v>222364</v>
      </c>
      <c r="M13" s="28" t="n">
        <v>233482</v>
      </c>
      <c r="N13" s="28" t="n">
        <v>244600</v>
      </c>
      <c r="O13" s="28" t="n">
        <v>255718</v>
      </c>
      <c r="P13" s="28" t="n">
        <v>244600</v>
      </c>
      <c r="Q13" s="28" t="n">
        <v>233482</v>
      </c>
      <c r="R13" s="28" t="n">
        <v>222364</v>
      </c>
      <c r="S13" s="28" t="n">
        <v>211245</v>
      </c>
      <c r="T13" s="28" t="n">
        <v>200127</v>
      </c>
      <c r="U13" s="29">
        <f>SUM(I13:T13)</f>
        <v/>
      </c>
    </row>
    <row r="14">
      <c r="A14" s="27" t="inlineStr">
        <is>
          <t>FORECAST_2024F2</t>
        </is>
      </c>
      <c r="B14" s="27" t="inlineStr">
        <is>
          <t>AMHQ</t>
        </is>
      </c>
      <c r="C14" s="27" t="inlineStr">
        <is>
          <t>CHF</t>
        </is>
      </c>
      <c r="D14" s="27" t="inlineStr">
        <is>
          <t>6010</t>
        </is>
      </c>
      <c r="E14" s="27" t="inlineStr">
        <is>
          <t>Salaries and Wages</t>
        </is>
      </c>
      <c r="F14" s="27" t="inlineStr">
        <is>
          <t>OpEx</t>
        </is>
      </c>
      <c r="G14" s="27" t="inlineStr">
        <is>
          <t>HQ</t>
        </is>
      </c>
      <c r="H14" s="27" t="inlineStr">
        <is>
          <t>MGMT</t>
        </is>
      </c>
      <c r="I14" s="31" t="n">
        <v>113531</v>
      </c>
      <c r="J14" s="28" t="n">
        <v>118424</v>
      </c>
      <c r="K14" s="28" t="n">
        <v>125003</v>
      </c>
      <c r="L14" s="28" t="n">
        <v>131582</v>
      </c>
      <c r="M14" s="28" t="n">
        <v>138162</v>
      </c>
      <c r="N14" s="28" t="n">
        <v>144741</v>
      </c>
      <c r="O14" s="28" t="n">
        <v>151320</v>
      </c>
      <c r="P14" s="28" t="n">
        <v>144741</v>
      </c>
      <c r="Q14" s="28" t="n">
        <v>138162</v>
      </c>
      <c r="R14" s="28" t="n">
        <v>131582</v>
      </c>
      <c r="S14" s="28" t="n">
        <v>125003</v>
      </c>
      <c r="T14" s="28" t="n">
        <v>118424</v>
      </c>
      <c r="U14" s="29">
        <f>SUM(I14:T14)</f>
        <v/>
      </c>
    </row>
    <row r="15">
      <c r="A15" s="27" t="inlineStr">
        <is>
          <t>FORECAST_2024F2</t>
        </is>
      </c>
      <c r="B15" s="27" t="inlineStr">
        <is>
          <t>AMHQ</t>
        </is>
      </c>
      <c r="C15" s="27" t="inlineStr">
        <is>
          <t>CHF</t>
        </is>
      </c>
      <c r="D15" s="27" t="inlineStr">
        <is>
          <t>6020</t>
        </is>
      </c>
      <c r="E15" s="27" t="inlineStr">
        <is>
          <t>Rent Expense</t>
        </is>
      </c>
      <c r="F15" s="27" t="inlineStr">
        <is>
          <t>OpEx</t>
        </is>
      </c>
      <c r="G15" s="27" t="inlineStr">
        <is>
          <t>HQ</t>
        </is>
      </c>
      <c r="H15" s="27" t="inlineStr">
        <is>
          <t>MGMT</t>
        </is>
      </c>
      <c r="I15" s="31" t="n">
        <v>16711</v>
      </c>
      <c r="J15" s="28" t="n">
        <v>18567</v>
      </c>
      <c r="K15" s="28" t="n">
        <v>19598</v>
      </c>
      <c r="L15" s="28" t="n">
        <v>20630</v>
      </c>
      <c r="M15" s="28" t="n">
        <v>21661</v>
      </c>
      <c r="N15" s="28" t="n">
        <v>22693</v>
      </c>
      <c r="O15" s="28" t="n">
        <v>23724</v>
      </c>
      <c r="P15" s="28" t="n">
        <v>22693</v>
      </c>
      <c r="Q15" s="28" t="n">
        <v>21661</v>
      </c>
      <c r="R15" s="28" t="n">
        <v>20630</v>
      </c>
      <c r="S15" s="28" t="n">
        <v>19598</v>
      </c>
      <c r="T15" s="28" t="n">
        <v>18567</v>
      </c>
      <c r="U15" s="29">
        <f>SUM(I15:T15)</f>
        <v/>
      </c>
    </row>
    <row r="16">
      <c r="A16" s="27" t="inlineStr">
        <is>
          <t>FORECAST_2024F2</t>
        </is>
      </c>
      <c r="B16" s="27" t="inlineStr">
        <is>
          <t>AMHQ</t>
        </is>
      </c>
      <c r="C16" s="27" t="inlineStr">
        <is>
          <t>CHF</t>
        </is>
      </c>
      <c r="D16" s="27" t="inlineStr">
        <is>
          <t>6030</t>
        </is>
      </c>
      <c r="E16" s="27" t="inlineStr">
        <is>
          <t>Depreciation Expense</t>
        </is>
      </c>
      <c r="F16" s="27" t="inlineStr">
        <is>
          <t>OpEx</t>
        </is>
      </c>
      <c r="G16" s="27" t="inlineStr">
        <is>
          <t>HQ</t>
        </is>
      </c>
      <c r="H16" s="27" t="inlineStr">
        <is>
          <t>MGMT</t>
        </is>
      </c>
      <c r="I16" s="31" t="n">
        <v>12010</v>
      </c>
      <c r="J16" s="28" t="n">
        <v>13648</v>
      </c>
      <c r="K16" s="28" t="n">
        <v>14406</v>
      </c>
      <c r="L16" s="28" t="n">
        <v>15164</v>
      </c>
      <c r="M16" s="28" t="n">
        <v>15922</v>
      </c>
      <c r="N16" s="28" t="n">
        <v>16681</v>
      </c>
      <c r="O16" s="28" t="n">
        <v>17439</v>
      </c>
      <c r="P16" s="28" t="n">
        <v>16681</v>
      </c>
      <c r="Q16" s="28" t="n">
        <v>15922</v>
      </c>
      <c r="R16" s="28" t="n">
        <v>15164</v>
      </c>
      <c r="S16" s="28" t="n">
        <v>14406</v>
      </c>
      <c r="T16" s="28" t="n">
        <v>13648</v>
      </c>
      <c r="U16" s="29">
        <f>SUM(I16:T16)</f>
        <v/>
      </c>
    </row>
    <row r="17">
      <c r="A17" s="27" t="inlineStr">
        <is>
          <t>FORECAST_2024F2</t>
        </is>
      </c>
      <c r="B17" s="27" t="inlineStr">
        <is>
          <t>AMHQ</t>
        </is>
      </c>
      <c r="C17" s="27" t="inlineStr">
        <is>
          <t>CHF</t>
        </is>
      </c>
      <c r="D17" s="27" t="inlineStr">
        <is>
          <t>6040</t>
        </is>
      </c>
      <c r="E17" s="27" t="inlineStr">
        <is>
          <t>Marketing Expense</t>
        </is>
      </c>
      <c r="F17" s="27" t="inlineStr">
        <is>
          <t>OpEx</t>
        </is>
      </c>
      <c r="G17" s="27" t="inlineStr">
        <is>
          <t>HQ</t>
        </is>
      </c>
      <c r="H17" s="27" t="inlineStr">
        <is>
          <t>MGMT</t>
        </is>
      </c>
      <c r="I17" s="31" t="n">
        <v>12665</v>
      </c>
      <c r="J17" s="28" t="n">
        <v>13995</v>
      </c>
      <c r="K17" s="28" t="n">
        <v>14772</v>
      </c>
      <c r="L17" s="28" t="n">
        <v>15550</v>
      </c>
      <c r="M17" s="28" t="n">
        <v>16327</v>
      </c>
      <c r="N17" s="28" t="n">
        <v>17105</v>
      </c>
      <c r="O17" s="28" t="n">
        <v>17882</v>
      </c>
      <c r="P17" s="28" t="n">
        <v>17105</v>
      </c>
      <c r="Q17" s="28" t="n">
        <v>16327</v>
      </c>
      <c r="R17" s="28" t="n">
        <v>15550</v>
      </c>
      <c r="S17" s="28" t="n">
        <v>14772</v>
      </c>
      <c r="T17" s="28" t="n">
        <v>13995</v>
      </c>
      <c r="U17" s="29">
        <f>SUM(I17:T17)</f>
        <v/>
      </c>
    </row>
    <row r="18">
      <c r="A18" s="27" t="inlineStr">
        <is>
          <t>FORECAST_2024F2</t>
        </is>
      </c>
      <c r="B18" s="27" t="inlineStr">
        <is>
          <t>AMHQ</t>
        </is>
      </c>
      <c r="C18" s="27" t="inlineStr">
        <is>
          <t>CHF</t>
        </is>
      </c>
      <c r="D18" s="27" t="inlineStr">
        <is>
          <t>6050</t>
        </is>
      </c>
      <c r="E18" s="27" t="inlineStr">
        <is>
          <t>Travel Expense</t>
        </is>
      </c>
      <c r="F18" s="27" t="inlineStr">
        <is>
          <t>OpEx</t>
        </is>
      </c>
      <c r="G18" s="27" t="inlineStr">
        <is>
          <t>HQ</t>
        </is>
      </c>
      <c r="H18" s="27" t="inlineStr">
        <is>
          <t>MGMT</t>
        </is>
      </c>
      <c r="I18" s="31" t="n">
        <v>4116</v>
      </c>
      <c r="J18" s="28" t="n">
        <v>5824</v>
      </c>
      <c r="K18" s="28" t="n">
        <v>6147</v>
      </c>
      <c r="L18" s="28" t="n">
        <v>6471</v>
      </c>
      <c r="M18" s="28" t="n">
        <v>6794</v>
      </c>
      <c r="N18" s="28" t="n">
        <v>7118</v>
      </c>
      <c r="O18" s="28" t="n">
        <v>7441</v>
      </c>
      <c r="P18" s="28" t="n">
        <v>7118</v>
      </c>
      <c r="Q18" s="28" t="n">
        <v>6794</v>
      </c>
      <c r="R18" s="28" t="n">
        <v>6471</v>
      </c>
      <c r="S18" s="28" t="n">
        <v>6147</v>
      </c>
      <c r="T18" s="28" t="n">
        <v>5824</v>
      </c>
      <c r="U18" s="29">
        <f>SUM(I18:T18)</f>
        <v/>
      </c>
    </row>
    <row r="19">
      <c r="A19" s="27" t="inlineStr">
        <is>
          <t>FORECAST_2024F2</t>
        </is>
      </c>
      <c r="B19" s="27" t="inlineStr">
        <is>
          <t>AMHQ</t>
        </is>
      </c>
      <c r="C19" s="27" t="inlineStr">
        <is>
          <t>CHF</t>
        </is>
      </c>
      <c r="D19" s="27" t="inlineStr">
        <is>
          <t>6060</t>
        </is>
      </c>
      <c r="E19" s="27" t="inlineStr">
        <is>
          <t>Utilities</t>
        </is>
      </c>
      <c r="F19" s="27" t="inlineStr">
        <is>
          <t>OpEx</t>
        </is>
      </c>
      <c r="G19" s="27" t="inlineStr">
        <is>
          <t>HQ</t>
        </is>
      </c>
      <c r="H19" s="27" t="inlineStr">
        <is>
          <t>MGMT</t>
        </is>
      </c>
      <c r="I19" s="31" t="n">
        <v>6431</v>
      </c>
      <c r="J19" s="28" t="n">
        <v>7049</v>
      </c>
      <c r="K19" s="28" t="n">
        <v>7441</v>
      </c>
      <c r="L19" s="28" t="n">
        <v>7832</v>
      </c>
      <c r="M19" s="28" t="n">
        <v>8224</v>
      </c>
      <c r="N19" s="28" t="n">
        <v>8616</v>
      </c>
      <c r="O19" s="28" t="n">
        <v>9007</v>
      </c>
      <c r="P19" s="28" t="n">
        <v>8616</v>
      </c>
      <c r="Q19" s="28" t="n">
        <v>8224</v>
      </c>
      <c r="R19" s="28" t="n">
        <v>7832</v>
      </c>
      <c r="S19" s="28" t="n">
        <v>7441</v>
      </c>
      <c r="T19" s="28" t="n">
        <v>7049</v>
      </c>
      <c r="U19" s="29">
        <f>SUM(I19:T19)</f>
        <v/>
      </c>
    </row>
    <row r="20">
      <c r="E20" s="4" t="inlineStr">
        <is>
          <t>Net Income</t>
        </is>
      </c>
      <c r="I20" s="29">
        <f>SUM(I11:I19)</f>
        <v/>
      </c>
      <c r="J20" s="29">
        <f>SUM(J11:J19)</f>
        <v/>
      </c>
      <c r="K20" s="29">
        <f>SUM(K11:K19)</f>
        <v/>
      </c>
      <c r="L20" s="29">
        <f>SUM(L11:L19)</f>
        <v/>
      </c>
      <c r="M20" s="29">
        <f>SUM(M11:M19)</f>
        <v/>
      </c>
      <c r="N20" s="29">
        <f>SUM(N11:N19)</f>
        <v/>
      </c>
      <c r="O20" s="29">
        <f>SUM(O11:O19)</f>
        <v/>
      </c>
      <c r="P20" s="29">
        <f>SUM(P11:P19)</f>
        <v/>
      </c>
      <c r="Q20" s="29">
        <f>SUM(Q11:Q19)</f>
        <v/>
      </c>
      <c r="R20" s="29">
        <f>SUM(R11:R19)</f>
        <v/>
      </c>
      <c r="S20" s="29">
        <f>SUM(S11:S19)</f>
        <v/>
      </c>
      <c r="T20" s="29">
        <f>SUM(T11:T19)</f>
        <v/>
      </c>
      <c r="U20" s="29">
        <f>SUM(U11:U19)</f>
        <v/>
      </c>
    </row>
    <row r="22">
      <c r="A22" s="24" t="inlineStr">
        <is>
          <t>AMUS</t>
        </is>
      </c>
      <c r="B22" s="24" t="inlineStr">
        <is>
          <t>Alpine Manufacturing US</t>
        </is>
      </c>
      <c r="C22" s="24" t="inlineStr">
        <is>
          <t>USD</t>
        </is>
      </c>
      <c r="D22" s="24" t="n"/>
      <c r="E22" s="25" t="n"/>
      <c r="F22" s="25" t="n"/>
      <c r="G22" s="25" t="n"/>
      <c r="H22" s="25" t="n"/>
      <c r="I22" s="25" t="n"/>
      <c r="J22" s="25" t="n"/>
      <c r="K22" s="25" t="n"/>
      <c r="L22" s="25" t="n"/>
      <c r="M22" s="25" t="n"/>
      <c r="N22" s="25" t="n"/>
      <c r="O22" s="25" t="n"/>
      <c r="P22" s="25" t="n"/>
      <c r="Q22" s="25" t="n"/>
      <c r="R22" s="25" t="n"/>
      <c r="S22" s="25" t="n"/>
      <c r="T22" s="26" t="n"/>
      <c r="U22" s="24" t="n"/>
    </row>
    <row r="23">
      <c r="A23" s="27" t="inlineStr">
        <is>
          <t>FORECAST_2024F2</t>
        </is>
      </c>
      <c r="B23" s="27" t="inlineStr">
        <is>
          <t>AMUS</t>
        </is>
      </c>
      <c r="C23" s="27" t="inlineStr">
        <is>
          <t>USD</t>
        </is>
      </c>
      <c r="D23" s="27" t="inlineStr">
        <is>
          <t>4010</t>
        </is>
      </c>
      <c r="E23" s="27" t="inlineStr">
        <is>
          <t>Product Revenue</t>
        </is>
      </c>
      <c r="F23" s="27" t="inlineStr">
        <is>
          <t>Revenue</t>
        </is>
      </c>
      <c r="G23" s="27" t="inlineStr">
        <is>
          <t>SALES</t>
        </is>
      </c>
      <c r="H23" s="27" t="inlineStr">
        <is>
          <t>SALES</t>
        </is>
      </c>
      <c r="I23" s="31" t="n">
        <v>-726650</v>
      </c>
      <c r="J23" s="28" t="n">
        <v>-773497</v>
      </c>
      <c r="K23" s="28" t="n">
        <v>-816469</v>
      </c>
      <c r="L23" s="28" t="n">
        <v>-859441</v>
      </c>
      <c r="M23" s="28" t="n">
        <v>-902413</v>
      </c>
      <c r="N23" s="28" t="n">
        <v>-945385</v>
      </c>
      <c r="O23" s="28" t="n">
        <v>-988356</v>
      </c>
      <c r="P23" s="28" t="n">
        <v>-945385</v>
      </c>
      <c r="Q23" s="28" t="n">
        <v>-902413</v>
      </c>
      <c r="R23" s="28" t="n">
        <v>-859441</v>
      </c>
      <c r="S23" s="28" t="n">
        <v>-816469</v>
      </c>
      <c r="T23" s="28" t="n">
        <v>-773497</v>
      </c>
      <c r="U23" s="29">
        <f>SUM(I23:T23)</f>
        <v/>
      </c>
    </row>
    <row r="24">
      <c r="A24" s="27" t="inlineStr">
        <is>
          <t>FORECAST_2024F2</t>
        </is>
      </c>
      <c r="B24" s="27" t="inlineStr">
        <is>
          <t>AMUS</t>
        </is>
      </c>
      <c r="C24" s="27" t="inlineStr">
        <is>
          <t>USD</t>
        </is>
      </c>
      <c r="D24" s="27" t="inlineStr">
        <is>
          <t>4020</t>
        </is>
      </c>
      <c r="E24" s="27" t="inlineStr">
        <is>
          <t>Service Revenue</t>
        </is>
      </c>
      <c r="F24" s="27" t="inlineStr">
        <is>
          <t>Revenue</t>
        </is>
      </c>
      <c r="G24" s="27" t="inlineStr">
        <is>
          <t>SALES</t>
        </is>
      </c>
      <c r="H24" s="27" t="inlineStr">
        <is>
          <t>SALES</t>
        </is>
      </c>
      <c r="I24" s="31" t="n">
        <v>-74665</v>
      </c>
      <c r="J24" s="28" t="n">
        <v>-86184</v>
      </c>
      <c r="K24" s="28" t="n">
        <v>-90972</v>
      </c>
      <c r="L24" s="28" t="n">
        <v>-95760</v>
      </c>
      <c r="M24" s="28" t="n">
        <v>-100548</v>
      </c>
      <c r="N24" s="28" t="n">
        <v>-105336</v>
      </c>
      <c r="O24" s="28" t="n">
        <v>-110123</v>
      </c>
      <c r="P24" s="28" t="n">
        <v>-105336</v>
      </c>
      <c r="Q24" s="28" t="n">
        <v>-100548</v>
      </c>
      <c r="R24" s="28" t="n">
        <v>-95760</v>
      </c>
      <c r="S24" s="28" t="n">
        <v>-90972</v>
      </c>
      <c r="T24" s="28" t="n">
        <v>-86184</v>
      </c>
      <c r="U24" s="29">
        <f>SUM(I24:T24)</f>
        <v/>
      </c>
    </row>
    <row r="25">
      <c r="A25" s="27" t="inlineStr">
        <is>
          <t>FORECAST_2024F2</t>
        </is>
      </c>
      <c r="B25" s="27" t="inlineStr">
        <is>
          <t>AMUS</t>
        </is>
      </c>
      <c r="C25" s="27" t="inlineStr">
        <is>
          <t>USD</t>
        </is>
      </c>
      <c r="D25" s="27" t="inlineStr">
        <is>
          <t>5010</t>
        </is>
      </c>
      <c r="E25" s="27" t="inlineStr">
        <is>
          <t>Cost of Goods Sold</t>
        </is>
      </c>
      <c r="F25" s="27" t="inlineStr">
        <is>
          <t>COGS</t>
        </is>
      </c>
      <c r="G25" s="27" t="inlineStr">
        <is>
          <t>SALES</t>
        </is>
      </c>
      <c r="H25" s="27" t="inlineStr">
        <is>
          <t>SALES</t>
        </is>
      </c>
      <c r="I25" s="31" t="n">
        <v>255675</v>
      </c>
      <c r="J25" s="28" t="n">
        <v>290877</v>
      </c>
      <c r="K25" s="28" t="n">
        <v>307037</v>
      </c>
      <c r="L25" s="28" t="n">
        <v>323197</v>
      </c>
      <c r="M25" s="28" t="n">
        <v>339356</v>
      </c>
      <c r="N25" s="28" t="n">
        <v>355516</v>
      </c>
      <c r="O25" s="28" t="n">
        <v>371675</v>
      </c>
      <c r="P25" s="28" t="n">
        <v>355516</v>
      </c>
      <c r="Q25" s="28" t="n">
        <v>339356</v>
      </c>
      <c r="R25" s="28" t="n">
        <v>323197</v>
      </c>
      <c r="S25" s="28" t="n">
        <v>307037</v>
      </c>
      <c r="T25" s="28" t="n">
        <v>290877</v>
      </c>
      <c r="U25" s="29">
        <f>SUM(I25:T25)</f>
        <v/>
      </c>
    </row>
    <row r="26">
      <c r="A26" s="27" t="inlineStr">
        <is>
          <t>FORECAST_2024F2</t>
        </is>
      </c>
      <c r="B26" s="27" t="inlineStr">
        <is>
          <t>AMUS</t>
        </is>
      </c>
      <c r="C26" s="27" t="inlineStr">
        <is>
          <t>USD</t>
        </is>
      </c>
      <c r="D26" s="27" t="inlineStr">
        <is>
          <t>6010</t>
        </is>
      </c>
      <c r="E26" s="27" t="inlineStr">
        <is>
          <t>Salaries and Wages</t>
        </is>
      </c>
      <c r="F26" s="27" t="inlineStr">
        <is>
          <t>OpEx</t>
        </is>
      </c>
      <c r="G26" s="27" t="inlineStr">
        <is>
          <t>SALES</t>
        </is>
      </c>
      <c r="H26" s="27" t="inlineStr">
        <is>
          <t>SALES</t>
        </is>
      </c>
      <c r="I26" s="31" t="n">
        <v>169428</v>
      </c>
      <c r="J26" s="28" t="n">
        <v>183009</v>
      </c>
      <c r="K26" s="28" t="n">
        <v>193176</v>
      </c>
      <c r="L26" s="28" t="n">
        <v>203343</v>
      </c>
      <c r="M26" s="28" t="n">
        <v>213510</v>
      </c>
      <c r="N26" s="28" t="n">
        <v>223677</v>
      </c>
      <c r="O26" s="28" t="n">
        <v>233844</v>
      </c>
      <c r="P26" s="28" t="n">
        <v>223677</v>
      </c>
      <c r="Q26" s="28" t="n">
        <v>213510</v>
      </c>
      <c r="R26" s="28" t="n">
        <v>203343</v>
      </c>
      <c r="S26" s="28" t="n">
        <v>193176</v>
      </c>
      <c r="T26" s="28" t="n">
        <v>183009</v>
      </c>
      <c r="U26" s="29">
        <f>SUM(I26:T26)</f>
        <v/>
      </c>
    </row>
    <row r="27">
      <c r="A27" s="27" t="inlineStr">
        <is>
          <t>FORECAST_2024F2</t>
        </is>
      </c>
      <c r="B27" s="27" t="inlineStr">
        <is>
          <t>AMUS</t>
        </is>
      </c>
      <c r="C27" s="27" t="inlineStr">
        <is>
          <t>USD</t>
        </is>
      </c>
      <c r="D27" s="27" t="inlineStr">
        <is>
          <t>6020</t>
        </is>
      </c>
      <c r="E27" s="27" t="inlineStr">
        <is>
          <t>Rent Expense</t>
        </is>
      </c>
      <c r="F27" s="27" t="inlineStr">
        <is>
          <t>OpEx</t>
        </is>
      </c>
      <c r="G27" s="27" t="inlineStr">
        <is>
          <t>SALES</t>
        </is>
      </c>
      <c r="H27" s="27" t="inlineStr">
        <is>
          <t>SALES</t>
        </is>
      </c>
      <c r="I27" s="31" t="n">
        <v>27362</v>
      </c>
      <c r="J27" s="28" t="n">
        <v>30037</v>
      </c>
      <c r="K27" s="28" t="n">
        <v>31706</v>
      </c>
      <c r="L27" s="28" t="n">
        <v>33375</v>
      </c>
      <c r="M27" s="28" t="n">
        <v>35044</v>
      </c>
      <c r="N27" s="28" t="n">
        <v>36712</v>
      </c>
      <c r="O27" s="28" t="n">
        <v>38380</v>
      </c>
      <c r="P27" s="28" t="n">
        <v>36712</v>
      </c>
      <c r="Q27" s="28" t="n">
        <v>35044</v>
      </c>
      <c r="R27" s="28" t="n">
        <v>33375</v>
      </c>
      <c r="S27" s="28" t="n">
        <v>31706</v>
      </c>
      <c r="T27" s="28" t="n">
        <v>30037</v>
      </c>
      <c r="U27" s="29">
        <f>SUM(I27:T27)</f>
        <v/>
      </c>
    </row>
    <row r="28">
      <c r="A28" s="27" t="inlineStr">
        <is>
          <t>FORECAST_2024F2</t>
        </is>
      </c>
      <c r="B28" s="27" t="inlineStr">
        <is>
          <t>AMUS</t>
        </is>
      </c>
      <c r="C28" s="27" t="inlineStr">
        <is>
          <t>USD</t>
        </is>
      </c>
      <c r="D28" s="27" t="inlineStr">
        <is>
          <t>6030</t>
        </is>
      </c>
      <c r="E28" s="27" t="inlineStr">
        <is>
          <t>Depreciation Expense</t>
        </is>
      </c>
      <c r="F28" s="27" t="inlineStr">
        <is>
          <t>OpEx</t>
        </is>
      </c>
      <c r="G28" s="27" t="inlineStr">
        <is>
          <t>SALES</t>
        </is>
      </c>
      <c r="H28" s="27" t="inlineStr">
        <is>
          <t>SALES</t>
        </is>
      </c>
      <c r="I28" s="31" t="n">
        <v>19318</v>
      </c>
      <c r="J28" s="28" t="n">
        <v>21891</v>
      </c>
      <c r="K28" s="28" t="n">
        <v>23107</v>
      </c>
      <c r="L28" s="28" t="n">
        <v>24323</v>
      </c>
      <c r="M28" s="28" t="n">
        <v>25539</v>
      </c>
      <c r="N28" s="28" t="n">
        <v>26755</v>
      </c>
      <c r="O28" s="28" t="n">
        <v>27971</v>
      </c>
      <c r="P28" s="28" t="n">
        <v>26755</v>
      </c>
      <c r="Q28" s="28" t="n">
        <v>25539</v>
      </c>
      <c r="R28" s="28" t="n">
        <v>24323</v>
      </c>
      <c r="S28" s="28" t="n">
        <v>23107</v>
      </c>
      <c r="T28" s="28" t="n">
        <v>21891</v>
      </c>
      <c r="U28" s="29">
        <f>SUM(I28:T28)</f>
        <v/>
      </c>
    </row>
    <row r="29">
      <c r="A29" s="27" t="inlineStr">
        <is>
          <t>FORECAST_2024F2</t>
        </is>
      </c>
      <c r="B29" s="27" t="inlineStr">
        <is>
          <t>AMUS</t>
        </is>
      </c>
      <c r="C29" s="27" t="inlineStr">
        <is>
          <t>USD</t>
        </is>
      </c>
      <c r="D29" s="27" t="inlineStr">
        <is>
          <t>6040</t>
        </is>
      </c>
      <c r="E29" s="27" t="inlineStr">
        <is>
          <t>Marketing Expense</t>
        </is>
      </c>
      <c r="F29" s="27" t="inlineStr">
        <is>
          <t>OpEx</t>
        </is>
      </c>
      <c r="G29" s="27" t="inlineStr">
        <is>
          <t>SALES</t>
        </is>
      </c>
      <c r="H29" s="27" t="inlineStr">
        <is>
          <t>SALES</t>
        </is>
      </c>
      <c r="I29" s="31" t="n">
        <v>21325</v>
      </c>
      <c r="J29" s="28" t="n">
        <v>22953</v>
      </c>
      <c r="K29" s="28" t="n">
        <v>24228</v>
      </c>
      <c r="L29" s="28" t="n">
        <v>25504</v>
      </c>
      <c r="M29" s="28" t="n">
        <v>26779</v>
      </c>
      <c r="N29" s="28" t="n">
        <v>28054</v>
      </c>
      <c r="O29" s="28" t="n">
        <v>29328</v>
      </c>
      <c r="P29" s="28" t="n">
        <v>28054</v>
      </c>
      <c r="Q29" s="28" t="n">
        <v>26779</v>
      </c>
      <c r="R29" s="28" t="n">
        <v>25504</v>
      </c>
      <c r="S29" s="28" t="n">
        <v>24228</v>
      </c>
      <c r="T29" s="28" t="n">
        <v>22953</v>
      </c>
      <c r="U29" s="29">
        <f>SUM(I29:T29)</f>
        <v/>
      </c>
    </row>
    <row r="30">
      <c r="A30" s="27" t="inlineStr">
        <is>
          <t>FORECAST_2024F2</t>
        </is>
      </c>
      <c r="B30" s="27" t="inlineStr">
        <is>
          <t>AMUS</t>
        </is>
      </c>
      <c r="C30" s="27" t="inlineStr">
        <is>
          <t>USD</t>
        </is>
      </c>
      <c r="D30" s="27" t="inlineStr">
        <is>
          <t>6050</t>
        </is>
      </c>
      <c r="E30" s="27" t="inlineStr">
        <is>
          <t>Travel Expense</t>
        </is>
      </c>
      <c r="F30" s="27" t="inlineStr">
        <is>
          <t>OpEx</t>
        </is>
      </c>
      <c r="G30" s="27" t="inlineStr">
        <is>
          <t>SALES</t>
        </is>
      </c>
      <c r="H30" s="27" t="inlineStr">
        <is>
          <t>SALES</t>
        </is>
      </c>
      <c r="I30" s="31" t="n">
        <v>7799</v>
      </c>
      <c r="J30" s="28" t="n">
        <v>9960</v>
      </c>
      <c r="K30" s="28" t="n">
        <v>10514</v>
      </c>
      <c r="L30" s="28" t="n">
        <v>11067</v>
      </c>
      <c r="M30" s="28" t="n">
        <v>11621</v>
      </c>
      <c r="N30" s="28" t="n">
        <v>12174</v>
      </c>
      <c r="O30" s="28" t="n">
        <v>12726</v>
      </c>
      <c r="P30" s="28" t="n">
        <v>12174</v>
      </c>
      <c r="Q30" s="28" t="n">
        <v>11621</v>
      </c>
      <c r="R30" s="28" t="n">
        <v>11067</v>
      </c>
      <c r="S30" s="28" t="n">
        <v>10514</v>
      </c>
      <c r="T30" s="28" t="n">
        <v>9960</v>
      </c>
      <c r="U30" s="29">
        <f>SUM(I30:T30)</f>
        <v/>
      </c>
    </row>
    <row r="31">
      <c r="A31" s="27" t="inlineStr">
        <is>
          <t>FORECAST_2024F2</t>
        </is>
      </c>
      <c r="B31" s="27" t="inlineStr">
        <is>
          <t>AMUS</t>
        </is>
      </c>
      <c r="C31" s="27" t="inlineStr">
        <is>
          <t>USD</t>
        </is>
      </c>
      <c r="D31" s="27" t="inlineStr">
        <is>
          <t>6060</t>
        </is>
      </c>
      <c r="E31" s="27" t="inlineStr">
        <is>
          <t>Utilities</t>
        </is>
      </c>
      <c r="F31" s="27" t="inlineStr">
        <is>
          <t>OpEx</t>
        </is>
      </c>
      <c r="G31" s="27" t="inlineStr">
        <is>
          <t>SALES</t>
        </is>
      </c>
      <c r="H31" s="27" t="inlineStr">
        <is>
          <t>SALES</t>
        </is>
      </c>
      <c r="I31" s="31" t="n">
        <v>10328</v>
      </c>
      <c r="J31" s="28" t="n">
        <v>11299</v>
      </c>
      <c r="K31" s="28" t="n">
        <v>11927</v>
      </c>
      <c r="L31" s="28" t="n">
        <v>12555</v>
      </c>
      <c r="M31" s="28" t="n">
        <v>13183</v>
      </c>
      <c r="N31" s="28" t="n">
        <v>13810</v>
      </c>
      <c r="O31" s="28" t="n">
        <v>14437</v>
      </c>
      <c r="P31" s="28" t="n">
        <v>13810</v>
      </c>
      <c r="Q31" s="28" t="n">
        <v>13183</v>
      </c>
      <c r="R31" s="28" t="n">
        <v>12555</v>
      </c>
      <c r="S31" s="28" t="n">
        <v>11927</v>
      </c>
      <c r="T31" s="28" t="n">
        <v>11299</v>
      </c>
      <c r="U31" s="29">
        <f>SUM(I31:T31)</f>
        <v/>
      </c>
    </row>
    <row r="32">
      <c r="E32" s="4" t="inlineStr">
        <is>
          <t>Net Income</t>
        </is>
      </c>
      <c r="I32" s="29">
        <f>SUM(I23:I31)</f>
        <v/>
      </c>
      <c r="J32" s="29">
        <f>SUM(J23:J31)</f>
        <v/>
      </c>
      <c r="K32" s="29">
        <f>SUM(K23:K31)</f>
        <v/>
      </c>
      <c r="L32" s="29">
        <f>SUM(L23:L31)</f>
        <v/>
      </c>
      <c r="M32" s="29">
        <f>SUM(M23:M31)</f>
        <v/>
      </c>
      <c r="N32" s="29">
        <f>SUM(N23:N31)</f>
        <v/>
      </c>
      <c r="O32" s="29">
        <f>SUM(O23:O31)</f>
        <v/>
      </c>
      <c r="P32" s="29">
        <f>SUM(P23:P31)</f>
        <v/>
      </c>
      <c r="Q32" s="29">
        <f>SUM(Q23:Q31)</f>
        <v/>
      </c>
      <c r="R32" s="29">
        <f>SUM(R23:R31)</f>
        <v/>
      </c>
      <c r="S32" s="29">
        <f>SUM(S23:S31)</f>
        <v/>
      </c>
      <c r="T32" s="29">
        <f>SUM(T23:T31)</f>
        <v/>
      </c>
      <c r="U32" s="29">
        <f>SUM(U23:U31)</f>
        <v/>
      </c>
    </row>
    <row r="34">
      <c r="A34" s="24" t="inlineStr">
        <is>
          <t>AMDE</t>
        </is>
      </c>
      <c r="B34" s="24" t="inlineStr">
        <is>
          <t>Alpine Manufacturing DE</t>
        </is>
      </c>
      <c r="C34" s="24" t="inlineStr">
        <is>
          <t>EUR</t>
        </is>
      </c>
      <c r="D34" s="24" t="n"/>
      <c r="E34" s="25" t="n"/>
      <c r="F34" s="25" t="n"/>
      <c r="G34" s="25" t="n"/>
      <c r="H34" s="25" t="n"/>
      <c r="I34" s="25" t="n"/>
      <c r="J34" s="25" t="n"/>
      <c r="K34" s="25" t="n"/>
      <c r="L34" s="25" t="n"/>
      <c r="M34" s="25" t="n"/>
      <c r="N34" s="25" t="n"/>
      <c r="O34" s="25" t="n"/>
      <c r="P34" s="25" t="n"/>
      <c r="Q34" s="25" t="n"/>
      <c r="R34" s="25" t="n"/>
      <c r="S34" s="25" t="n"/>
      <c r="T34" s="26" t="n"/>
      <c r="U34" s="24" t="n"/>
    </row>
    <row r="35">
      <c r="A35" s="27" t="inlineStr">
        <is>
          <t>FORECAST_2024F2</t>
        </is>
      </c>
      <c r="B35" s="27" t="inlineStr">
        <is>
          <t>AMDE</t>
        </is>
      </c>
      <c r="C35" s="27" t="inlineStr">
        <is>
          <t>EUR</t>
        </is>
      </c>
      <c r="D35" s="27" t="inlineStr">
        <is>
          <t>4010</t>
        </is>
      </c>
      <c r="E35" s="27" t="inlineStr">
        <is>
          <t>Product Revenue</t>
        </is>
      </c>
      <c r="F35" s="27" t="inlineStr">
        <is>
          <t>Revenue</t>
        </is>
      </c>
      <c r="G35" s="27" t="inlineStr">
        <is>
          <t>PROD</t>
        </is>
      </c>
      <c r="H35" s="27" t="inlineStr">
        <is>
          <t>OPS</t>
        </is>
      </c>
      <c r="I35" s="31" t="n">
        <v>-498473</v>
      </c>
      <c r="J35" s="28" t="n">
        <v>-555497</v>
      </c>
      <c r="K35" s="28" t="n">
        <v>-586358</v>
      </c>
      <c r="L35" s="28" t="n">
        <v>-617219</v>
      </c>
      <c r="M35" s="28" t="n">
        <v>-648080</v>
      </c>
      <c r="N35" s="28" t="n">
        <v>-678941</v>
      </c>
      <c r="O35" s="28" t="n">
        <v>-709802</v>
      </c>
      <c r="P35" s="28" t="n">
        <v>-678941</v>
      </c>
      <c r="Q35" s="28" t="n">
        <v>-648080</v>
      </c>
      <c r="R35" s="28" t="n">
        <v>-617219</v>
      </c>
      <c r="S35" s="28" t="n">
        <v>-586358</v>
      </c>
      <c r="T35" s="28" t="n">
        <v>-555497</v>
      </c>
      <c r="U35" s="29">
        <f>SUM(I35:T35)</f>
        <v/>
      </c>
    </row>
    <row r="36">
      <c r="A36" s="27" t="inlineStr">
        <is>
          <t>FORECAST_2024F2</t>
        </is>
      </c>
      <c r="B36" s="27" t="inlineStr">
        <is>
          <t>AMDE</t>
        </is>
      </c>
      <c r="C36" s="27" t="inlineStr">
        <is>
          <t>EUR</t>
        </is>
      </c>
      <c r="D36" s="27" t="inlineStr">
        <is>
          <t>4020</t>
        </is>
      </c>
      <c r="E36" s="27" t="inlineStr">
        <is>
          <t>Service Revenue</t>
        </is>
      </c>
      <c r="F36" s="27" t="inlineStr">
        <is>
          <t>Revenue</t>
        </is>
      </c>
      <c r="G36" s="27" t="inlineStr">
        <is>
          <t>PROD</t>
        </is>
      </c>
      <c r="H36" s="27" t="inlineStr">
        <is>
          <t>OPS</t>
        </is>
      </c>
      <c r="I36" s="31" t="n">
        <v>-60016</v>
      </c>
      <c r="J36" s="28" t="n">
        <v>-66765</v>
      </c>
      <c r="K36" s="28" t="n">
        <v>-70474</v>
      </c>
      <c r="L36" s="28" t="n">
        <v>-74183</v>
      </c>
      <c r="M36" s="28" t="n">
        <v>-77892</v>
      </c>
      <c r="N36" s="28" t="n">
        <v>-81601</v>
      </c>
      <c r="O36" s="28" t="n">
        <v>-85311</v>
      </c>
      <c r="P36" s="28" t="n">
        <v>-81601</v>
      </c>
      <c r="Q36" s="28" t="n">
        <v>-77892</v>
      </c>
      <c r="R36" s="28" t="n">
        <v>-74183</v>
      </c>
      <c r="S36" s="28" t="n">
        <v>-70474</v>
      </c>
      <c r="T36" s="28" t="n">
        <v>-66765</v>
      </c>
      <c r="U36" s="29">
        <f>SUM(I36:T36)</f>
        <v/>
      </c>
    </row>
    <row r="37">
      <c r="A37" s="27" t="inlineStr">
        <is>
          <t>FORECAST_2024F2</t>
        </is>
      </c>
      <c r="B37" s="27" t="inlineStr">
        <is>
          <t>AMDE</t>
        </is>
      </c>
      <c r="C37" s="27" t="inlineStr">
        <is>
          <t>EUR</t>
        </is>
      </c>
      <c r="D37" s="27" t="inlineStr">
        <is>
          <t>5010</t>
        </is>
      </c>
      <c r="E37" s="27" t="inlineStr">
        <is>
          <t>Cost of Goods Sold</t>
        </is>
      </c>
      <c r="F37" s="27" t="inlineStr">
        <is>
          <t>COGS</t>
        </is>
      </c>
      <c r="G37" s="27" t="inlineStr">
        <is>
          <t>PROD</t>
        </is>
      </c>
      <c r="H37" s="27" t="inlineStr">
        <is>
          <t>OPS</t>
        </is>
      </c>
      <c r="I37" s="31" t="n">
        <v>213687</v>
      </c>
      <c r="J37" s="28" t="n">
        <v>229768</v>
      </c>
      <c r="K37" s="28" t="n">
        <v>242533</v>
      </c>
      <c r="L37" s="28" t="n">
        <v>255298</v>
      </c>
      <c r="M37" s="28" t="n">
        <v>268063</v>
      </c>
      <c r="N37" s="28" t="n">
        <v>280828</v>
      </c>
      <c r="O37" s="28" t="n">
        <v>293592</v>
      </c>
      <c r="P37" s="28" t="n">
        <v>280828</v>
      </c>
      <c r="Q37" s="28" t="n">
        <v>268063</v>
      </c>
      <c r="R37" s="28" t="n">
        <v>255298</v>
      </c>
      <c r="S37" s="28" t="n">
        <v>242533</v>
      </c>
      <c r="T37" s="28" t="n">
        <v>229768</v>
      </c>
      <c r="U37" s="29">
        <f>SUM(I37:T37)</f>
        <v/>
      </c>
    </row>
    <row r="38">
      <c r="A38" s="27" t="inlineStr">
        <is>
          <t>FORECAST_2024F2</t>
        </is>
      </c>
      <c r="B38" s="27" t="inlineStr">
        <is>
          <t>AMDE</t>
        </is>
      </c>
      <c r="C38" s="27" t="inlineStr">
        <is>
          <t>EUR</t>
        </is>
      </c>
      <c r="D38" s="27" t="inlineStr">
        <is>
          <t>6010</t>
        </is>
      </c>
      <c r="E38" s="27" t="inlineStr">
        <is>
          <t>Salaries and Wages</t>
        </is>
      </c>
      <c r="F38" s="27" t="inlineStr">
        <is>
          <t>OpEx</t>
        </is>
      </c>
      <c r="G38" s="27" t="inlineStr">
        <is>
          <t>PROD</t>
        </is>
      </c>
      <c r="H38" s="27" t="inlineStr">
        <is>
          <t>OPS</t>
        </is>
      </c>
      <c r="I38" s="31" t="n">
        <v>130219</v>
      </c>
      <c r="J38" s="28" t="n">
        <v>138923</v>
      </c>
      <c r="K38" s="28" t="n">
        <v>146641</v>
      </c>
      <c r="L38" s="28" t="n">
        <v>154359</v>
      </c>
      <c r="M38" s="28" t="n">
        <v>162077</v>
      </c>
      <c r="N38" s="28" t="n">
        <v>169795</v>
      </c>
      <c r="O38" s="28" t="n">
        <v>177513</v>
      </c>
      <c r="P38" s="28" t="n">
        <v>169795</v>
      </c>
      <c r="Q38" s="28" t="n">
        <v>162077</v>
      </c>
      <c r="R38" s="28" t="n">
        <v>154359</v>
      </c>
      <c r="S38" s="28" t="n">
        <v>146641</v>
      </c>
      <c r="T38" s="28" t="n">
        <v>138923</v>
      </c>
      <c r="U38" s="29">
        <f>SUM(I38:T38)</f>
        <v/>
      </c>
    </row>
    <row r="39">
      <c r="A39" s="27" t="inlineStr">
        <is>
          <t>FORECAST_2024F2</t>
        </is>
      </c>
      <c r="B39" s="27" t="inlineStr">
        <is>
          <t>AMDE</t>
        </is>
      </c>
      <c r="C39" s="27" t="inlineStr">
        <is>
          <t>EUR</t>
        </is>
      </c>
      <c r="D39" s="27" t="inlineStr">
        <is>
          <t>6020</t>
        </is>
      </c>
      <c r="E39" s="27" t="inlineStr">
        <is>
          <t>Rent Expense</t>
        </is>
      </c>
      <c r="F39" s="27" t="inlineStr">
        <is>
          <t>OpEx</t>
        </is>
      </c>
      <c r="G39" s="27" t="inlineStr">
        <is>
          <t>PROD</t>
        </is>
      </c>
      <c r="H39" s="27" t="inlineStr">
        <is>
          <t>OPS</t>
        </is>
      </c>
      <c r="I39" s="31" t="n">
        <v>20817</v>
      </c>
      <c r="J39" s="28" t="n">
        <v>22684</v>
      </c>
      <c r="K39" s="28" t="n">
        <v>23945</v>
      </c>
      <c r="L39" s="28" t="n">
        <v>25205</v>
      </c>
      <c r="M39" s="28" t="n">
        <v>26465</v>
      </c>
      <c r="N39" s="28" t="n">
        <v>27725</v>
      </c>
      <c r="O39" s="28" t="n">
        <v>28986</v>
      </c>
      <c r="P39" s="28" t="n">
        <v>27725</v>
      </c>
      <c r="Q39" s="28" t="n">
        <v>26465</v>
      </c>
      <c r="R39" s="28" t="n">
        <v>25205</v>
      </c>
      <c r="S39" s="28" t="n">
        <v>23945</v>
      </c>
      <c r="T39" s="28" t="n">
        <v>22684</v>
      </c>
      <c r="U39" s="29">
        <f>SUM(I39:T39)</f>
        <v/>
      </c>
    </row>
    <row r="40">
      <c r="A40" s="27" t="inlineStr">
        <is>
          <t>FORECAST_2024F2</t>
        </is>
      </c>
      <c r="B40" s="27" t="inlineStr">
        <is>
          <t>AMDE</t>
        </is>
      </c>
      <c r="C40" s="27" t="inlineStr">
        <is>
          <t>EUR</t>
        </is>
      </c>
      <c r="D40" s="27" t="inlineStr">
        <is>
          <t>6030</t>
        </is>
      </c>
      <c r="E40" s="27" t="inlineStr">
        <is>
          <t>Depreciation Expense</t>
        </is>
      </c>
      <c r="F40" s="27" t="inlineStr">
        <is>
          <t>OpEx</t>
        </is>
      </c>
      <c r="G40" s="27" t="inlineStr">
        <is>
          <t>PROD</t>
        </is>
      </c>
      <c r="H40" s="27" t="inlineStr">
        <is>
          <t>OPS</t>
        </is>
      </c>
      <c r="I40" s="31" t="n">
        <v>15366</v>
      </c>
      <c r="J40" s="28" t="n">
        <v>16882</v>
      </c>
      <c r="K40" s="28" t="n">
        <v>17820</v>
      </c>
      <c r="L40" s="28" t="n">
        <v>18758</v>
      </c>
      <c r="M40" s="28" t="n">
        <v>19696</v>
      </c>
      <c r="N40" s="28" t="n">
        <v>20634</v>
      </c>
      <c r="O40" s="28" t="n">
        <v>21572</v>
      </c>
      <c r="P40" s="28" t="n">
        <v>20634</v>
      </c>
      <c r="Q40" s="28" t="n">
        <v>19696</v>
      </c>
      <c r="R40" s="28" t="n">
        <v>18758</v>
      </c>
      <c r="S40" s="28" t="n">
        <v>17820</v>
      </c>
      <c r="T40" s="28" t="n">
        <v>16882</v>
      </c>
      <c r="U40" s="29">
        <f>SUM(I40:T40)</f>
        <v/>
      </c>
    </row>
    <row r="41">
      <c r="A41" s="27" t="inlineStr">
        <is>
          <t>FORECAST_2024F2</t>
        </is>
      </c>
      <c r="B41" s="27" t="inlineStr">
        <is>
          <t>AMDE</t>
        </is>
      </c>
      <c r="C41" s="27" t="inlineStr">
        <is>
          <t>EUR</t>
        </is>
      </c>
      <c r="D41" s="27" t="inlineStr">
        <is>
          <t>6040</t>
        </is>
      </c>
      <c r="E41" s="27" t="inlineStr">
        <is>
          <t>Marketing Expense</t>
        </is>
      </c>
      <c r="F41" s="27" t="inlineStr">
        <is>
          <t>OpEx</t>
        </is>
      </c>
      <c r="G41" s="27" t="inlineStr">
        <is>
          <t>PROD</t>
        </is>
      </c>
      <c r="H41" s="27" t="inlineStr">
        <is>
          <t>OPS</t>
        </is>
      </c>
      <c r="I41" s="31" t="n">
        <v>20212</v>
      </c>
      <c r="J41" s="28" t="n">
        <v>19448</v>
      </c>
      <c r="K41" s="28" t="n">
        <v>20528</v>
      </c>
      <c r="L41" s="28" t="n">
        <v>21609</v>
      </c>
      <c r="M41" s="28" t="n">
        <v>22689</v>
      </c>
      <c r="N41" s="28" t="n">
        <v>23770</v>
      </c>
      <c r="O41" s="28" t="n">
        <v>24850</v>
      </c>
      <c r="P41" s="28" t="n">
        <v>23770</v>
      </c>
      <c r="Q41" s="28" t="n">
        <v>22689</v>
      </c>
      <c r="R41" s="28" t="n">
        <v>21609</v>
      </c>
      <c r="S41" s="28" t="n">
        <v>20528</v>
      </c>
      <c r="T41" s="28" t="n">
        <v>19448</v>
      </c>
      <c r="U41" s="29">
        <f>SUM(I41:T41)</f>
        <v/>
      </c>
    </row>
    <row r="42">
      <c r="A42" s="27" t="inlineStr">
        <is>
          <t>FORECAST_2024F2</t>
        </is>
      </c>
      <c r="B42" s="27" t="inlineStr">
        <is>
          <t>AMDE</t>
        </is>
      </c>
      <c r="C42" s="27" t="inlineStr">
        <is>
          <t>EUR</t>
        </is>
      </c>
      <c r="D42" s="27" t="inlineStr">
        <is>
          <t>6050</t>
        </is>
      </c>
      <c r="E42" s="27" t="inlineStr">
        <is>
          <t>Travel Expense</t>
        </is>
      </c>
      <c r="F42" s="27" t="inlineStr">
        <is>
          <t>OpEx</t>
        </is>
      </c>
      <c r="G42" s="27" t="inlineStr">
        <is>
          <t>PROD</t>
        </is>
      </c>
      <c r="H42" s="27" t="inlineStr">
        <is>
          <t>OPS</t>
        </is>
      </c>
      <c r="I42" s="31" t="n">
        <v>10179</v>
      </c>
      <c r="J42" s="28" t="n">
        <v>9762</v>
      </c>
      <c r="K42" s="28" t="n">
        <v>10305</v>
      </c>
      <c r="L42" s="28" t="n">
        <v>10847</v>
      </c>
      <c r="M42" s="28" t="n">
        <v>11390</v>
      </c>
      <c r="N42" s="28" t="n">
        <v>11932</v>
      </c>
      <c r="O42" s="28" t="n">
        <v>12474</v>
      </c>
      <c r="P42" s="28" t="n">
        <v>11932</v>
      </c>
      <c r="Q42" s="28" t="n">
        <v>11390</v>
      </c>
      <c r="R42" s="28" t="n">
        <v>10847</v>
      </c>
      <c r="S42" s="28" t="n">
        <v>10305</v>
      </c>
      <c r="T42" s="28" t="n">
        <v>9762</v>
      </c>
      <c r="U42" s="29">
        <f>SUM(I42:T42)</f>
        <v/>
      </c>
    </row>
    <row r="43">
      <c r="A43" s="27" t="inlineStr">
        <is>
          <t>FORECAST_2024F2</t>
        </is>
      </c>
      <c r="B43" s="27" t="inlineStr">
        <is>
          <t>AMDE</t>
        </is>
      </c>
      <c r="C43" s="27" t="inlineStr">
        <is>
          <t>EUR</t>
        </is>
      </c>
      <c r="D43" s="27" t="inlineStr">
        <is>
          <t>6060</t>
        </is>
      </c>
      <c r="E43" s="27" t="inlineStr">
        <is>
          <t>Utilities</t>
        </is>
      </c>
      <c r="F43" s="27" t="inlineStr">
        <is>
          <t>OpEx</t>
        </is>
      </c>
      <c r="G43" s="27" t="inlineStr">
        <is>
          <t>PROD</t>
        </is>
      </c>
      <c r="H43" s="27" t="inlineStr">
        <is>
          <t>OPS</t>
        </is>
      </c>
      <c r="I43" s="31" t="n">
        <v>7511</v>
      </c>
      <c r="J43" s="28" t="n">
        <v>8350</v>
      </c>
      <c r="K43" s="28" t="n">
        <v>8814</v>
      </c>
      <c r="L43" s="28" t="n">
        <v>9278</v>
      </c>
      <c r="M43" s="28" t="n">
        <v>9742</v>
      </c>
      <c r="N43" s="28" t="n">
        <v>10206</v>
      </c>
      <c r="O43" s="28" t="n">
        <v>10669</v>
      </c>
      <c r="P43" s="28" t="n">
        <v>10206</v>
      </c>
      <c r="Q43" s="28" t="n">
        <v>9742</v>
      </c>
      <c r="R43" s="28" t="n">
        <v>9278</v>
      </c>
      <c r="S43" s="28" t="n">
        <v>8814</v>
      </c>
      <c r="T43" s="28" t="n">
        <v>8350</v>
      </c>
      <c r="U43" s="29">
        <f>SUM(I43:T43)</f>
        <v/>
      </c>
    </row>
    <row r="44">
      <c r="E44" s="4" t="inlineStr">
        <is>
          <t>Net Income</t>
        </is>
      </c>
      <c r="I44" s="29">
        <f>SUM(I35:I43)</f>
        <v/>
      </c>
      <c r="J44" s="29">
        <f>SUM(J35:J43)</f>
        <v/>
      </c>
      <c r="K44" s="29">
        <f>SUM(K35:K43)</f>
        <v/>
      </c>
      <c r="L44" s="29">
        <f>SUM(L35:L43)</f>
        <v/>
      </c>
      <c r="M44" s="29">
        <f>SUM(M35:M43)</f>
        <v/>
      </c>
      <c r="N44" s="29">
        <f>SUM(N35:N43)</f>
        <v/>
      </c>
      <c r="O44" s="29">
        <f>SUM(O35:O43)</f>
        <v/>
      </c>
      <c r="P44" s="29">
        <f>SUM(P35:P43)</f>
        <v/>
      </c>
      <c r="Q44" s="29">
        <f>SUM(Q35:Q43)</f>
        <v/>
      </c>
      <c r="R44" s="29">
        <f>SUM(R35:R43)</f>
        <v/>
      </c>
      <c r="S44" s="29">
        <f>SUM(S35:S43)</f>
        <v/>
      </c>
      <c r="T44" s="29">
        <f>SUM(T35:T43)</f>
        <v/>
      </c>
      <c r="U44" s="29">
        <f>SUM(U35:U43)</f>
        <v/>
      </c>
    </row>
  </sheetData>
  <mergeCells count="3">
    <mergeCell ref="D34:T34"/>
    <mergeCell ref="D22:T22"/>
    <mergeCell ref="D10:T10"/>
  </mergeCell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U44"/>
  <sheetViews>
    <sheetView workbookViewId="0">
      <pane xSplit="8" ySplit="9" topLeftCell="I10"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0" customWidth="1" min="3" max="3"/>
    <col width="10" customWidth="1" min="4" max="4"/>
    <col width="22" customWidth="1" min="5" max="5"/>
    <col width="12" customWidth="1" min="6" max="6"/>
    <col width="14" customWidth="1" min="7" max="7"/>
    <col width="14"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4" customWidth="1" min="21" max="21"/>
  </cols>
  <sheetData>
    <row r="1">
      <c r="A1" s="20" t="inlineStr">
        <is>
          <t>Scenario:</t>
        </is>
      </c>
      <c r="B1" s="21" t="inlineStr">
        <is>
          <t>Forecast 2024 - Mar</t>
        </is>
      </c>
    </row>
    <row r="2">
      <c r="A2" s="20" t="inlineStr">
        <is>
          <t>Scenario ID:</t>
        </is>
      </c>
      <c r="B2" s="21" t="inlineStr">
        <is>
          <t>FORECAST_2024F3</t>
        </is>
      </c>
    </row>
    <row r="3">
      <c r="A3" s="20" t="inlineStr">
        <is>
          <t>Type:</t>
        </is>
      </c>
      <c r="B3" s="21" t="inlineStr">
        <is>
          <t>forecast</t>
        </is>
      </c>
    </row>
    <row r="4">
      <c r="A4" s="20" t="inlineStr">
        <is>
          <t>Fiscal Year:</t>
        </is>
      </c>
      <c r="B4" s="21" t="n">
        <v>2024</v>
      </c>
    </row>
    <row r="5">
      <c r="A5" s="20" t="inlineStr">
        <is>
          <t>Layer:</t>
        </is>
      </c>
      <c r="B5" s="21" t="inlineStr">
        <is>
          <t>base</t>
        </is>
      </c>
    </row>
    <row r="6">
      <c r="A6" s="20" t="inlineStr">
        <is>
          <t>Actual months:</t>
        </is>
      </c>
      <c r="B6" s="30" t="inlineStr">
        <is>
          <t>1-2 (yellow = actuals, white = editable forecast)</t>
        </is>
      </c>
    </row>
    <row r="7">
      <c r="A7" s="20" t="inlineStr">
        <is>
          <t>Usage:</t>
        </is>
      </c>
      <c r="B7" s="22" t="inlineStr">
        <is>
          <t>Edit white cells, then press Ctrl+Shift+R or F9 to save to server</t>
        </is>
      </c>
    </row>
    <row r="9">
      <c r="A9" s="23" t="inlineStr">
        <is>
          <t>Scenario ID</t>
        </is>
      </c>
      <c r="B9" s="23" t="inlineStr">
        <is>
          <t>Entity</t>
        </is>
      </c>
      <c r="C9" s="23" t="inlineStr">
        <is>
          <t>Currency</t>
        </is>
      </c>
      <c r="D9" s="23" t="inlineStr">
        <is>
          <t>Account</t>
        </is>
      </c>
      <c r="E9" s="23" t="inlineStr">
        <is>
          <t>Account Name</t>
        </is>
      </c>
      <c r="F9" s="23" t="inlineStr">
        <is>
          <t>Category</t>
        </is>
      </c>
      <c r="G9" s="23" t="inlineStr">
        <is>
          <t>Cost Center</t>
        </is>
      </c>
      <c r="H9" s="23" t="inlineStr">
        <is>
          <t>Department</t>
        </is>
      </c>
      <c r="I9" s="23" t="inlineStr">
        <is>
          <t>Jan</t>
        </is>
      </c>
      <c r="J9" s="23" t="inlineStr">
        <is>
          <t>Feb</t>
        </is>
      </c>
      <c r="K9" s="23" t="inlineStr">
        <is>
          <t>Mar</t>
        </is>
      </c>
      <c r="L9" s="23" t="inlineStr">
        <is>
          <t>Apr</t>
        </is>
      </c>
      <c r="M9" s="23" t="inlineStr">
        <is>
          <t>May</t>
        </is>
      </c>
      <c r="N9" s="23" t="inlineStr">
        <is>
          <t>Jun</t>
        </is>
      </c>
      <c r="O9" s="23" t="inlineStr">
        <is>
          <t>Jul</t>
        </is>
      </c>
      <c r="P9" s="23" t="inlineStr">
        <is>
          <t>Aug</t>
        </is>
      </c>
      <c r="Q9" s="23" t="inlineStr">
        <is>
          <t>Sep</t>
        </is>
      </c>
      <c r="R9" s="23" t="inlineStr">
        <is>
          <t>Oct</t>
        </is>
      </c>
      <c r="S9" s="23" t="inlineStr">
        <is>
          <t>Nov</t>
        </is>
      </c>
      <c r="T9" s="23" t="inlineStr">
        <is>
          <t>Dec</t>
        </is>
      </c>
      <c r="U9" s="23" t="inlineStr">
        <is>
          <t>Annual Total</t>
        </is>
      </c>
    </row>
    <row r="10">
      <c r="A10" s="24" t="inlineStr">
        <is>
          <t>AMHQ</t>
        </is>
      </c>
      <c r="B10" s="24" t="inlineStr">
        <is>
          <t>Alpine Manufacturing HQ</t>
        </is>
      </c>
      <c r="C10" s="24" t="inlineStr">
        <is>
          <t>CHF</t>
        </is>
      </c>
      <c r="D10" s="24" t="n"/>
      <c r="E10" s="25" t="n"/>
      <c r="F10" s="25" t="n"/>
      <c r="G10" s="25" t="n"/>
      <c r="H10" s="25" t="n"/>
      <c r="I10" s="25" t="n"/>
      <c r="J10" s="25" t="n"/>
      <c r="K10" s="25" t="n"/>
      <c r="L10" s="25" t="n"/>
      <c r="M10" s="25" t="n"/>
      <c r="N10" s="25" t="n"/>
      <c r="O10" s="25" t="n"/>
      <c r="P10" s="25" t="n"/>
      <c r="Q10" s="25" t="n"/>
      <c r="R10" s="25" t="n"/>
      <c r="S10" s="25" t="n"/>
      <c r="T10" s="26" t="n"/>
      <c r="U10" s="24" t="n"/>
    </row>
    <row r="11">
      <c r="A11" s="27" t="inlineStr">
        <is>
          <t>FORECAST_2024F3</t>
        </is>
      </c>
      <c r="B11" s="27" t="inlineStr">
        <is>
          <t>AMHQ</t>
        </is>
      </c>
      <c r="C11" s="27" t="inlineStr">
        <is>
          <t>CHF</t>
        </is>
      </c>
      <c r="D11" s="27" t="inlineStr">
        <is>
          <t>4010</t>
        </is>
      </c>
      <c r="E11" s="27" t="inlineStr">
        <is>
          <t>Product Revenue</t>
        </is>
      </c>
      <c r="F11" s="27" t="inlineStr">
        <is>
          <t>Revenue</t>
        </is>
      </c>
      <c r="G11" s="27" t="inlineStr">
        <is>
          <t>HQ</t>
        </is>
      </c>
      <c r="H11" s="27" t="inlineStr">
        <is>
          <t>MGMT</t>
        </is>
      </c>
      <c r="I11" s="31" t="n">
        <v>-445707</v>
      </c>
      <c r="J11" s="31" t="n">
        <v>-447147</v>
      </c>
      <c r="K11" s="28" t="n">
        <v>-498846</v>
      </c>
      <c r="L11" s="28" t="n">
        <v>-525101</v>
      </c>
      <c r="M11" s="28" t="n">
        <v>-551356</v>
      </c>
      <c r="N11" s="28" t="n">
        <v>-577611</v>
      </c>
      <c r="O11" s="28" t="n">
        <v>-603866</v>
      </c>
      <c r="P11" s="28" t="n">
        <v>-577611</v>
      </c>
      <c r="Q11" s="28" t="n">
        <v>-551356</v>
      </c>
      <c r="R11" s="28" t="n">
        <v>-525101</v>
      </c>
      <c r="S11" s="28" t="n">
        <v>-498846</v>
      </c>
      <c r="T11" s="28" t="n">
        <v>-472591</v>
      </c>
      <c r="U11" s="29">
        <f>SUM(I11:T11)</f>
        <v/>
      </c>
    </row>
    <row r="12">
      <c r="A12" s="27" t="inlineStr">
        <is>
          <t>FORECAST_2024F3</t>
        </is>
      </c>
      <c r="B12" s="27" t="inlineStr">
        <is>
          <t>AMHQ</t>
        </is>
      </c>
      <c r="C12" s="27" t="inlineStr">
        <is>
          <t>CHF</t>
        </is>
      </c>
      <c r="D12" s="27" t="inlineStr">
        <is>
          <t>4020</t>
        </is>
      </c>
      <c r="E12" s="27" t="inlineStr">
        <is>
          <t>Service Revenue</t>
        </is>
      </c>
      <c r="F12" s="27" t="inlineStr">
        <is>
          <t>Revenue</t>
        </is>
      </c>
      <c r="G12" s="27" t="inlineStr">
        <is>
          <t>HQ</t>
        </is>
      </c>
      <c r="H12" s="27" t="inlineStr">
        <is>
          <t>MGMT</t>
        </is>
      </c>
      <c r="I12" s="31" t="n">
        <v>-44278</v>
      </c>
      <c r="J12" s="31" t="n">
        <v>-53549</v>
      </c>
      <c r="K12" s="28" t="n">
        <v>-57333</v>
      </c>
      <c r="L12" s="28" t="n">
        <v>-60350</v>
      </c>
      <c r="M12" s="28" t="n">
        <v>-63368</v>
      </c>
      <c r="N12" s="28" t="n">
        <v>-66385</v>
      </c>
      <c r="O12" s="28" t="n">
        <v>-69403</v>
      </c>
      <c r="P12" s="28" t="n">
        <v>-66385</v>
      </c>
      <c r="Q12" s="28" t="n">
        <v>-63368</v>
      </c>
      <c r="R12" s="28" t="n">
        <v>-60350</v>
      </c>
      <c r="S12" s="28" t="n">
        <v>-57333</v>
      </c>
      <c r="T12" s="28" t="n">
        <v>-54315</v>
      </c>
      <c r="U12" s="29">
        <f>SUM(I12:T12)</f>
        <v/>
      </c>
    </row>
    <row r="13">
      <c r="A13" s="27" t="inlineStr">
        <is>
          <t>FORECAST_2024F3</t>
        </is>
      </c>
      <c r="B13" s="27" t="inlineStr">
        <is>
          <t>AMHQ</t>
        </is>
      </c>
      <c r="C13" s="27" t="inlineStr">
        <is>
          <t>CHF</t>
        </is>
      </c>
      <c r="D13" s="27" t="inlineStr">
        <is>
          <t>5010</t>
        </is>
      </c>
      <c r="E13" s="27" t="inlineStr">
        <is>
          <t>Cost of Goods Sold</t>
        </is>
      </c>
      <c r="F13" s="27" t="inlineStr">
        <is>
          <t>COGS</t>
        </is>
      </c>
      <c r="G13" s="27" t="inlineStr">
        <is>
          <t>HQ</t>
        </is>
      </c>
      <c r="H13" s="27" t="inlineStr">
        <is>
          <t>MGMT</t>
        </is>
      </c>
      <c r="I13" s="31" t="n">
        <v>181382</v>
      </c>
      <c r="J13" s="31" t="n">
        <v>174499</v>
      </c>
      <c r="K13" s="28" t="n">
        <v>199196</v>
      </c>
      <c r="L13" s="28" t="n">
        <v>209680</v>
      </c>
      <c r="M13" s="28" t="n">
        <v>220164</v>
      </c>
      <c r="N13" s="28" t="n">
        <v>230648</v>
      </c>
      <c r="O13" s="28" t="n">
        <v>241132</v>
      </c>
      <c r="P13" s="28" t="n">
        <v>230648</v>
      </c>
      <c r="Q13" s="28" t="n">
        <v>220164</v>
      </c>
      <c r="R13" s="28" t="n">
        <v>209680</v>
      </c>
      <c r="S13" s="28" t="n">
        <v>199196</v>
      </c>
      <c r="T13" s="28" t="n">
        <v>188712</v>
      </c>
      <c r="U13" s="29">
        <f>SUM(I13:T13)</f>
        <v/>
      </c>
    </row>
    <row r="14">
      <c r="A14" s="27" t="inlineStr">
        <is>
          <t>FORECAST_2024F3</t>
        </is>
      </c>
      <c r="B14" s="27" t="inlineStr">
        <is>
          <t>AMHQ</t>
        </is>
      </c>
      <c r="C14" s="27" t="inlineStr">
        <is>
          <t>CHF</t>
        </is>
      </c>
      <c r="D14" s="27" t="inlineStr">
        <is>
          <t>6010</t>
        </is>
      </c>
      <c r="E14" s="27" t="inlineStr">
        <is>
          <t>Salaries and Wages</t>
        </is>
      </c>
      <c r="F14" s="27" t="inlineStr">
        <is>
          <t>OpEx</t>
        </is>
      </c>
      <c r="G14" s="27" t="inlineStr">
        <is>
          <t>HQ</t>
        </is>
      </c>
      <c r="H14" s="27" t="inlineStr">
        <is>
          <t>MGMT</t>
        </is>
      </c>
      <c r="I14" s="31" t="n">
        <v>107728</v>
      </c>
      <c r="J14" s="31" t="n">
        <v>110094</v>
      </c>
      <c r="K14" s="28" t="n">
        <v>120683</v>
      </c>
      <c r="L14" s="28" t="n">
        <v>127034</v>
      </c>
      <c r="M14" s="28" t="n">
        <v>133386</v>
      </c>
      <c r="N14" s="28" t="n">
        <v>139738</v>
      </c>
      <c r="O14" s="28" t="n">
        <v>146090</v>
      </c>
      <c r="P14" s="28" t="n">
        <v>139738</v>
      </c>
      <c r="Q14" s="28" t="n">
        <v>133386</v>
      </c>
      <c r="R14" s="28" t="n">
        <v>127034</v>
      </c>
      <c r="S14" s="28" t="n">
        <v>120683</v>
      </c>
      <c r="T14" s="28" t="n">
        <v>114331</v>
      </c>
      <c r="U14" s="29">
        <f>SUM(I14:T14)</f>
        <v/>
      </c>
    </row>
    <row r="15">
      <c r="A15" s="27" t="inlineStr">
        <is>
          <t>FORECAST_2024F3</t>
        </is>
      </c>
      <c r="B15" s="27" t="inlineStr">
        <is>
          <t>AMHQ</t>
        </is>
      </c>
      <c r="C15" s="27" t="inlineStr">
        <is>
          <t>CHF</t>
        </is>
      </c>
      <c r="D15" s="27" t="inlineStr">
        <is>
          <t>6020</t>
        </is>
      </c>
      <c r="E15" s="27" t="inlineStr">
        <is>
          <t>Rent Expense</t>
        </is>
      </c>
      <c r="F15" s="27" t="inlineStr">
        <is>
          <t>OpEx</t>
        </is>
      </c>
      <c r="G15" s="27" t="inlineStr">
        <is>
          <t>HQ</t>
        </is>
      </c>
      <c r="H15" s="27" t="inlineStr">
        <is>
          <t>MGMT</t>
        </is>
      </c>
      <c r="I15" s="31" t="n">
        <v>17789</v>
      </c>
      <c r="J15" s="31" t="n">
        <v>16974</v>
      </c>
      <c r="K15" s="28" t="n">
        <v>19695</v>
      </c>
      <c r="L15" s="28" t="n">
        <v>20732</v>
      </c>
      <c r="M15" s="28" t="n">
        <v>21768</v>
      </c>
      <c r="N15" s="28" t="n">
        <v>22805</v>
      </c>
      <c r="O15" s="28" t="n">
        <v>23842</v>
      </c>
      <c r="P15" s="28" t="n">
        <v>22805</v>
      </c>
      <c r="Q15" s="28" t="n">
        <v>21768</v>
      </c>
      <c r="R15" s="28" t="n">
        <v>20732</v>
      </c>
      <c r="S15" s="28" t="n">
        <v>19695</v>
      </c>
      <c r="T15" s="28" t="n">
        <v>18659</v>
      </c>
      <c r="U15" s="29">
        <f>SUM(I15:T15)</f>
        <v/>
      </c>
    </row>
    <row r="16">
      <c r="A16" s="27" t="inlineStr">
        <is>
          <t>FORECAST_2024F3</t>
        </is>
      </c>
      <c r="B16" s="27" t="inlineStr">
        <is>
          <t>AMHQ</t>
        </is>
      </c>
      <c r="C16" s="27" t="inlineStr">
        <is>
          <t>CHF</t>
        </is>
      </c>
      <c r="D16" s="27" t="inlineStr">
        <is>
          <t>6030</t>
        </is>
      </c>
      <c r="E16" s="27" t="inlineStr">
        <is>
          <t>Depreciation Expense</t>
        </is>
      </c>
      <c r="F16" s="27" t="inlineStr">
        <is>
          <t>OpEx</t>
        </is>
      </c>
      <c r="G16" s="27" t="inlineStr">
        <is>
          <t>HQ</t>
        </is>
      </c>
      <c r="H16" s="27" t="inlineStr">
        <is>
          <t>MGMT</t>
        </is>
      </c>
      <c r="I16" s="31" t="n">
        <v>13196</v>
      </c>
      <c r="J16" s="31" t="n">
        <v>14195</v>
      </c>
      <c r="K16" s="28" t="n">
        <v>15129</v>
      </c>
      <c r="L16" s="28" t="n">
        <v>15926</v>
      </c>
      <c r="M16" s="28" t="n">
        <v>16722</v>
      </c>
      <c r="N16" s="28" t="n">
        <v>17518</v>
      </c>
      <c r="O16" s="28" t="n">
        <v>18314</v>
      </c>
      <c r="P16" s="28" t="n">
        <v>17518</v>
      </c>
      <c r="Q16" s="28" t="n">
        <v>16722</v>
      </c>
      <c r="R16" s="28" t="n">
        <v>15926</v>
      </c>
      <c r="S16" s="28" t="n">
        <v>15129</v>
      </c>
      <c r="T16" s="28" t="n">
        <v>14333</v>
      </c>
      <c r="U16" s="29">
        <f>SUM(I16:T16)</f>
        <v/>
      </c>
    </row>
    <row r="17">
      <c r="A17" s="27" t="inlineStr">
        <is>
          <t>FORECAST_2024F3</t>
        </is>
      </c>
      <c r="B17" s="27" t="inlineStr">
        <is>
          <t>AMHQ</t>
        </is>
      </c>
      <c r="C17" s="27" t="inlineStr">
        <is>
          <t>CHF</t>
        </is>
      </c>
      <c r="D17" s="27" t="inlineStr">
        <is>
          <t>6040</t>
        </is>
      </c>
      <c r="E17" s="27" t="inlineStr">
        <is>
          <t>Marketing Expense</t>
        </is>
      </c>
      <c r="F17" s="27" t="inlineStr">
        <is>
          <t>OpEx</t>
        </is>
      </c>
      <c r="G17" s="27" t="inlineStr">
        <is>
          <t>HQ</t>
        </is>
      </c>
      <c r="H17" s="27" t="inlineStr">
        <is>
          <t>MGMT</t>
        </is>
      </c>
      <c r="I17" s="31" t="n">
        <v>14704</v>
      </c>
      <c r="J17" s="31" t="n">
        <v>16433</v>
      </c>
      <c r="K17" s="28" t="n">
        <v>16146</v>
      </c>
      <c r="L17" s="28" t="n">
        <v>16996</v>
      </c>
      <c r="M17" s="28" t="n">
        <v>17846</v>
      </c>
      <c r="N17" s="28" t="n">
        <v>18695</v>
      </c>
      <c r="O17" s="28" t="n">
        <v>19545</v>
      </c>
      <c r="P17" s="28" t="n">
        <v>18695</v>
      </c>
      <c r="Q17" s="28" t="n">
        <v>17846</v>
      </c>
      <c r="R17" s="28" t="n">
        <v>16996</v>
      </c>
      <c r="S17" s="28" t="n">
        <v>16146</v>
      </c>
      <c r="T17" s="28" t="n">
        <v>15296</v>
      </c>
      <c r="U17" s="29">
        <f>SUM(I17:T17)</f>
        <v/>
      </c>
    </row>
    <row r="18">
      <c r="A18" s="27" t="inlineStr">
        <is>
          <t>FORECAST_2024F3</t>
        </is>
      </c>
      <c r="B18" s="27" t="inlineStr">
        <is>
          <t>AMHQ</t>
        </is>
      </c>
      <c r="C18" s="27" t="inlineStr">
        <is>
          <t>CHF</t>
        </is>
      </c>
      <c r="D18" s="27" t="inlineStr">
        <is>
          <t>6050</t>
        </is>
      </c>
      <c r="E18" s="27" t="inlineStr">
        <is>
          <t>Travel Expense</t>
        </is>
      </c>
      <c r="F18" s="27" t="inlineStr">
        <is>
          <t>OpEx</t>
        </is>
      </c>
      <c r="G18" s="27" t="inlineStr">
        <is>
          <t>HQ</t>
        </is>
      </c>
      <c r="H18" s="27" t="inlineStr">
        <is>
          <t>MGMT</t>
        </is>
      </c>
      <c r="I18" s="31" t="n">
        <v>5342</v>
      </c>
      <c r="J18" s="31" t="n">
        <v>5966</v>
      </c>
      <c r="K18" s="28" t="n">
        <v>6916</v>
      </c>
      <c r="L18" s="28" t="n">
        <v>7280</v>
      </c>
      <c r="M18" s="28" t="n">
        <v>7644</v>
      </c>
      <c r="N18" s="28" t="n">
        <v>8008</v>
      </c>
      <c r="O18" s="28" t="n">
        <v>8372</v>
      </c>
      <c r="P18" s="28" t="n">
        <v>8008</v>
      </c>
      <c r="Q18" s="28" t="n">
        <v>7644</v>
      </c>
      <c r="R18" s="28" t="n">
        <v>7280</v>
      </c>
      <c r="S18" s="28" t="n">
        <v>6916</v>
      </c>
      <c r="T18" s="28" t="n">
        <v>6552</v>
      </c>
      <c r="U18" s="29">
        <f>SUM(I18:T18)</f>
        <v/>
      </c>
    </row>
    <row r="19">
      <c r="A19" s="27" t="inlineStr">
        <is>
          <t>FORECAST_2024F3</t>
        </is>
      </c>
      <c r="B19" s="27" t="inlineStr">
        <is>
          <t>AMHQ</t>
        </is>
      </c>
      <c r="C19" s="27" t="inlineStr">
        <is>
          <t>CHF</t>
        </is>
      </c>
      <c r="D19" s="27" t="inlineStr">
        <is>
          <t>6060</t>
        </is>
      </c>
      <c r="E19" s="27" t="inlineStr">
        <is>
          <t>Utilities</t>
        </is>
      </c>
      <c r="F19" s="27" t="inlineStr">
        <is>
          <t>OpEx</t>
        </is>
      </c>
      <c r="G19" s="27" t="inlineStr">
        <is>
          <t>HQ</t>
        </is>
      </c>
      <c r="H19" s="27" t="inlineStr">
        <is>
          <t>MGMT</t>
        </is>
      </c>
      <c r="I19" s="31" t="n">
        <v>6524</v>
      </c>
      <c r="J19" s="31" t="n">
        <v>6320</v>
      </c>
      <c r="K19" s="28" t="n">
        <v>7333</v>
      </c>
      <c r="L19" s="28" t="n">
        <v>7719</v>
      </c>
      <c r="M19" s="28" t="n">
        <v>8105</v>
      </c>
      <c r="N19" s="28" t="n">
        <v>8491</v>
      </c>
      <c r="O19" s="28" t="n">
        <v>8877</v>
      </c>
      <c r="P19" s="28" t="n">
        <v>8491</v>
      </c>
      <c r="Q19" s="28" t="n">
        <v>8105</v>
      </c>
      <c r="R19" s="28" t="n">
        <v>7719</v>
      </c>
      <c r="S19" s="28" t="n">
        <v>7333</v>
      </c>
      <c r="T19" s="28" t="n">
        <v>6947</v>
      </c>
      <c r="U19" s="29">
        <f>SUM(I19:T19)</f>
        <v/>
      </c>
    </row>
    <row r="20">
      <c r="E20" s="4" t="inlineStr">
        <is>
          <t>Net Income</t>
        </is>
      </c>
      <c r="I20" s="29">
        <f>SUM(I11:I19)</f>
        <v/>
      </c>
      <c r="J20" s="29">
        <f>SUM(J11:J19)</f>
        <v/>
      </c>
      <c r="K20" s="29">
        <f>SUM(K11:K19)</f>
        <v/>
      </c>
      <c r="L20" s="29">
        <f>SUM(L11:L19)</f>
        <v/>
      </c>
      <c r="M20" s="29">
        <f>SUM(M11:M19)</f>
        <v/>
      </c>
      <c r="N20" s="29">
        <f>SUM(N11:N19)</f>
        <v/>
      </c>
      <c r="O20" s="29">
        <f>SUM(O11:O19)</f>
        <v/>
      </c>
      <c r="P20" s="29">
        <f>SUM(P11:P19)</f>
        <v/>
      </c>
      <c r="Q20" s="29">
        <f>SUM(Q11:Q19)</f>
        <v/>
      </c>
      <c r="R20" s="29">
        <f>SUM(R11:R19)</f>
        <v/>
      </c>
      <c r="S20" s="29">
        <f>SUM(S11:S19)</f>
        <v/>
      </c>
      <c r="T20" s="29">
        <f>SUM(T11:T19)</f>
        <v/>
      </c>
      <c r="U20" s="29">
        <f>SUM(U11:U19)</f>
        <v/>
      </c>
    </row>
    <row r="22">
      <c r="A22" s="24" t="inlineStr">
        <is>
          <t>AMUS</t>
        </is>
      </c>
      <c r="B22" s="24" t="inlineStr">
        <is>
          <t>Alpine Manufacturing US</t>
        </is>
      </c>
      <c r="C22" s="24" t="inlineStr">
        <is>
          <t>USD</t>
        </is>
      </c>
      <c r="D22" s="24" t="n"/>
      <c r="E22" s="25" t="n"/>
      <c r="F22" s="25" t="n"/>
      <c r="G22" s="25" t="n"/>
      <c r="H22" s="25" t="n"/>
      <c r="I22" s="25" t="n"/>
      <c r="J22" s="25" t="n"/>
      <c r="K22" s="25" t="n"/>
      <c r="L22" s="25" t="n"/>
      <c r="M22" s="25" t="n"/>
      <c r="N22" s="25" t="n"/>
      <c r="O22" s="25" t="n"/>
      <c r="P22" s="25" t="n"/>
      <c r="Q22" s="25" t="n"/>
      <c r="R22" s="25" t="n"/>
      <c r="S22" s="25" t="n"/>
      <c r="T22" s="26" t="n"/>
      <c r="U22" s="24" t="n"/>
    </row>
    <row r="23">
      <c r="A23" s="27" t="inlineStr">
        <is>
          <t>FORECAST_2024F3</t>
        </is>
      </c>
      <c r="B23" s="27" t="inlineStr">
        <is>
          <t>AMUS</t>
        </is>
      </c>
      <c r="C23" s="27" t="inlineStr">
        <is>
          <t>USD</t>
        </is>
      </c>
      <c r="D23" s="27" t="inlineStr">
        <is>
          <t>4010</t>
        </is>
      </c>
      <c r="E23" s="27" t="inlineStr">
        <is>
          <t>Product Revenue</t>
        </is>
      </c>
      <c r="F23" s="27" t="inlineStr">
        <is>
          <t>Revenue</t>
        </is>
      </c>
      <c r="G23" s="27" t="inlineStr">
        <is>
          <t>SALES</t>
        </is>
      </c>
      <c r="H23" s="27" t="inlineStr">
        <is>
          <t>SALES</t>
        </is>
      </c>
      <c r="I23" s="31" t="n">
        <v>-649126</v>
      </c>
      <c r="J23" s="31" t="n">
        <v>-707924</v>
      </c>
      <c r="K23" s="28" t="n">
        <v>-778742</v>
      </c>
      <c r="L23" s="28" t="n">
        <v>-819728</v>
      </c>
      <c r="M23" s="28" t="n">
        <v>-860715</v>
      </c>
      <c r="N23" s="28" t="n">
        <v>-901701</v>
      </c>
      <c r="O23" s="28" t="n">
        <v>-942686</v>
      </c>
      <c r="P23" s="28" t="n">
        <v>-901701</v>
      </c>
      <c r="Q23" s="28" t="n">
        <v>-860715</v>
      </c>
      <c r="R23" s="28" t="n">
        <v>-819728</v>
      </c>
      <c r="S23" s="28" t="n">
        <v>-778742</v>
      </c>
      <c r="T23" s="28" t="n">
        <v>-737755</v>
      </c>
      <c r="U23" s="29">
        <f>SUM(I23:T23)</f>
        <v/>
      </c>
    </row>
    <row r="24">
      <c r="A24" s="27" t="inlineStr">
        <is>
          <t>FORECAST_2024F3</t>
        </is>
      </c>
      <c r="B24" s="27" t="inlineStr">
        <is>
          <t>AMUS</t>
        </is>
      </c>
      <c r="C24" s="27" t="inlineStr">
        <is>
          <t>USD</t>
        </is>
      </c>
      <c r="D24" s="27" t="inlineStr">
        <is>
          <t>4020</t>
        </is>
      </c>
      <c r="E24" s="27" t="inlineStr">
        <is>
          <t>Service Revenue</t>
        </is>
      </c>
      <c r="F24" s="27" t="inlineStr">
        <is>
          <t>Revenue</t>
        </is>
      </c>
      <c r="G24" s="27" t="inlineStr">
        <is>
          <t>SALES</t>
        </is>
      </c>
      <c r="H24" s="27" t="inlineStr">
        <is>
          <t>SALES</t>
        </is>
      </c>
      <c r="I24" s="31" t="n">
        <v>-84483</v>
      </c>
      <c r="J24" s="31" t="n">
        <v>-86494</v>
      </c>
      <c r="K24" s="28" t="n">
        <v>-95656</v>
      </c>
      <c r="L24" s="28" t="n">
        <v>-100690</v>
      </c>
      <c r="M24" s="28" t="n">
        <v>-105725</v>
      </c>
      <c r="N24" s="28" t="n">
        <v>-110759</v>
      </c>
      <c r="O24" s="28" t="n">
        <v>-115793</v>
      </c>
      <c r="P24" s="28" t="n">
        <v>-110759</v>
      </c>
      <c r="Q24" s="28" t="n">
        <v>-105725</v>
      </c>
      <c r="R24" s="28" t="n">
        <v>-100690</v>
      </c>
      <c r="S24" s="28" t="n">
        <v>-95656</v>
      </c>
      <c r="T24" s="28" t="n">
        <v>-90621</v>
      </c>
      <c r="U24" s="29">
        <f>SUM(I24:T24)</f>
        <v/>
      </c>
    </row>
    <row r="25">
      <c r="A25" s="27" t="inlineStr">
        <is>
          <t>FORECAST_2024F3</t>
        </is>
      </c>
      <c r="B25" s="27" t="inlineStr">
        <is>
          <t>AMUS</t>
        </is>
      </c>
      <c r="C25" s="27" t="inlineStr">
        <is>
          <t>USD</t>
        </is>
      </c>
      <c r="D25" s="27" t="inlineStr">
        <is>
          <t>5010</t>
        </is>
      </c>
      <c r="E25" s="27" t="inlineStr">
        <is>
          <t>Cost of Goods Sold</t>
        </is>
      </c>
      <c r="F25" s="27" t="inlineStr">
        <is>
          <t>COGS</t>
        </is>
      </c>
      <c r="G25" s="27" t="inlineStr">
        <is>
          <t>SALES</t>
        </is>
      </c>
      <c r="H25" s="27" t="inlineStr">
        <is>
          <t>SALES</t>
        </is>
      </c>
      <c r="I25" s="31" t="n">
        <v>288148</v>
      </c>
      <c r="J25" s="31" t="n">
        <v>318813</v>
      </c>
      <c r="K25" s="28" t="n">
        <v>328906</v>
      </c>
      <c r="L25" s="28" t="n">
        <v>346217</v>
      </c>
      <c r="M25" s="28" t="n">
        <v>363528</v>
      </c>
      <c r="N25" s="28" t="n">
        <v>380839</v>
      </c>
      <c r="O25" s="28" t="n">
        <v>398149</v>
      </c>
      <c r="P25" s="28" t="n">
        <v>380839</v>
      </c>
      <c r="Q25" s="28" t="n">
        <v>363528</v>
      </c>
      <c r="R25" s="28" t="n">
        <v>346217</v>
      </c>
      <c r="S25" s="28" t="n">
        <v>328906</v>
      </c>
      <c r="T25" s="28" t="n">
        <v>311595</v>
      </c>
      <c r="U25" s="29">
        <f>SUM(I25:T25)</f>
        <v/>
      </c>
    </row>
    <row r="26">
      <c r="A26" s="27" t="inlineStr">
        <is>
          <t>FORECAST_2024F3</t>
        </is>
      </c>
      <c r="B26" s="27" t="inlineStr">
        <is>
          <t>AMUS</t>
        </is>
      </c>
      <c r="C26" s="27" t="inlineStr">
        <is>
          <t>USD</t>
        </is>
      </c>
      <c r="D26" s="27" t="inlineStr">
        <is>
          <t>6010</t>
        </is>
      </c>
      <c r="E26" s="27" t="inlineStr">
        <is>
          <t>Salaries and Wages</t>
        </is>
      </c>
      <c r="F26" s="27" t="inlineStr">
        <is>
          <t>OpEx</t>
        </is>
      </c>
      <c r="G26" s="27" t="inlineStr">
        <is>
          <t>SALES</t>
        </is>
      </c>
      <c r="H26" s="27" t="inlineStr">
        <is>
          <t>SALES</t>
        </is>
      </c>
      <c r="I26" s="31" t="n">
        <v>155422</v>
      </c>
      <c r="J26" s="31" t="n">
        <v>166797</v>
      </c>
      <c r="K26" s="28" t="n">
        <v>185955</v>
      </c>
      <c r="L26" s="28" t="n">
        <v>195742</v>
      </c>
      <c r="M26" s="28" t="n">
        <v>205529</v>
      </c>
      <c r="N26" s="28" t="n">
        <v>215316</v>
      </c>
      <c r="O26" s="28" t="n">
        <v>225103</v>
      </c>
      <c r="P26" s="28" t="n">
        <v>215316</v>
      </c>
      <c r="Q26" s="28" t="n">
        <v>205529</v>
      </c>
      <c r="R26" s="28" t="n">
        <v>195742</v>
      </c>
      <c r="S26" s="28" t="n">
        <v>185955</v>
      </c>
      <c r="T26" s="28" t="n">
        <v>176168</v>
      </c>
      <c r="U26" s="29">
        <f>SUM(I26:T26)</f>
        <v/>
      </c>
    </row>
    <row r="27">
      <c r="A27" s="27" t="inlineStr">
        <is>
          <t>FORECAST_2024F3</t>
        </is>
      </c>
      <c r="B27" s="27" t="inlineStr">
        <is>
          <t>AMUS</t>
        </is>
      </c>
      <c r="C27" s="27" t="inlineStr">
        <is>
          <t>USD</t>
        </is>
      </c>
      <c r="D27" s="27" t="inlineStr">
        <is>
          <t>6020</t>
        </is>
      </c>
      <c r="E27" s="27" t="inlineStr">
        <is>
          <t>Rent Expense</t>
        </is>
      </c>
      <c r="F27" s="27" t="inlineStr">
        <is>
          <t>OpEx</t>
        </is>
      </c>
      <c r="G27" s="27" t="inlineStr">
        <is>
          <t>SALES</t>
        </is>
      </c>
      <c r="H27" s="27" t="inlineStr">
        <is>
          <t>SALES</t>
        </is>
      </c>
      <c r="I27" s="31" t="n">
        <v>25870</v>
      </c>
      <c r="J27" s="31" t="n">
        <v>27033</v>
      </c>
      <c r="K27" s="28" t="n">
        <v>30775</v>
      </c>
      <c r="L27" s="28" t="n">
        <v>32395</v>
      </c>
      <c r="M27" s="28" t="n">
        <v>34014</v>
      </c>
      <c r="N27" s="28" t="n">
        <v>35634</v>
      </c>
      <c r="O27" s="28" t="n">
        <v>37253</v>
      </c>
      <c r="P27" s="28" t="n">
        <v>35634</v>
      </c>
      <c r="Q27" s="28" t="n">
        <v>34014</v>
      </c>
      <c r="R27" s="28" t="n">
        <v>32395</v>
      </c>
      <c r="S27" s="28" t="n">
        <v>30775</v>
      </c>
      <c r="T27" s="28" t="n">
        <v>29155</v>
      </c>
      <c r="U27" s="29">
        <f>SUM(I27:T27)</f>
        <v/>
      </c>
    </row>
    <row r="28">
      <c r="A28" s="27" t="inlineStr">
        <is>
          <t>FORECAST_2024F3</t>
        </is>
      </c>
      <c r="B28" s="27" t="inlineStr">
        <is>
          <t>AMUS</t>
        </is>
      </c>
      <c r="C28" s="27" t="inlineStr">
        <is>
          <t>USD</t>
        </is>
      </c>
      <c r="D28" s="27" t="inlineStr">
        <is>
          <t>6030</t>
        </is>
      </c>
      <c r="E28" s="27" t="inlineStr">
        <is>
          <t>Depreciation Expense</t>
        </is>
      </c>
      <c r="F28" s="27" t="inlineStr">
        <is>
          <t>OpEx</t>
        </is>
      </c>
      <c r="G28" s="27" t="inlineStr">
        <is>
          <t>SALES</t>
        </is>
      </c>
      <c r="H28" s="27" t="inlineStr">
        <is>
          <t>SALES</t>
        </is>
      </c>
      <c r="I28" s="31" t="n">
        <v>19425</v>
      </c>
      <c r="J28" s="31" t="n">
        <v>21215</v>
      </c>
      <c r="K28" s="28" t="n">
        <v>23342</v>
      </c>
      <c r="L28" s="28" t="n">
        <v>24571</v>
      </c>
      <c r="M28" s="28" t="n">
        <v>25800</v>
      </c>
      <c r="N28" s="28" t="n">
        <v>27028</v>
      </c>
      <c r="O28" s="28" t="n">
        <v>28256</v>
      </c>
      <c r="P28" s="28" t="n">
        <v>27028</v>
      </c>
      <c r="Q28" s="28" t="n">
        <v>25800</v>
      </c>
      <c r="R28" s="28" t="n">
        <v>24571</v>
      </c>
      <c r="S28" s="28" t="n">
        <v>23342</v>
      </c>
      <c r="T28" s="28" t="n">
        <v>22114</v>
      </c>
      <c r="U28" s="29">
        <f>SUM(I28:T28)</f>
        <v/>
      </c>
    </row>
    <row r="29">
      <c r="A29" s="27" t="inlineStr">
        <is>
          <t>FORECAST_2024F3</t>
        </is>
      </c>
      <c r="B29" s="27" t="inlineStr">
        <is>
          <t>AMUS</t>
        </is>
      </c>
      <c r="C29" s="27" t="inlineStr">
        <is>
          <t>USD</t>
        </is>
      </c>
      <c r="D29" s="27" t="inlineStr">
        <is>
          <t>6040</t>
        </is>
      </c>
      <c r="E29" s="27" t="inlineStr">
        <is>
          <t>Marketing Expense</t>
        </is>
      </c>
      <c r="F29" s="27" t="inlineStr">
        <is>
          <t>OpEx</t>
        </is>
      </c>
      <c r="G29" s="27" t="inlineStr">
        <is>
          <t>SALES</t>
        </is>
      </c>
      <c r="H29" s="27" t="inlineStr">
        <is>
          <t>SALES</t>
        </is>
      </c>
      <c r="I29" s="31" t="n">
        <v>23234</v>
      </c>
      <c r="J29" s="31" t="n">
        <v>28509</v>
      </c>
      <c r="K29" s="28" t="n">
        <v>26356</v>
      </c>
      <c r="L29" s="28" t="n">
        <v>27743</v>
      </c>
      <c r="M29" s="28" t="n">
        <v>29130</v>
      </c>
      <c r="N29" s="28" t="n">
        <v>30518</v>
      </c>
      <c r="O29" s="28" t="n">
        <v>31904</v>
      </c>
      <c r="P29" s="28" t="n">
        <v>30518</v>
      </c>
      <c r="Q29" s="28" t="n">
        <v>29130</v>
      </c>
      <c r="R29" s="28" t="n">
        <v>27743</v>
      </c>
      <c r="S29" s="28" t="n">
        <v>26356</v>
      </c>
      <c r="T29" s="28" t="n">
        <v>24969</v>
      </c>
      <c r="U29" s="29">
        <f>SUM(I29:T29)</f>
        <v/>
      </c>
    </row>
    <row r="30">
      <c r="A30" s="27" t="inlineStr">
        <is>
          <t>FORECAST_2024F3</t>
        </is>
      </c>
      <c r="B30" s="27" t="inlineStr">
        <is>
          <t>AMUS</t>
        </is>
      </c>
      <c r="C30" s="27" t="inlineStr">
        <is>
          <t>USD</t>
        </is>
      </c>
      <c r="D30" s="27" t="inlineStr">
        <is>
          <t>6050</t>
        </is>
      </c>
      <c r="E30" s="27" t="inlineStr">
        <is>
          <t>Travel Expense</t>
        </is>
      </c>
      <c r="F30" s="27" t="inlineStr">
        <is>
          <t>OpEx</t>
        </is>
      </c>
      <c r="G30" s="27" t="inlineStr">
        <is>
          <t>SALES</t>
        </is>
      </c>
      <c r="H30" s="27" t="inlineStr">
        <is>
          <t>SALES</t>
        </is>
      </c>
      <c r="I30" s="31" t="n">
        <v>9086</v>
      </c>
      <c r="J30" s="31" t="n">
        <v>8350</v>
      </c>
      <c r="K30" s="28" t="n">
        <v>10888</v>
      </c>
      <c r="L30" s="28" t="n">
        <v>11461</v>
      </c>
      <c r="M30" s="28" t="n">
        <v>12034</v>
      </c>
      <c r="N30" s="28" t="n">
        <v>12607</v>
      </c>
      <c r="O30" s="28" t="n">
        <v>13180</v>
      </c>
      <c r="P30" s="28" t="n">
        <v>12607</v>
      </c>
      <c r="Q30" s="28" t="n">
        <v>12034</v>
      </c>
      <c r="R30" s="28" t="n">
        <v>11461</v>
      </c>
      <c r="S30" s="28" t="n">
        <v>10888</v>
      </c>
      <c r="T30" s="28" t="n">
        <v>10315</v>
      </c>
      <c r="U30" s="29">
        <f>SUM(I30:T30)</f>
        <v/>
      </c>
    </row>
    <row r="31">
      <c r="A31" s="27" t="inlineStr">
        <is>
          <t>FORECAST_2024F3</t>
        </is>
      </c>
      <c r="B31" s="27" t="inlineStr">
        <is>
          <t>AMUS</t>
        </is>
      </c>
      <c r="C31" s="27" t="inlineStr">
        <is>
          <t>USD</t>
        </is>
      </c>
      <c r="D31" s="27" t="inlineStr">
        <is>
          <t>6060</t>
        </is>
      </c>
      <c r="E31" s="27" t="inlineStr">
        <is>
          <t>Utilities</t>
        </is>
      </c>
      <c r="F31" s="27" t="inlineStr">
        <is>
          <t>OpEx</t>
        </is>
      </c>
      <c r="G31" s="27" t="inlineStr">
        <is>
          <t>SALES</t>
        </is>
      </c>
      <c r="H31" s="27" t="inlineStr">
        <is>
          <t>SALES</t>
        </is>
      </c>
      <c r="I31" s="31" t="n">
        <v>10110</v>
      </c>
      <c r="J31" s="31" t="n">
        <v>10665</v>
      </c>
      <c r="K31" s="28" t="n">
        <v>11794</v>
      </c>
      <c r="L31" s="28" t="n">
        <v>12415</v>
      </c>
      <c r="M31" s="28" t="n">
        <v>13036</v>
      </c>
      <c r="N31" s="28" t="n">
        <v>13657</v>
      </c>
      <c r="O31" s="28" t="n">
        <v>14277</v>
      </c>
      <c r="P31" s="28" t="n">
        <v>13657</v>
      </c>
      <c r="Q31" s="28" t="n">
        <v>13036</v>
      </c>
      <c r="R31" s="28" t="n">
        <v>12415</v>
      </c>
      <c r="S31" s="28" t="n">
        <v>11794</v>
      </c>
      <c r="T31" s="28" t="n">
        <v>11174</v>
      </c>
      <c r="U31" s="29">
        <f>SUM(I31:T31)</f>
        <v/>
      </c>
    </row>
    <row r="32">
      <c r="E32" s="4" t="inlineStr">
        <is>
          <t>Net Income</t>
        </is>
      </c>
      <c r="I32" s="29">
        <f>SUM(I23:I31)</f>
        <v/>
      </c>
      <c r="J32" s="29">
        <f>SUM(J23:J31)</f>
        <v/>
      </c>
      <c r="K32" s="29">
        <f>SUM(K23:K31)</f>
        <v/>
      </c>
      <c r="L32" s="29">
        <f>SUM(L23:L31)</f>
        <v/>
      </c>
      <c r="M32" s="29">
        <f>SUM(M23:M31)</f>
        <v/>
      </c>
      <c r="N32" s="29">
        <f>SUM(N23:N31)</f>
        <v/>
      </c>
      <c r="O32" s="29">
        <f>SUM(O23:O31)</f>
        <v/>
      </c>
      <c r="P32" s="29">
        <f>SUM(P23:P31)</f>
        <v/>
      </c>
      <c r="Q32" s="29">
        <f>SUM(Q23:Q31)</f>
        <v/>
      </c>
      <c r="R32" s="29">
        <f>SUM(R23:R31)</f>
        <v/>
      </c>
      <c r="S32" s="29">
        <f>SUM(S23:S31)</f>
        <v/>
      </c>
      <c r="T32" s="29">
        <f>SUM(T23:T31)</f>
        <v/>
      </c>
      <c r="U32" s="29">
        <f>SUM(U23:U31)</f>
        <v/>
      </c>
    </row>
    <row r="34">
      <c r="A34" s="24" t="inlineStr">
        <is>
          <t>AMDE</t>
        </is>
      </c>
      <c r="B34" s="24" t="inlineStr">
        <is>
          <t>Alpine Manufacturing DE</t>
        </is>
      </c>
      <c r="C34" s="24" t="inlineStr">
        <is>
          <t>EUR</t>
        </is>
      </c>
      <c r="D34" s="24" t="n"/>
      <c r="E34" s="25" t="n"/>
      <c r="F34" s="25" t="n"/>
      <c r="G34" s="25" t="n"/>
      <c r="H34" s="25" t="n"/>
      <c r="I34" s="25" t="n"/>
      <c r="J34" s="25" t="n"/>
      <c r="K34" s="25" t="n"/>
      <c r="L34" s="25" t="n"/>
      <c r="M34" s="25" t="n"/>
      <c r="N34" s="25" t="n"/>
      <c r="O34" s="25" t="n"/>
      <c r="P34" s="25" t="n"/>
      <c r="Q34" s="25" t="n"/>
      <c r="R34" s="25" t="n"/>
      <c r="S34" s="25" t="n"/>
      <c r="T34" s="26" t="n"/>
      <c r="U34" s="24" t="n"/>
    </row>
    <row r="35">
      <c r="A35" s="27" t="inlineStr">
        <is>
          <t>FORECAST_2024F3</t>
        </is>
      </c>
      <c r="B35" s="27" t="inlineStr">
        <is>
          <t>AMDE</t>
        </is>
      </c>
      <c r="C35" s="27" t="inlineStr">
        <is>
          <t>EUR</t>
        </is>
      </c>
      <c r="D35" s="27" t="inlineStr">
        <is>
          <t>4010</t>
        </is>
      </c>
      <c r="E35" s="27" t="inlineStr">
        <is>
          <t>Product Revenue</t>
        </is>
      </c>
      <c r="F35" s="27" t="inlineStr">
        <is>
          <t>Revenue</t>
        </is>
      </c>
      <c r="G35" s="27" t="inlineStr">
        <is>
          <t>PROD</t>
        </is>
      </c>
      <c r="H35" s="27" t="inlineStr">
        <is>
          <t>OPS</t>
        </is>
      </c>
      <c r="I35" s="31" t="n">
        <v>-533927</v>
      </c>
      <c r="J35" s="31" t="n">
        <v>-530008</v>
      </c>
      <c r="K35" s="28" t="n">
        <v>-596582</v>
      </c>
      <c r="L35" s="28" t="n">
        <v>-627981</v>
      </c>
      <c r="M35" s="28" t="n">
        <v>-659380</v>
      </c>
      <c r="N35" s="28" t="n">
        <v>-690779</v>
      </c>
      <c r="O35" s="28" t="n">
        <v>-722178</v>
      </c>
      <c r="P35" s="28" t="n">
        <v>-690779</v>
      </c>
      <c r="Q35" s="28" t="n">
        <v>-659380</v>
      </c>
      <c r="R35" s="28" t="n">
        <v>-627981</v>
      </c>
      <c r="S35" s="28" t="n">
        <v>-596582</v>
      </c>
      <c r="T35" s="28" t="n">
        <v>-565183</v>
      </c>
      <c r="U35" s="29">
        <f>SUM(I35:T35)</f>
        <v/>
      </c>
    </row>
    <row r="36">
      <c r="A36" s="27" t="inlineStr">
        <is>
          <t>FORECAST_2024F3</t>
        </is>
      </c>
      <c r="B36" s="27" t="inlineStr">
        <is>
          <t>AMDE</t>
        </is>
      </c>
      <c r="C36" s="27" t="inlineStr">
        <is>
          <t>EUR</t>
        </is>
      </c>
      <c r="D36" s="27" t="inlineStr">
        <is>
          <t>4020</t>
        </is>
      </c>
      <c r="E36" s="27" t="inlineStr">
        <is>
          <t>Service Revenue</t>
        </is>
      </c>
      <c r="F36" s="27" t="inlineStr">
        <is>
          <t>Revenue</t>
        </is>
      </c>
      <c r="G36" s="27" t="inlineStr">
        <is>
          <t>PROD</t>
        </is>
      </c>
      <c r="H36" s="27" t="inlineStr">
        <is>
          <t>OPS</t>
        </is>
      </c>
      <c r="I36" s="31" t="n">
        <v>-61837</v>
      </c>
      <c r="J36" s="31" t="n">
        <v>-69433</v>
      </c>
      <c r="K36" s="28" t="n">
        <v>-72566</v>
      </c>
      <c r="L36" s="28" t="n">
        <v>-76385</v>
      </c>
      <c r="M36" s="28" t="n">
        <v>-80205</v>
      </c>
      <c r="N36" s="28" t="n">
        <v>-84024</v>
      </c>
      <c r="O36" s="28" t="n">
        <v>-87843</v>
      </c>
      <c r="P36" s="28" t="n">
        <v>-84024</v>
      </c>
      <c r="Q36" s="28" t="n">
        <v>-80205</v>
      </c>
      <c r="R36" s="28" t="n">
        <v>-76385</v>
      </c>
      <c r="S36" s="28" t="n">
        <v>-72566</v>
      </c>
      <c r="T36" s="28" t="n">
        <v>-68747</v>
      </c>
      <c r="U36" s="29">
        <f>SUM(I36:T36)</f>
        <v/>
      </c>
    </row>
    <row r="37">
      <c r="A37" s="27" t="inlineStr">
        <is>
          <t>FORECAST_2024F3</t>
        </is>
      </c>
      <c r="B37" s="27" t="inlineStr">
        <is>
          <t>AMDE</t>
        </is>
      </c>
      <c r="C37" s="27" t="inlineStr">
        <is>
          <t>EUR</t>
        </is>
      </c>
      <c r="D37" s="27" t="inlineStr">
        <is>
          <t>5010</t>
        </is>
      </c>
      <c r="E37" s="27" t="inlineStr">
        <is>
          <t>Cost of Goods Sold</t>
        </is>
      </c>
      <c r="F37" s="27" t="inlineStr">
        <is>
          <t>COGS</t>
        </is>
      </c>
      <c r="G37" s="27" t="inlineStr">
        <is>
          <t>PROD</t>
        </is>
      </c>
      <c r="H37" s="27" t="inlineStr">
        <is>
          <t>OPS</t>
        </is>
      </c>
      <c r="I37" s="31" t="n">
        <v>232716</v>
      </c>
      <c r="J37" s="31" t="n">
        <v>235687</v>
      </c>
      <c r="K37" s="28" t="n">
        <v>250257</v>
      </c>
      <c r="L37" s="28" t="n">
        <v>263429</v>
      </c>
      <c r="M37" s="28" t="n">
        <v>276600</v>
      </c>
      <c r="N37" s="28" t="n">
        <v>289772</v>
      </c>
      <c r="O37" s="28" t="n">
        <v>302943</v>
      </c>
      <c r="P37" s="28" t="n">
        <v>289772</v>
      </c>
      <c r="Q37" s="28" t="n">
        <v>276600</v>
      </c>
      <c r="R37" s="28" t="n">
        <v>263429</v>
      </c>
      <c r="S37" s="28" t="n">
        <v>250257</v>
      </c>
      <c r="T37" s="28" t="n">
        <v>237086</v>
      </c>
      <c r="U37" s="29">
        <f>SUM(I37:T37)</f>
        <v/>
      </c>
    </row>
    <row r="38">
      <c r="A38" s="27" t="inlineStr">
        <is>
          <t>FORECAST_2024F3</t>
        </is>
      </c>
      <c r="B38" s="27" t="inlineStr">
        <is>
          <t>AMDE</t>
        </is>
      </c>
      <c r="C38" s="27" t="inlineStr">
        <is>
          <t>EUR</t>
        </is>
      </c>
      <c r="D38" s="27" t="inlineStr">
        <is>
          <t>6010</t>
        </is>
      </c>
      <c r="E38" s="27" t="inlineStr">
        <is>
          <t>Salaries and Wages</t>
        </is>
      </c>
      <c r="F38" s="27" t="inlineStr">
        <is>
          <t>OpEx</t>
        </is>
      </c>
      <c r="G38" s="27" t="inlineStr">
        <is>
          <t>PROD</t>
        </is>
      </c>
      <c r="H38" s="27" t="inlineStr">
        <is>
          <t>OPS</t>
        </is>
      </c>
      <c r="I38" s="31" t="n">
        <v>118281</v>
      </c>
      <c r="J38" s="31" t="n">
        <v>141460</v>
      </c>
      <c r="K38" s="28" t="n">
        <v>144373</v>
      </c>
      <c r="L38" s="28" t="n">
        <v>151971</v>
      </c>
      <c r="M38" s="28" t="n">
        <v>159570</v>
      </c>
      <c r="N38" s="28" t="n">
        <v>167168</v>
      </c>
      <c r="O38" s="28" t="n">
        <v>174767</v>
      </c>
      <c r="P38" s="28" t="n">
        <v>167168</v>
      </c>
      <c r="Q38" s="28" t="n">
        <v>159570</v>
      </c>
      <c r="R38" s="28" t="n">
        <v>151971</v>
      </c>
      <c r="S38" s="28" t="n">
        <v>144373</v>
      </c>
      <c r="T38" s="28" t="n">
        <v>136774</v>
      </c>
      <c r="U38" s="29">
        <f>SUM(I38:T38)</f>
        <v/>
      </c>
    </row>
    <row r="39">
      <c r="A39" s="27" t="inlineStr">
        <is>
          <t>FORECAST_2024F3</t>
        </is>
      </c>
      <c r="B39" s="27" t="inlineStr">
        <is>
          <t>AMDE</t>
        </is>
      </c>
      <c r="C39" s="27" t="inlineStr">
        <is>
          <t>EUR</t>
        </is>
      </c>
      <c r="D39" s="27" t="inlineStr">
        <is>
          <t>6020</t>
        </is>
      </c>
      <c r="E39" s="27" t="inlineStr">
        <is>
          <t>Rent Expense</t>
        </is>
      </c>
      <c r="F39" s="27" t="inlineStr">
        <is>
          <t>OpEx</t>
        </is>
      </c>
      <c r="G39" s="27" t="inlineStr">
        <is>
          <t>PROD</t>
        </is>
      </c>
      <c r="H39" s="27" t="inlineStr">
        <is>
          <t>OPS</t>
        </is>
      </c>
      <c r="I39" s="31" t="n">
        <v>19696</v>
      </c>
      <c r="J39" s="31" t="n">
        <v>20137</v>
      </c>
      <c r="K39" s="28" t="n">
        <v>23123</v>
      </c>
      <c r="L39" s="28" t="n">
        <v>24340</v>
      </c>
      <c r="M39" s="28" t="n">
        <v>25557</v>
      </c>
      <c r="N39" s="28" t="n">
        <v>26774</v>
      </c>
      <c r="O39" s="28" t="n">
        <v>27991</v>
      </c>
      <c r="P39" s="28" t="n">
        <v>26774</v>
      </c>
      <c r="Q39" s="28" t="n">
        <v>25557</v>
      </c>
      <c r="R39" s="28" t="n">
        <v>24340</v>
      </c>
      <c r="S39" s="28" t="n">
        <v>23123</v>
      </c>
      <c r="T39" s="28" t="n">
        <v>21906</v>
      </c>
      <c r="U39" s="29">
        <f>SUM(I39:T39)</f>
        <v/>
      </c>
    </row>
    <row r="40">
      <c r="A40" s="27" t="inlineStr">
        <is>
          <t>FORECAST_2024F3</t>
        </is>
      </c>
      <c r="B40" s="27" t="inlineStr">
        <is>
          <t>AMDE</t>
        </is>
      </c>
      <c r="C40" s="27" t="inlineStr">
        <is>
          <t>EUR</t>
        </is>
      </c>
      <c r="D40" s="27" t="inlineStr">
        <is>
          <t>6030</t>
        </is>
      </c>
      <c r="E40" s="27" t="inlineStr">
        <is>
          <t>Depreciation Expense</t>
        </is>
      </c>
      <c r="F40" s="27" t="inlineStr">
        <is>
          <t>OpEx</t>
        </is>
      </c>
      <c r="G40" s="27" t="inlineStr">
        <is>
          <t>PROD</t>
        </is>
      </c>
      <c r="H40" s="27" t="inlineStr">
        <is>
          <t>OPS</t>
        </is>
      </c>
      <c r="I40" s="31" t="n">
        <v>14604</v>
      </c>
      <c r="J40" s="31" t="n">
        <v>16833</v>
      </c>
      <c r="K40" s="28" t="n">
        <v>17766</v>
      </c>
      <c r="L40" s="28" t="n">
        <v>18702</v>
      </c>
      <c r="M40" s="28" t="n">
        <v>19637</v>
      </c>
      <c r="N40" s="28" t="n">
        <v>20572</v>
      </c>
      <c r="O40" s="28" t="n">
        <v>21507</v>
      </c>
      <c r="P40" s="28" t="n">
        <v>20572</v>
      </c>
      <c r="Q40" s="28" t="n">
        <v>19637</v>
      </c>
      <c r="R40" s="28" t="n">
        <v>18702</v>
      </c>
      <c r="S40" s="28" t="n">
        <v>17766</v>
      </c>
      <c r="T40" s="28" t="n">
        <v>16831</v>
      </c>
      <c r="U40" s="29">
        <f>SUM(I40:T40)</f>
        <v/>
      </c>
    </row>
    <row r="41">
      <c r="A41" s="27" t="inlineStr">
        <is>
          <t>FORECAST_2024F3</t>
        </is>
      </c>
      <c r="B41" s="27" t="inlineStr">
        <is>
          <t>AMDE</t>
        </is>
      </c>
      <c r="C41" s="27" t="inlineStr">
        <is>
          <t>EUR</t>
        </is>
      </c>
      <c r="D41" s="27" t="inlineStr">
        <is>
          <t>6040</t>
        </is>
      </c>
      <c r="E41" s="27" t="inlineStr">
        <is>
          <t>Marketing Expense</t>
        </is>
      </c>
      <c r="F41" s="27" t="inlineStr">
        <is>
          <t>OpEx</t>
        </is>
      </c>
      <c r="G41" s="27" t="inlineStr">
        <is>
          <t>PROD</t>
        </is>
      </c>
      <c r="H41" s="27" t="inlineStr">
        <is>
          <t>OPS</t>
        </is>
      </c>
      <c r="I41" s="31" t="n">
        <v>18455</v>
      </c>
      <c r="J41" s="31" t="n">
        <v>21528</v>
      </c>
      <c r="K41" s="28" t="n">
        <v>20086</v>
      </c>
      <c r="L41" s="28" t="n">
        <v>21143</v>
      </c>
      <c r="M41" s="28" t="n">
        <v>22200</v>
      </c>
      <c r="N41" s="28" t="n">
        <v>23258</v>
      </c>
      <c r="O41" s="28" t="n">
        <v>24315</v>
      </c>
      <c r="P41" s="28" t="n">
        <v>23258</v>
      </c>
      <c r="Q41" s="28" t="n">
        <v>22200</v>
      </c>
      <c r="R41" s="28" t="n">
        <v>21143</v>
      </c>
      <c r="S41" s="28" t="n">
        <v>20086</v>
      </c>
      <c r="T41" s="28" t="n">
        <v>19029</v>
      </c>
      <c r="U41" s="29">
        <f>SUM(I41:T41)</f>
        <v/>
      </c>
    </row>
    <row r="42">
      <c r="A42" s="27" t="inlineStr">
        <is>
          <t>FORECAST_2024F3</t>
        </is>
      </c>
      <c r="B42" s="27" t="inlineStr">
        <is>
          <t>AMDE</t>
        </is>
      </c>
      <c r="C42" s="27" t="inlineStr">
        <is>
          <t>EUR</t>
        </is>
      </c>
      <c r="D42" s="27" t="inlineStr">
        <is>
          <t>6050</t>
        </is>
      </c>
      <c r="E42" s="27" t="inlineStr">
        <is>
          <t>Travel Expense</t>
        </is>
      </c>
      <c r="F42" s="27" t="inlineStr">
        <is>
          <t>OpEx</t>
        </is>
      </c>
      <c r="G42" s="27" t="inlineStr">
        <is>
          <t>PROD</t>
        </is>
      </c>
      <c r="H42" s="27" t="inlineStr">
        <is>
          <t>OPS</t>
        </is>
      </c>
      <c r="I42" s="31" t="n">
        <v>5677</v>
      </c>
      <c r="J42" s="31" t="n">
        <v>9981</v>
      </c>
      <c r="K42" s="28" t="n">
        <v>8867</v>
      </c>
      <c r="L42" s="28" t="n">
        <v>9333</v>
      </c>
      <c r="M42" s="28" t="n">
        <v>9800</v>
      </c>
      <c r="N42" s="28" t="n">
        <v>10267</v>
      </c>
      <c r="O42" s="28" t="n">
        <v>10733</v>
      </c>
      <c r="P42" s="28" t="n">
        <v>10267</v>
      </c>
      <c r="Q42" s="28" t="n">
        <v>9800</v>
      </c>
      <c r="R42" s="28" t="n">
        <v>9333</v>
      </c>
      <c r="S42" s="28" t="n">
        <v>8867</v>
      </c>
      <c r="T42" s="28" t="n">
        <v>8400</v>
      </c>
      <c r="U42" s="29">
        <f>SUM(I42:T42)</f>
        <v/>
      </c>
    </row>
    <row r="43">
      <c r="A43" s="27" t="inlineStr">
        <is>
          <t>FORECAST_2024F3</t>
        </is>
      </c>
      <c r="B43" s="27" t="inlineStr">
        <is>
          <t>AMDE</t>
        </is>
      </c>
      <c r="C43" s="27" t="inlineStr">
        <is>
          <t>EUR</t>
        </is>
      </c>
      <c r="D43" s="27" t="inlineStr">
        <is>
          <t>6060</t>
        </is>
      </c>
      <c r="E43" s="27" t="inlineStr">
        <is>
          <t>Utilities</t>
        </is>
      </c>
      <c r="F43" s="27" t="inlineStr">
        <is>
          <t>OpEx</t>
        </is>
      </c>
      <c r="G43" s="27" t="inlineStr">
        <is>
          <t>PROD</t>
        </is>
      </c>
      <c r="H43" s="27" t="inlineStr">
        <is>
          <t>OPS</t>
        </is>
      </c>
      <c r="I43" s="31" t="n">
        <v>7842</v>
      </c>
      <c r="J43" s="31" t="n">
        <v>8613</v>
      </c>
      <c r="K43" s="28" t="n">
        <v>9083</v>
      </c>
      <c r="L43" s="28" t="n">
        <v>9561</v>
      </c>
      <c r="M43" s="28" t="n">
        <v>10039</v>
      </c>
      <c r="N43" s="28" t="n">
        <v>10517</v>
      </c>
      <c r="O43" s="28" t="n">
        <v>10995</v>
      </c>
      <c r="P43" s="28" t="n">
        <v>10517</v>
      </c>
      <c r="Q43" s="28" t="n">
        <v>10039</v>
      </c>
      <c r="R43" s="28" t="n">
        <v>9561</v>
      </c>
      <c r="S43" s="28" t="n">
        <v>9083</v>
      </c>
      <c r="T43" s="28" t="n">
        <v>8605</v>
      </c>
      <c r="U43" s="29">
        <f>SUM(I43:T43)</f>
        <v/>
      </c>
    </row>
    <row r="44">
      <c r="E44" s="4" t="inlineStr">
        <is>
          <t>Net Income</t>
        </is>
      </c>
      <c r="I44" s="29">
        <f>SUM(I35:I43)</f>
        <v/>
      </c>
      <c r="J44" s="29">
        <f>SUM(J35:J43)</f>
        <v/>
      </c>
      <c r="K44" s="29">
        <f>SUM(K35:K43)</f>
        <v/>
      </c>
      <c r="L44" s="29">
        <f>SUM(L35:L43)</f>
        <v/>
      </c>
      <c r="M44" s="29">
        <f>SUM(M35:M43)</f>
        <v/>
      </c>
      <c r="N44" s="29">
        <f>SUM(N35:N43)</f>
        <v/>
      </c>
      <c r="O44" s="29">
        <f>SUM(O35:O43)</f>
        <v/>
      </c>
      <c r="P44" s="29">
        <f>SUM(P35:P43)</f>
        <v/>
      </c>
      <c r="Q44" s="29">
        <f>SUM(Q35:Q43)</f>
        <v/>
      </c>
      <c r="R44" s="29">
        <f>SUM(R35:R43)</f>
        <v/>
      </c>
      <c r="S44" s="29">
        <f>SUM(S35:S43)</f>
        <v/>
      </c>
      <c r="T44" s="29">
        <f>SUM(T35:T43)</f>
        <v/>
      </c>
      <c r="U44" s="29">
        <f>SUM(U35:U43)</f>
        <v/>
      </c>
    </row>
  </sheetData>
  <mergeCells count="3">
    <mergeCell ref="D34:T34"/>
    <mergeCell ref="D22:T22"/>
    <mergeCell ref="D10:T10"/>
  </mergeCell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U44"/>
  <sheetViews>
    <sheetView workbookViewId="0">
      <pane xSplit="8" ySplit="9" topLeftCell="I10"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0" customWidth="1" min="3" max="3"/>
    <col width="10" customWidth="1" min="4" max="4"/>
    <col width="22" customWidth="1" min="5" max="5"/>
    <col width="12" customWidth="1" min="6" max="6"/>
    <col width="14" customWidth="1" min="7" max="7"/>
    <col width="14"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4" customWidth="1" min="21" max="21"/>
  </cols>
  <sheetData>
    <row r="1">
      <c r="A1" s="20" t="inlineStr">
        <is>
          <t>Scenario:</t>
        </is>
      </c>
      <c r="B1" s="21" t="inlineStr">
        <is>
          <t>Forecast 2024 - Apr</t>
        </is>
      </c>
    </row>
    <row r="2">
      <c r="A2" s="20" t="inlineStr">
        <is>
          <t>Scenario ID:</t>
        </is>
      </c>
      <c r="B2" s="21" t="inlineStr">
        <is>
          <t>FORECAST_2024F4</t>
        </is>
      </c>
    </row>
    <row r="3">
      <c r="A3" s="20" t="inlineStr">
        <is>
          <t>Type:</t>
        </is>
      </c>
      <c r="B3" s="21" t="inlineStr">
        <is>
          <t>forecast</t>
        </is>
      </c>
    </row>
    <row r="4">
      <c r="A4" s="20" t="inlineStr">
        <is>
          <t>Fiscal Year:</t>
        </is>
      </c>
      <c r="B4" s="21" t="n">
        <v>2024</v>
      </c>
    </row>
    <row r="5">
      <c r="A5" s="20" t="inlineStr">
        <is>
          <t>Layer:</t>
        </is>
      </c>
      <c r="B5" s="21" t="inlineStr">
        <is>
          <t>base</t>
        </is>
      </c>
    </row>
    <row r="6">
      <c r="A6" s="20" t="inlineStr">
        <is>
          <t>Actual months:</t>
        </is>
      </c>
      <c r="B6" s="30" t="inlineStr">
        <is>
          <t>1-3 (yellow = actuals, white = editable forecast)</t>
        </is>
      </c>
    </row>
    <row r="7">
      <c r="A7" s="20" t="inlineStr">
        <is>
          <t>Usage:</t>
        </is>
      </c>
      <c r="B7" s="22" t="inlineStr">
        <is>
          <t>Edit white cells, then press Ctrl+Shift+R or F9 to save to server</t>
        </is>
      </c>
    </row>
    <row r="9">
      <c r="A9" s="23" t="inlineStr">
        <is>
          <t>Scenario ID</t>
        </is>
      </c>
      <c r="B9" s="23" t="inlineStr">
        <is>
          <t>Entity</t>
        </is>
      </c>
      <c r="C9" s="23" t="inlineStr">
        <is>
          <t>Currency</t>
        </is>
      </c>
      <c r="D9" s="23" t="inlineStr">
        <is>
          <t>Account</t>
        </is>
      </c>
      <c r="E9" s="23" t="inlineStr">
        <is>
          <t>Account Name</t>
        </is>
      </c>
      <c r="F9" s="23" t="inlineStr">
        <is>
          <t>Category</t>
        </is>
      </c>
      <c r="G9" s="23" t="inlineStr">
        <is>
          <t>Cost Center</t>
        </is>
      </c>
      <c r="H9" s="23" t="inlineStr">
        <is>
          <t>Department</t>
        </is>
      </c>
      <c r="I9" s="23" t="inlineStr">
        <is>
          <t>Jan</t>
        </is>
      </c>
      <c r="J9" s="23" t="inlineStr">
        <is>
          <t>Feb</t>
        </is>
      </c>
      <c r="K9" s="23" t="inlineStr">
        <is>
          <t>Mar</t>
        </is>
      </c>
      <c r="L9" s="23" t="inlineStr">
        <is>
          <t>Apr</t>
        </is>
      </c>
      <c r="M9" s="23" t="inlineStr">
        <is>
          <t>May</t>
        </is>
      </c>
      <c r="N9" s="23" t="inlineStr">
        <is>
          <t>Jun</t>
        </is>
      </c>
      <c r="O9" s="23" t="inlineStr">
        <is>
          <t>Jul</t>
        </is>
      </c>
      <c r="P9" s="23" t="inlineStr">
        <is>
          <t>Aug</t>
        </is>
      </c>
      <c r="Q9" s="23" t="inlineStr">
        <is>
          <t>Sep</t>
        </is>
      </c>
      <c r="R9" s="23" t="inlineStr">
        <is>
          <t>Oct</t>
        </is>
      </c>
      <c r="S9" s="23" t="inlineStr">
        <is>
          <t>Nov</t>
        </is>
      </c>
      <c r="T9" s="23" t="inlineStr">
        <is>
          <t>Dec</t>
        </is>
      </c>
      <c r="U9" s="23" t="inlineStr">
        <is>
          <t>Annual Total</t>
        </is>
      </c>
    </row>
    <row r="10">
      <c r="A10" s="24" t="inlineStr">
        <is>
          <t>AMHQ</t>
        </is>
      </c>
      <c r="B10" s="24" t="inlineStr">
        <is>
          <t>Alpine Manufacturing HQ</t>
        </is>
      </c>
      <c r="C10" s="24" t="inlineStr">
        <is>
          <t>CHF</t>
        </is>
      </c>
      <c r="D10" s="24" t="n"/>
      <c r="E10" s="25" t="n"/>
      <c r="F10" s="25" t="n"/>
      <c r="G10" s="25" t="n"/>
      <c r="H10" s="25" t="n"/>
      <c r="I10" s="25" t="n"/>
      <c r="J10" s="25" t="n"/>
      <c r="K10" s="25" t="n"/>
      <c r="L10" s="25" t="n"/>
      <c r="M10" s="25" t="n"/>
      <c r="N10" s="25" t="n"/>
      <c r="O10" s="25" t="n"/>
      <c r="P10" s="25" t="n"/>
      <c r="Q10" s="25" t="n"/>
      <c r="R10" s="25" t="n"/>
      <c r="S10" s="25" t="n"/>
      <c r="T10" s="26" t="n"/>
      <c r="U10" s="24" t="n"/>
    </row>
    <row r="11">
      <c r="A11" s="27" t="inlineStr">
        <is>
          <t>FORECAST_2024F4</t>
        </is>
      </c>
      <c r="B11" s="27" t="inlineStr">
        <is>
          <t>AMHQ</t>
        </is>
      </c>
      <c r="C11" s="27" t="inlineStr">
        <is>
          <t>CHF</t>
        </is>
      </c>
      <c r="D11" s="27" t="inlineStr">
        <is>
          <t>4010</t>
        </is>
      </c>
      <c r="E11" s="27" t="inlineStr">
        <is>
          <t>Product Revenue</t>
        </is>
      </c>
      <c r="F11" s="27" t="inlineStr">
        <is>
          <t>Revenue</t>
        </is>
      </c>
      <c r="G11" s="27" t="inlineStr">
        <is>
          <t>HQ</t>
        </is>
      </c>
      <c r="H11" s="27" t="inlineStr">
        <is>
          <t>MGMT</t>
        </is>
      </c>
      <c r="I11" s="31" t="n">
        <v>-435654</v>
      </c>
      <c r="J11" s="31" t="n">
        <v>-478275</v>
      </c>
      <c r="K11" s="31" t="n">
        <v>-466488</v>
      </c>
      <c r="L11" s="28" t="n">
        <v>-525632</v>
      </c>
      <c r="M11" s="28" t="n">
        <v>-551914</v>
      </c>
      <c r="N11" s="28" t="n">
        <v>-578196</v>
      </c>
      <c r="O11" s="28" t="n">
        <v>-604477</v>
      </c>
      <c r="P11" s="28" t="n">
        <v>-578196</v>
      </c>
      <c r="Q11" s="28" t="n">
        <v>-551914</v>
      </c>
      <c r="R11" s="28" t="n">
        <v>-525632</v>
      </c>
      <c r="S11" s="28" t="n">
        <v>-499351</v>
      </c>
      <c r="T11" s="28" t="n">
        <v>-473069</v>
      </c>
      <c r="U11" s="29">
        <f>SUM(I11:T11)</f>
        <v/>
      </c>
    </row>
    <row r="12">
      <c r="A12" s="27" t="inlineStr">
        <is>
          <t>FORECAST_2024F4</t>
        </is>
      </c>
      <c r="B12" s="27" t="inlineStr">
        <is>
          <t>AMHQ</t>
        </is>
      </c>
      <c r="C12" s="27" t="inlineStr">
        <is>
          <t>CHF</t>
        </is>
      </c>
      <c r="D12" s="27" t="inlineStr">
        <is>
          <t>4020</t>
        </is>
      </c>
      <c r="E12" s="27" t="inlineStr">
        <is>
          <t>Service Revenue</t>
        </is>
      </c>
      <c r="F12" s="27" t="inlineStr">
        <is>
          <t>Revenue</t>
        </is>
      </c>
      <c r="G12" s="27" t="inlineStr">
        <is>
          <t>HQ</t>
        </is>
      </c>
      <c r="H12" s="27" t="inlineStr">
        <is>
          <t>MGMT</t>
        </is>
      </c>
      <c r="I12" s="31" t="n">
        <v>-51224</v>
      </c>
      <c r="J12" s="31" t="n">
        <v>-48028</v>
      </c>
      <c r="K12" s="31" t="n">
        <v>-65931</v>
      </c>
      <c r="L12" s="28" t="n">
        <v>-62989</v>
      </c>
      <c r="M12" s="28" t="n">
        <v>-66138</v>
      </c>
      <c r="N12" s="28" t="n">
        <v>-69288</v>
      </c>
      <c r="O12" s="28" t="n">
        <v>-72437</v>
      </c>
      <c r="P12" s="28" t="n">
        <v>-69288</v>
      </c>
      <c r="Q12" s="28" t="n">
        <v>-66138</v>
      </c>
      <c r="R12" s="28" t="n">
        <v>-62989</v>
      </c>
      <c r="S12" s="28" t="n">
        <v>-59839</v>
      </c>
      <c r="T12" s="28" t="n">
        <v>-56690</v>
      </c>
      <c r="U12" s="29">
        <f>SUM(I12:T12)</f>
        <v/>
      </c>
    </row>
    <row r="13">
      <c r="A13" s="27" t="inlineStr">
        <is>
          <t>FORECAST_2024F4</t>
        </is>
      </c>
      <c r="B13" s="27" t="inlineStr">
        <is>
          <t>AMHQ</t>
        </is>
      </c>
      <c r="C13" s="27" t="inlineStr">
        <is>
          <t>CHF</t>
        </is>
      </c>
      <c r="D13" s="27" t="inlineStr">
        <is>
          <t>5010</t>
        </is>
      </c>
      <c r="E13" s="27" t="inlineStr">
        <is>
          <t>Cost of Goods Sold</t>
        </is>
      </c>
      <c r="F13" s="27" t="inlineStr">
        <is>
          <t>COGS</t>
        </is>
      </c>
      <c r="G13" s="27" t="inlineStr">
        <is>
          <t>HQ</t>
        </is>
      </c>
      <c r="H13" s="27" t="inlineStr">
        <is>
          <t>MGMT</t>
        </is>
      </c>
      <c r="I13" s="31" t="n">
        <v>188395</v>
      </c>
      <c r="J13" s="31" t="n">
        <v>192331</v>
      </c>
      <c r="K13" s="31" t="n">
        <v>176355</v>
      </c>
      <c r="L13" s="28" t="n">
        <v>211163</v>
      </c>
      <c r="M13" s="28" t="n">
        <v>221721</v>
      </c>
      <c r="N13" s="28" t="n">
        <v>232279</v>
      </c>
      <c r="O13" s="28" t="n">
        <v>242837</v>
      </c>
      <c r="P13" s="28" t="n">
        <v>232279</v>
      </c>
      <c r="Q13" s="28" t="n">
        <v>221721</v>
      </c>
      <c r="R13" s="28" t="n">
        <v>211163</v>
      </c>
      <c r="S13" s="28" t="n">
        <v>200604</v>
      </c>
      <c r="T13" s="28" t="n">
        <v>190046</v>
      </c>
      <c r="U13" s="29">
        <f>SUM(I13:T13)</f>
        <v/>
      </c>
    </row>
    <row r="14">
      <c r="A14" s="27" t="inlineStr">
        <is>
          <t>FORECAST_2024F4</t>
        </is>
      </c>
      <c r="B14" s="27" t="inlineStr">
        <is>
          <t>AMHQ</t>
        </is>
      </c>
      <c r="C14" s="27" t="inlineStr">
        <is>
          <t>CHF</t>
        </is>
      </c>
      <c r="D14" s="27" t="inlineStr">
        <is>
          <t>6010</t>
        </is>
      </c>
      <c r="E14" s="27" t="inlineStr">
        <is>
          <t>Salaries and Wages</t>
        </is>
      </c>
      <c r="F14" s="27" t="inlineStr">
        <is>
          <t>OpEx</t>
        </is>
      </c>
      <c r="G14" s="27" t="inlineStr">
        <is>
          <t>HQ</t>
        </is>
      </c>
      <c r="H14" s="27" t="inlineStr">
        <is>
          <t>MGMT</t>
        </is>
      </c>
      <c r="I14" s="31" t="n">
        <v>105675</v>
      </c>
      <c r="J14" s="31" t="n">
        <v>112841</v>
      </c>
      <c r="K14" s="31" t="n">
        <v>123011</v>
      </c>
      <c r="L14" s="28" t="n">
        <v>128045</v>
      </c>
      <c r="M14" s="28" t="n">
        <v>134448</v>
      </c>
      <c r="N14" s="28" t="n">
        <v>140850</v>
      </c>
      <c r="O14" s="28" t="n">
        <v>147252</v>
      </c>
      <c r="P14" s="28" t="n">
        <v>140850</v>
      </c>
      <c r="Q14" s="28" t="n">
        <v>134448</v>
      </c>
      <c r="R14" s="28" t="n">
        <v>128045</v>
      </c>
      <c r="S14" s="28" t="n">
        <v>121643</v>
      </c>
      <c r="T14" s="28" t="n">
        <v>115241</v>
      </c>
      <c r="U14" s="29">
        <f>SUM(I14:T14)</f>
        <v/>
      </c>
    </row>
    <row r="15">
      <c r="A15" s="27" t="inlineStr">
        <is>
          <t>FORECAST_2024F4</t>
        </is>
      </c>
      <c r="B15" s="27" t="inlineStr">
        <is>
          <t>AMHQ</t>
        </is>
      </c>
      <c r="C15" s="27" t="inlineStr">
        <is>
          <t>CHF</t>
        </is>
      </c>
      <c r="D15" s="27" t="inlineStr">
        <is>
          <t>6020</t>
        </is>
      </c>
      <c r="E15" s="27" t="inlineStr">
        <is>
          <t>Rent Expense</t>
        </is>
      </c>
      <c r="F15" s="27" t="inlineStr">
        <is>
          <t>OpEx</t>
        </is>
      </c>
      <c r="G15" s="27" t="inlineStr">
        <is>
          <t>HQ</t>
        </is>
      </c>
      <c r="H15" s="27" t="inlineStr">
        <is>
          <t>MGMT</t>
        </is>
      </c>
      <c r="I15" s="31" t="n">
        <v>16530</v>
      </c>
      <c r="J15" s="31" t="n">
        <v>18084</v>
      </c>
      <c r="K15" s="31" t="n">
        <v>19006</v>
      </c>
      <c r="L15" s="28" t="n">
        <v>20729</v>
      </c>
      <c r="M15" s="28" t="n">
        <v>21766</v>
      </c>
      <c r="N15" s="28" t="n">
        <v>22802</v>
      </c>
      <c r="O15" s="28" t="n">
        <v>23839</v>
      </c>
      <c r="P15" s="28" t="n">
        <v>22802</v>
      </c>
      <c r="Q15" s="28" t="n">
        <v>21766</v>
      </c>
      <c r="R15" s="28" t="n">
        <v>20729</v>
      </c>
      <c r="S15" s="28" t="n">
        <v>19693</v>
      </c>
      <c r="T15" s="28" t="n">
        <v>18656</v>
      </c>
      <c r="U15" s="29">
        <f>SUM(I15:T15)</f>
        <v/>
      </c>
    </row>
    <row r="16">
      <c r="A16" s="27" t="inlineStr">
        <is>
          <t>FORECAST_2024F4</t>
        </is>
      </c>
      <c r="B16" s="27" t="inlineStr">
        <is>
          <t>AMHQ</t>
        </is>
      </c>
      <c r="C16" s="27" t="inlineStr">
        <is>
          <t>CHF</t>
        </is>
      </c>
      <c r="D16" s="27" t="inlineStr">
        <is>
          <t>6030</t>
        </is>
      </c>
      <c r="E16" s="27" t="inlineStr">
        <is>
          <t>Depreciation Expense</t>
        </is>
      </c>
      <c r="F16" s="27" t="inlineStr">
        <is>
          <t>OpEx</t>
        </is>
      </c>
      <c r="G16" s="27" t="inlineStr">
        <is>
          <t>HQ</t>
        </is>
      </c>
      <c r="H16" s="27" t="inlineStr">
        <is>
          <t>MGMT</t>
        </is>
      </c>
      <c r="I16" s="31" t="n">
        <v>11908</v>
      </c>
      <c r="J16" s="31" t="n">
        <v>12640</v>
      </c>
      <c r="K16" s="31" t="n">
        <v>14532</v>
      </c>
      <c r="L16" s="28" t="n">
        <v>15337</v>
      </c>
      <c r="M16" s="28" t="n">
        <v>16103</v>
      </c>
      <c r="N16" s="28" t="n">
        <v>16870</v>
      </c>
      <c r="O16" s="28" t="n">
        <v>17637</v>
      </c>
      <c r="P16" s="28" t="n">
        <v>16870</v>
      </c>
      <c r="Q16" s="28" t="n">
        <v>16103</v>
      </c>
      <c r="R16" s="28" t="n">
        <v>15337</v>
      </c>
      <c r="S16" s="28" t="n">
        <v>14570</v>
      </c>
      <c r="T16" s="28" t="n">
        <v>13803</v>
      </c>
      <c r="U16" s="29">
        <f>SUM(I16:T16)</f>
        <v/>
      </c>
    </row>
    <row r="17">
      <c r="A17" s="27" t="inlineStr">
        <is>
          <t>FORECAST_2024F4</t>
        </is>
      </c>
      <c r="B17" s="27" t="inlineStr">
        <is>
          <t>AMHQ</t>
        </is>
      </c>
      <c r="C17" s="27" t="inlineStr">
        <is>
          <t>CHF</t>
        </is>
      </c>
      <c r="D17" s="27" t="inlineStr">
        <is>
          <t>6040</t>
        </is>
      </c>
      <c r="E17" s="27" t="inlineStr">
        <is>
          <t>Marketing Expense</t>
        </is>
      </c>
      <c r="F17" s="27" t="inlineStr">
        <is>
          <t>OpEx</t>
        </is>
      </c>
      <c r="G17" s="27" t="inlineStr">
        <is>
          <t>HQ</t>
        </is>
      </c>
      <c r="H17" s="27" t="inlineStr">
        <is>
          <t>MGMT</t>
        </is>
      </c>
      <c r="I17" s="31" t="n">
        <v>15303</v>
      </c>
      <c r="J17" s="31" t="n">
        <v>11979</v>
      </c>
      <c r="K17" s="31" t="n">
        <v>9467</v>
      </c>
      <c r="L17" s="28" t="n">
        <v>14905</v>
      </c>
      <c r="M17" s="28" t="n">
        <v>15650</v>
      </c>
      <c r="N17" s="28" t="n">
        <v>16395</v>
      </c>
      <c r="O17" s="28" t="n">
        <v>17141</v>
      </c>
      <c r="P17" s="28" t="n">
        <v>16395</v>
      </c>
      <c r="Q17" s="28" t="n">
        <v>15650</v>
      </c>
      <c r="R17" s="28" t="n">
        <v>14905</v>
      </c>
      <c r="S17" s="28" t="n">
        <v>14160</v>
      </c>
      <c r="T17" s="28" t="n">
        <v>13414</v>
      </c>
      <c r="U17" s="29">
        <f>SUM(I17:T17)</f>
        <v/>
      </c>
    </row>
    <row r="18">
      <c r="A18" s="27" t="inlineStr">
        <is>
          <t>FORECAST_2024F4</t>
        </is>
      </c>
      <c r="B18" s="27" t="inlineStr">
        <is>
          <t>AMHQ</t>
        </is>
      </c>
      <c r="C18" s="27" t="inlineStr">
        <is>
          <t>CHF</t>
        </is>
      </c>
      <c r="D18" s="27" t="inlineStr">
        <is>
          <t>6050</t>
        </is>
      </c>
      <c r="E18" s="27" t="inlineStr">
        <is>
          <t>Travel Expense</t>
        </is>
      </c>
      <c r="F18" s="27" t="inlineStr">
        <is>
          <t>OpEx</t>
        </is>
      </c>
      <c r="G18" s="27" t="inlineStr">
        <is>
          <t>HQ</t>
        </is>
      </c>
      <c r="H18" s="27" t="inlineStr">
        <is>
          <t>MGMT</t>
        </is>
      </c>
      <c r="I18" s="31" t="n">
        <v>6753</v>
      </c>
      <c r="J18" s="31" t="n">
        <v>8098</v>
      </c>
      <c r="K18" s="31" t="n">
        <v>6004</v>
      </c>
      <c r="L18" s="28" t="n">
        <v>7912</v>
      </c>
      <c r="M18" s="28" t="n">
        <v>8307</v>
      </c>
      <c r="N18" s="28" t="n">
        <v>8703</v>
      </c>
      <c r="O18" s="28" t="n">
        <v>9098</v>
      </c>
      <c r="P18" s="28" t="n">
        <v>8703</v>
      </c>
      <c r="Q18" s="28" t="n">
        <v>8307</v>
      </c>
      <c r="R18" s="28" t="n">
        <v>7912</v>
      </c>
      <c r="S18" s="28" t="n">
        <v>7516</v>
      </c>
      <c r="T18" s="28" t="n">
        <v>7120</v>
      </c>
      <c r="U18" s="29">
        <f>SUM(I18:T18)</f>
        <v/>
      </c>
    </row>
    <row r="19">
      <c r="A19" s="27" t="inlineStr">
        <is>
          <t>FORECAST_2024F4</t>
        </is>
      </c>
      <c r="B19" s="27" t="inlineStr">
        <is>
          <t>AMHQ</t>
        </is>
      </c>
      <c r="C19" s="27" t="inlineStr">
        <is>
          <t>CHF</t>
        </is>
      </c>
      <c r="D19" s="27" t="inlineStr">
        <is>
          <t>6060</t>
        </is>
      </c>
      <c r="E19" s="27" t="inlineStr">
        <is>
          <t>Utilities</t>
        </is>
      </c>
      <c r="F19" s="27" t="inlineStr">
        <is>
          <t>OpEx</t>
        </is>
      </c>
      <c r="G19" s="27" t="inlineStr">
        <is>
          <t>HQ</t>
        </is>
      </c>
      <c r="H19" s="27" t="inlineStr">
        <is>
          <t>MGMT</t>
        </is>
      </c>
      <c r="I19" s="31" t="n">
        <v>6407</v>
      </c>
      <c r="J19" s="31" t="n">
        <v>7078</v>
      </c>
      <c r="K19" s="31" t="n">
        <v>7056</v>
      </c>
      <c r="L19" s="28" t="n">
        <v>7853</v>
      </c>
      <c r="M19" s="28" t="n">
        <v>8246</v>
      </c>
      <c r="N19" s="28" t="n">
        <v>8639</v>
      </c>
      <c r="O19" s="28" t="n">
        <v>9031</v>
      </c>
      <c r="P19" s="28" t="n">
        <v>8639</v>
      </c>
      <c r="Q19" s="28" t="n">
        <v>8246</v>
      </c>
      <c r="R19" s="28" t="n">
        <v>7853</v>
      </c>
      <c r="S19" s="28" t="n">
        <v>7461</v>
      </c>
      <c r="T19" s="28" t="n">
        <v>7068</v>
      </c>
      <c r="U19" s="29">
        <f>SUM(I19:T19)</f>
        <v/>
      </c>
    </row>
    <row r="20">
      <c r="E20" s="4" t="inlineStr">
        <is>
          <t>Net Income</t>
        </is>
      </c>
      <c r="I20" s="29">
        <f>SUM(I11:I19)</f>
        <v/>
      </c>
      <c r="J20" s="29">
        <f>SUM(J11:J19)</f>
        <v/>
      </c>
      <c r="K20" s="29">
        <f>SUM(K11:K19)</f>
        <v/>
      </c>
      <c r="L20" s="29">
        <f>SUM(L11:L19)</f>
        <v/>
      </c>
      <c r="M20" s="29">
        <f>SUM(M11:M19)</f>
        <v/>
      </c>
      <c r="N20" s="29">
        <f>SUM(N11:N19)</f>
        <v/>
      </c>
      <c r="O20" s="29">
        <f>SUM(O11:O19)</f>
        <v/>
      </c>
      <c r="P20" s="29">
        <f>SUM(P11:P19)</f>
        <v/>
      </c>
      <c r="Q20" s="29">
        <f>SUM(Q11:Q19)</f>
        <v/>
      </c>
      <c r="R20" s="29">
        <f>SUM(R11:R19)</f>
        <v/>
      </c>
      <c r="S20" s="29">
        <f>SUM(S11:S19)</f>
        <v/>
      </c>
      <c r="T20" s="29">
        <f>SUM(T11:T19)</f>
        <v/>
      </c>
      <c r="U20" s="29">
        <f>SUM(U11:U19)</f>
        <v/>
      </c>
    </row>
    <row r="22">
      <c r="A22" s="24" t="inlineStr">
        <is>
          <t>AMUS</t>
        </is>
      </c>
      <c r="B22" s="24" t="inlineStr">
        <is>
          <t>Alpine Manufacturing US</t>
        </is>
      </c>
      <c r="C22" s="24" t="inlineStr">
        <is>
          <t>USD</t>
        </is>
      </c>
      <c r="D22" s="24" t="n"/>
      <c r="E22" s="25" t="n"/>
      <c r="F22" s="25" t="n"/>
      <c r="G22" s="25" t="n"/>
      <c r="H22" s="25" t="n"/>
      <c r="I22" s="25" t="n"/>
      <c r="J22" s="25" t="n"/>
      <c r="K22" s="25" t="n"/>
      <c r="L22" s="25" t="n"/>
      <c r="M22" s="25" t="n"/>
      <c r="N22" s="25" t="n"/>
      <c r="O22" s="25" t="n"/>
      <c r="P22" s="25" t="n"/>
      <c r="Q22" s="25" t="n"/>
      <c r="R22" s="25" t="n"/>
      <c r="S22" s="25" t="n"/>
      <c r="T22" s="26" t="n"/>
      <c r="U22" s="24" t="n"/>
    </row>
    <row r="23">
      <c r="A23" s="27" t="inlineStr">
        <is>
          <t>FORECAST_2024F4</t>
        </is>
      </c>
      <c r="B23" s="27" t="inlineStr">
        <is>
          <t>AMUS</t>
        </is>
      </c>
      <c r="C23" s="27" t="inlineStr">
        <is>
          <t>USD</t>
        </is>
      </c>
      <c r="D23" s="27" t="inlineStr">
        <is>
          <t>4010</t>
        </is>
      </c>
      <c r="E23" s="27" t="inlineStr">
        <is>
          <t>Product Revenue</t>
        </is>
      </c>
      <c r="F23" s="27" t="inlineStr">
        <is>
          <t>Revenue</t>
        </is>
      </c>
      <c r="G23" s="27" t="inlineStr">
        <is>
          <t>SALES</t>
        </is>
      </c>
      <c r="H23" s="27" t="inlineStr">
        <is>
          <t>SALES</t>
        </is>
      </c>
      <c r="I23" s="31" t="n">
        <v>-680405</v>
      </c>
      <c r="J23" s="31" t="n">
        <v>-746651</v>
      </c>
      <c r="K23" s="31" t="n">
        <v>-736562</v>
      </c>
      <c r="L23" s="28" t="n">
        <v>-832669</v>
      </c>
      <c r="M23" s="28" t="n">
        <v>-874303</v>
      </c>
      <c r="N23" s="28" t="n">
        <v>-915936</v>
      </c>
      <c r="O23" s="28" t="n">
        <v>-957569</v>
      </c>
      <c r="P23" s="28" t="n">
        <v>-915936</v>
      </c>
      <c r="Q23" s="28" t="n">
        <v>-874303</v>
      </c>
      <c r="R23" s="28" t="n">
        <v>-832669</v>
      </c>
      <c r="S23" s="28" t="n">
        <v>-791036</v>
      </c>
      <c r="T23" s="28" t="n">
        <v>-749402</v>
      </c>
      <c r="U23" s="29">
        <f>SUM(I23:T23)</f>
        <v/>
      </c>
    </row>
    <row r="24">
      <c r="A24" s="27" t="inlineStr">
        <is>
          <t>FORECAST_2024F4</t>
        </is>
      </c>
      <c r="B24" s="27" t="inlineStr">
        <is>
          <t>AMUS</t>
        </is>
      </c>
      <c r="C24" s="27" t="inlineStr">
        <is>
          <t>USD</t>
        </is>
      </c>
      <c r="D24" s="27" t="inlineStr">
        <is>
          <t>4020</t>
        </is>
      </c>
      <c r="E24" s="27" t="inlineStr">
        <is>
          <t>Service Revenue</t>
        </is>
      </c>
      <c r="F24" s="27" t="inlineStr">
        <is>
          <t>Revenue</t>
        </is>
      </c>
      <c r="G24" s="27" t="inlineStr">
        <is>
          <t>SALES</t>
        </is>
      </c>
      <c r="H24" s="27" t="inlineStr">
        <is>
          <t>SALES</t>
        </is>
      </c>
      <c r="I24" s="31" t="n">
        <v>-78399</v>
      </c>
      <c r="J24" s="31" t="n">
        <v>-73305</v>
      </c>
      <c r="K24" s="31" t="n">
        <v>-81747</v>
      </c>
      <c r="L24" s="28" t="n">
        <v>-95071</v>
      </c>
      <c r="M24" s="28" t="n">
        <v>-99825</v>
      </c>
      <c r="N24" s="28" t="n">
        <v>-104578</v>
      </c>
      <c r="O24" s="28" t="n">
        <v>-109331</v>
      </c>
      <c r="P24" s="28" t="n">
        <v>-104578</v>
      </c>
      <c r="Q24" s="28" t="n">
        <v>-99825</v>
      </c>
      <c r="R24" s="28" t="n">
        <v>-95071</v>
      </c>
      <c r="S24" s="28" t="n">
        <v>-90318</v>
      </c>
      <c r="T24" s="28" t="n">
        <v>-85564</v>
      </c>
      <c r="U24" s="29">
        <f>SUM(I24:T24)</f>
        <v/>
      </c>
    </row>
    <row r="25">
      <c r="A25" s="27" t="inlineStr">
        <is>
          <t>FORECAST_2024F4</t>
        </is>
      </c>
      <c r="B25" s="27" t="inlineStr">
        <is>
          <t>AMUS</t>
        </is>
      </c>
      <c r="C25" s="27" t="inlineStr">
        <is>
          <t>USD</t>
        </is>
      </c>
      <c r="D25" s="27" t="inlineStr">
        <is>
          <t>5010</t>
        </is>
      </c>
      <c r="E25" s="27" t="inlineStr">
        <is>
          <t>Cost of Goods Sold</t>
        </is>
      </c>
      <c r="F25" s="27" t="inlineStr">
        <is>
          <t>COGS</t>
        </is>
      </c>
      <c r="G25" s="27" t="inlineStr">
        <is>
          <t>SALES</t>
        </is>
      </c>
      <c r="H25" s="27" t="inlineStr">
        <is>
          <t>SALES</t>
        </is>
      </c>
      <c r="I25" s="31" t="n">
        <v>301175</v>
      </c>
      <c r="J25" s="31" t="n">
        <v>317602</v>
      </c>
      <c r="K25" s="31" t="n">
        <v>297649</v>
      </c>
      <c r="L25" s="28" t="n">
        <v>342508</v>
      </c>
      <c r="M25" s="28" t="n">
        <v>359633</v>
      </c>
      <c r="N25" s="28" t="n">
        <v>376759</v>
      </c>
      <c r="O25" s="28" t="n">
        <v>393883</v>
      </c>
      <c r="P25" s="28" t="n">
        <v>376759</v>
      </c>
      <c r="Q25" s="28" t="n">
        <v>359633</v>
      </c>
      <c r="R25" s="28" t="n">
        <v>342508</v>
      </c>
      <c r="S25" s="28" t="n">
        <v>325383</v>
      </c>
      <c r="T25" s="28" t="n">
        <v>308257</v>
      </c>
      <c r="U25" s="29">
        <f>SUM(I25:T25)</f>
        <v/>
      </c>
    </row>
    <row r="26">
      <c r="A26" s="27" t="inlineStr">
        <is>
          <t>FORECAST_2024F4</t>
        </is>
      </c>
      <c r="B26" s="27" t="inlineStr">
        <is>
          <t>AMUS</t>
        </is>
      </c>
      <c r="C26" s="27" t="inlineStr">
        <is>
          <t>USD</t>
        </is>
      </c>
      <c r="D26" s="27" t="inlineStr">
        <is>
          <t>6010</t>
        </is>
      </c>
      <c r="E26" s="27" t="inlineStr">
        <is>
          <t>Salaries and Wages</t>
        </is>
      </c>
      <c r="F26" s="27" t="inlineStr">
        <is>
          <t>OpEx</t>
        </is>
      </c>
      <c r="G26" s="27" t="inlineStr">
        <is>
          <t>SALES</t>
        </is>
      </c>
      <c r="H26" s="27" t="inlineStr">
        <is>
          <t>SALES</t>
        </is>
      </c>
      <c r="I26" s="31" t="n">
        <v>162166</v>
      </c>
      <c r="J26" s="31" t="n">
        <v>180051</v>
      </c>
      <c r="K26" s="31" t="n">
        <v>206162</v>
      </c>
      <c r="L26" s="28" t="n">
        <v>205231</v>
      </c>
      <c r="M26" s="28" t="n">
        <v>215493</v>
      </c>
      <c r="N26" s="28" t="n">
        <v>225754</v>
      </c>
      <c r="O26" s="28" t="n">
        <v>236015</v>
      </c>
      <c r="P26" s="28" t="n">
        <v>225754</v>
      </c>
      <c r="Q26" s="28" t="n">
        <v>215493</v>
      </c>
      <c r="R26" s="28" t="n">
        <v>205231</v>
      </c>
      <c r="S26" s="28" t="n">
        <v>194970</v>
      </c>
      <c r="T26" s="28" t="n">
        <v>184708</v>
      </c>
      <c r="U26" s="29">
        <f>SUM(I26:T26)</f>
        <v/>
      </c>
    </row>
    <row r="27">
      <c r="A27" s="27" t="inlineStr">
        <is>
          <t>FORECAST_2024F4</t>
        </is>
      </c>
      <c r="B27" s="27" t="inlineStr">
        <is>
          <t>AMUS</t>
        </is>
      </c>
      <c r="C27" s="27" t="inlineStr">
        <is>
          <t>USD</t>
        </is>
      </c>
      <c r="D27" s="27" t="inlineStr">
        <is>
          <t>6020</t>
        </is>
      </c>
      <c r="E27" s="27" t="inlineStr">
        <is>
          <t>Rent Expense</t>
        </is>
      </c>
      <c r="F27" s="27" t="inlineStr">
        <is>
          <t>OpEx</t>
        </is>
      </c>
      <c r="G27" s="27" t="inlineStr">
        <is>
          <t>SALES</t>
        </is>
      </c>
      <c r="H27" s="27" t="inlineStr">
        <is>
          <t>SALES</t>
        </is>
      </c>
      <c r="I27" s="31" t="n">
        <v>26234</v>
      </c>
      <c r="J27" s="31" t="n">
        <v>29034</v>
      </c>
      <c r="K27" s="31" t="n">
        <v>29229</v>
      </c>
      <c r="L27" s="28" t="n">
        <v>32927</v>
      </c>
      <c r="M27" s="28" t="n">
        <v>34573</v>
      </c>
      <c r="N27" s="28" t="n">
        <v>36220</v>
      </c>
      <c r="O27" s="28" t="n">
        <v>37865</v>
      </c>
      <c r="P27" s="28" t="n">
        <v>36220</v>
      </c>
      <c r="Q27" s="28" t="n">
        <v>34573</v>
      </c>
      <c r="R27" s="28" t="n">
        <v>32927</v>
      </c>
      <c r="S27" s="28" t="n">
        <v>31281</v>
      </c>
      <c r="T27" s="28" t="n">
        <v>29634</v>
      </c>
      <c r="U27" s="29">
        <f>SUM(I27:T27)</f>
        <v/>
      </c>
    </row>
    <row r="28">
      <c r="A28" s="27" t="inlineStr">
        <is>
          <t>FORECAST_2024F4</t>
        </is>
      </c>
      <c r="B28" s="27" t="inlineStr">
        <is>
          <t>AMUS</t>
        </is>
      </c>
      <c r="C28" s="27" t="inlineStr">
        <is>
          <t>USD</t>
        </is>
      </c>
      <c r="D28" s="27" t="inlineStr">
        <is>
          <t>6030</t>
        </is>
      </c>
      <c r="E28" s="27" t="inlineStr">
        <is>
          <t>Depreciation Expense</t>
        </is>
      </c>
      <c r="F28" s="27" t="inlineStr">
        <is>
          <t>OpEx</t>
        </is>
      </c>
      <c r="G28" s="27" t="inlineStr">
        <is>
          <t>SALES</t>
        </is>
      </c>
      <c r="H28" s="27" t="inlineStr">
        <is>
          <t>SALES</t>
        </is>
      </c>
      <c r="I28" s="31" t="n">
        <v>19752</v>
      </c>
      <c r="J28" s="31" t="n">
        <v>20456</v>
      </c>
      <c r="K28" s="31" t="n">
        <v>23363</v>
      </c>
      <c r="L28" s="28" t="n">
        <v>24732</v>
      </c>
      <c r="M28" s="28" t="n">
        <v>25969</v>
      </c>
      <c r="N28" s="28" t="n">
        <v>27205</v>
      </c>
      <c r="O28" s="28" t="n">
        <v>28441</v>
      </c>
      <c r="P28" s="28" t="n">
        <v>27205</v>
      </c>
      <c r="Q28" s="28" t="n">
        <v>25969</v>
      </c>
      <c r="R28" s="28" t="n">
        <v>24732</v>
      </c>
      <c r="S28" s="28" t="n">
        <v>23495</v>
      </c>
      <c r="T28" s="28" t="n">
        <v>22259</v>
      </c>
      <c r="U28" s="29">
        <f>SUM(I28:T28)</f>
        <v/>
      </c>
    </row>
    <row r="29">
      <c r="A29" s="27" t="inlineStr">
        <is>
          <t>FORECAST_2024F4</t>
        </is>
      </c>
      <c r="B29" s="27" t="inlineStr">
        <is>
          <t>AMUS</t>
        </is>
      </c>
      <c r="C29" s="27" t="inlineStr">
        <is>
          <t>USD</t>
        </is>
      </c>
      <c r="D29" s="27" t="inlineStr">
        <is>
          <t>6040</t>
        </is>
      </c>
      <c r="E29" s="27" t="inlineStr">
        <is>
          <t>Marketing Expense</t>
        </is>
      </c>
      <c r="F29" s="27" t="inlineStr">
        <is>
          <t>OpEx</t>
        </is>
      </c>
      <c r="G29" s="27" t="inlineStr">
        <is>
          <t>SALES</t>
        </is>
      </c>
      <c r="H29" s="27" t="inlineStr">
        <is>
          <t>SALES</t>
        </is>
      </c>
      <c r="I29" s="31" t="n">
        <v>16949</v>
      </c>
      <c r="J29" s="31" t="n">
        <v>17259</v>
      </c>
      <c r="K29" s="31" t="n">
        <v>29540</v>
      </c>
      <c r="L29" s="28" t="n">
        <v>24765</v>
      </c>
      <c r="M29" s="28" t="n">
        <v>26003</v>
      </c>
      <c r="N29" s="28" t="n">
        <v>27241</v>
      </c>
      <c r="O29" s="28" t="n">
        <v>28479</v>
      </c>
      <c r="P29" s="28" t="n">
        <v>27241</v>
      </c>
      <c r="Q29" s="28" t="n">
        <v>26003</v>
      </c>
      <c r="R29" s="28" t="n">
        <v>24765</v>
      </c>
      <c r="S29" s="28" t="n">
        <v>23526</v>
      </c>
      <c r="T29" s="28" t="n">
        <v>22288</v>
      </c>
      <c r="U29" s="29">
        <f>SUM(I29:T29)</f>
        <v/>
      </c>
    </row>
    <row r="30">
      <c r="A30" s="27" t="inlineStr">
        <is>
          <t>FORECAST_2024F4</t>
        </is>
      </c>
      <c r="B30" s="27" t="inlineStr">
        <is>
          <t>AMUS</t>
        </is>
      </c>
      <c r="C30" s="27" t="inlineStr">
        <is>
          <t>USD</t>
        </is>
      </c>
      <c r="D30" s="27" t="inlineStr">
        <is>
          <t>6050</t>
        </is>
      </c>
      <c r="E30" s="27" t="inlineStr">
        <is>
          <t>Travel Expense</t>
        </is>
      </c>
      <c r="F30" s="27" t="inlineStr">
        <is>
          <t>OpEx</t>
        </is>
      </c>
      <c r="G30" s="27" t="inlineStr">
        <is>
          <t>SALES</t>
        </is>
      </c>
      <c r="H30" s="27" t="inlineStr">
        <is>
          <t>SALES</t>
        </is>
      </c>
      <c r="I30" s="31" t="n">
        <v>10578</v>
      </c>
      <c r="J30" s="31" t="n">
        <v>13545</v>
      </c>
      <c r="K30" s="31" t="n">
        <v>12195</v>
      </c>
      <c r="L30" s="28" t="n">
        <v>13205</v>
      </c>
      <c r="M30" s="28" t="n">
        <v>13865</v>
      </c>
      <c r="N30" s="28" t="n">
        <v>14526</v>
      </c>
      <c r="O30" s="28" t="n">
        <v>15185</v>
      </c>
      <c r="P30" s="28" t="n">
        <v>14526</v>
      </c>
      <c r="Q30" s="28" t="n">
        <v>13865</v>
      </c>
      <c r="R30" s="28" t="n">
        <v>13205</v>
      </c>
      <c r="S30" s="28" t="n">
        <v>12545</v>
      </c>
      <c r="T30" s="28" t="n">
        <v>11885</v>
      </c>
      <c r="U30" s="29">
        <f>SUM(I30:T30)</f>
        <v/>
      </c>
    </row>
    <row r="31">
      <c r="A31" s="27" t="inlineStr">
        <is>
          <t>FORECAST_2024F4</t>
        </is>
      </c>
      <c r="B31" s="27" t="inlineStr">
        <is>
          <t>AMUS</t>
        </is>
      </c>
      <c r="C31" s="27" t="inlineStr">
        <is>
          <t>USD</t>
        </is>
      </c>
      <c r="D31" s="27" t="inlineStr">
        <is>
          <t>6060</t>
        </is>
      </c>
      <c r="E31" s="27" t="inlineStr">
        <is>
          <t>Utilities</t>
        </is>
      </c>
      <c r="F31" s="27" t="inlineStr">
        <is>
          <t>OpEx</t>
        </is>
      </c>
      <c r="G31" s="27" t="inlineStr">
        <is>
          <t>SALES</t>
        </is>
      </c>
      <c r="H31" s="27" t="inlineStr">
        <is>
          <t>SALES</t>
        </is>
      </c>
      <c r="I31" s="31" t="n">
        <v>9499</v>
      </c>
      <c r="J31" s="31" t="n">
        <v>10902</v>
      </c>
      <c r="K31" s="31" t="n">
        <v>10773</v>
      </c>
      <c r="L31" s="28" t="n">
        <v>12252</v>
      </c>
      <c r="M31" s="28" t="n">
        <v>12865</v>
      </c>
      <c r="N31" s="28" t="n">
        <v>13478</v>
      </c>
      <c r="O31" s="28" t="n">
        <v>14089</v>
      </c>
      <c r="P31" s="28" t="n">
        <v>13478</v>
      </c>
      <c r="Q31" s="28" t="n">
        <v>12865</v>
      </c>
      <c r="R31" s="28" t="n">
        <v>12252</v>
      </c>
      <c r="S31" s="28" t="n">
        <v>11640</v>
      </c>
      <c r="T31" s="28" t="n">
        <v>11027</v>
      </c>
      <c r="U31" s="29">
        <f>SUM(I31:T31)</f>
        <v/>
      </c>
    </row>
    <row r="32">
      <c r="E32" s="4" t="inlineStr">
        <is>
          <t>Net Income</t>
        </is>
      </c>
      <c r="I32" s="29">
        <f>SUM(I23:I31)</f>
        <v/>
      </c>
      <c r="J32" s="29">
        <f>SUM(J23:J31)</f>
        <v/>
      </c>
      <c r="K32" s="29">
        <f>SUM(K23:K31)</f>
        <v/>
      </c>
      <c r="L32" s="29">
        <f>SUM(L23:L31)</f>
        <v/>
      </c>
      <c r="M32" s="29">
        <f>SUM(M23:M31)</f>
        <v/>
      </c>
      <c r="N32" s="29">
        <f>SUM(N23:N31)</f>
        <v/>
      </c>
      <c r="O32" s="29">
        <f>SUM(O23:O31)</f>
        <v/>
      </c>
      <c r="P32" s="29">
        <f>SUM(P23:P31)</f>
        <v/>
      </c>
      <c r="Q32" s="29">
        <f>SUM(Q23:Q31)</f>
        <v/>
      </c>
      <c r="R32" s="29">
        <f>SUM(R23:R31)</f>
        <v/>
      </c>
      <c r="S32" s="29">
        <f>SUM(S23:S31)</f>
        <v/>
      </c>
      <c r="T32" s="29">
        <f>SUM(T23:T31)</f>
        <v/>
      </c>
      <c r="U32" s="29">
        <f>SUM(U23:U31)</f>
        <v/>
      </c>
    </row>
    <row r="34">
      <c r="A34" s="24" t="inlineStr">
        <is>
          <t>AMDE</t>
        </is>
      </c>
      <c r="B34" s="24" t="inlineStr">
        <is>
          <t>Alpine Manufacturing DE</t>
        </is>
      </c>
      <c r="C34" s="24" t="inlineStr">
        <is>
          <t>EUR</t>
        </is>
      </c>
      <c r="D34" s="24" t="n"/>
      <c r="E34" s="25" t="n"/>
      <c r="F34" s="25" t="n"/>
      <c r="G34" s="25" t="n"/>
      <c r="H34" s="25" t="n"/>
      <c r="I34" s="25" t="n"/>
      <c r="J34" s="25" t="n"/>
      <c r="K34" s="25" t="n"/>
      <c r="L34" s="25" t="n"/>
      <c r="M34" s="25" t="n"/>
      <c r="N34" s="25" t="n"/>
      <c r="O34" s="25" t="n"/>
      <c r="P34" s="25" t="n"/>
      <c r="Q34" s="25" t="n"/>
      <c r="R34" s="25" t="n"/>
      <c r="S34" s="25" t="n"/>
      <c r="T34" s="26" t="n"/>
      <c r="U34" s="24" t="n"/>
    </row>
    <row r="35">
      <c r="A35" s="27" t="inlineStr">
        <is>
          <t>FORECAST_2024F4</t>
        </is>
      </c>
      <c r="B35" s="27" t="inlineStr">
        <is>
          <t>AMDE</t>
        </is>
      </c>
      <c r="C35" s="27" t="inlineStr">
        <is>
          <t>EUR</t>
        </is>
      </c>
      <c r="D35" s="27" t="inlineStr">
        <is>
          <t>4010</t>
        </is>
      </c>
      <c r="E35" s="27" t="inlineStr">
        <is>
          <t>Product Revenue</t>
        </is>
      </c>
      <c r="F35" s="27" t="inlineStr">
        <is>
          <t>Revenue</t>
        </is>
      </c>
      <c r="G35" s="27" t="inlineStr">
        <is>
          <t>PROD</t>
        </is>
      </c>
      <c r="H35" s="27" t="inlineStr">
        <is>
          <t>OPS</t>
        </is>
      </c>
      <c r="I35" s="31" t="n">
        <v>-482342</v>
      </c>
      <c r="J35" s="31" t="n">
        <v>-514484</v>
      </c>
      <c r="K35" s="31" t="n">
        <v>-566721</v>
      </c>
      <c r="L35" s="28" t="n">
        <v>-613545</v>
      </c>
      <c r="M35" s="28" t="n">
        <v>-644223</v>
      </c>
      <c r="N35" s="28" t="n">
        <v>-674900</v>
      </c>
      <c r="O35" s="28" t="n">
        <v>-705577</v>
      </c>
      <c r="P35" s="28" t="n">
        <v>-674900</v>
      </c>
      <c r="Q35" s="28" t="n">
        <v>-644223</v>
      </c>
      <c r="R35" s="28" t="n">
        <v>-613545</v>
      </c>
      <c r="S35" s="28" t="n">
        <v>-582868</v>
      </c>
      <c r="T35" s="28" t="n">
        <v>-552191</v>
      </c>
      <c r="U35" s="29">
        <f>SUM(I35:T35)</f>
        <v/>
      </c>
    </row>
    <row r="36">
      <c r="A36" s="27" t="inlineStr">
        <is>
          <t>FORECAST_2024F4</t>
        </is>
      </c>
      <c r="B36" s="27" t="inlineStr">
        <is>
          <t>AMDE</t>
        </is>
      </c>
      <c r="C36" s="27" t="inlineStr">
        <is>
          <t>EUR</t>
        </is>
      </c>
      <c r="D36" s="27" t="inlineStr">
        <is>
          <t>4020</t>
        </is>
      </c>
      <c r="E36" s="27" t="inlineStr">
        <is>
          <t>Service Revenue</t>
        </is>
      </c>
      <c r="F36" s="27" t="inlineStr">
        <is>
          <t>Revenue</t>
        </is>
      </c>
      <c r="G36" s="27" t="inlineStr">
        <is>
          <t>PROD</t>
        </is>
      </c>
      <c r="H36" s="27" t="inlineStr">
        <is>
          <t>OPS</t>
        </is>
      </c>
      <c r="I36" s="31" t="n">
        <v>-64327</v>
      </c>
      <c r="J36" s="31" t="n">
        <v>-64495</v>
      </c>
      <c r="K36" s="31" t="n">
        <v>-57548</v>
      </c>
      <c r="L36" s="28" t="n">
        <v>-73392</v>
      </c>
      <c r="M36" s="28" t="n">
        <v>-77062</v>
      </c>
      <c r="N36" s="28" t="n">
        <v>-80732</v>
      </c>
      <c r="O36" s="28" t="n">
        <v>-84401</v>
      </c>
      <c r="P36" s="28" t="n">
        <v>-80732</v>
      </c>
      <c r="Q36" s="28" t="n">
        <v>-77062</v>
      </c>
      <c r="R36" s="28" t="n">
        <v>-73392</v>
      </c>
      <c r="S36" s="28" t="n">
        <v>-69723</v>
      </c>
      <c r="T36" s="28" t="n">
        <v>-66053</v>
      </c>
      <c r="U36" s="29">
        <f>SUM(I36:T36)</f>
        <v/>
      </c>
    </row>
    <row r="37">
      <c r="A37" s="27" t="inlineStr">
        <is>
          <t>FORECAST_2024F4</t>
        </is>
      </c>
      <c r="B37" s="27" t="inlineStr">
        <is>
          <t>AMDE</t>
        </is>
      </c>
      <c r="C37" s="27" t="inlineStr">
        <is>
          <t>EUR</t>
        </is>
      </c>
      <c r="D37" s="27" t="inlineStr">
        <is>
          <t>5010</t>
        </is>
      </c>
      <c r="E37" s="27" t="inlineStr">
        <is>
          <t>Cost of Goods Sold</t>
        </is>
      </c>
      <c r="F37" s="27" t="inlineStr">
        <is>
          <t>COGS</t>
        </is>
      </c>
      <c r="G37" s="27" t="inlineStr">
        <is>
          <t>PROD</t>
        </is>
      </c>
      <c r="H37" s="27" t="inlineStr">
        <is>
          <t>OPS</t>
        </is>
      </c>
      <c r="I37" s="31" t="n">
        <v>192168</v>
      </c>
      <c r="J37" s="31" t="n">
        <v>227270</v>
      </c>
      <c r="K37" s="31" t="n">
        <v>227690</v>
      </c>
      <c r="L37" s="28" t="n">
        <v>249438</v>
      </c>
      <c r="M37" s="28" t="n">
        <v>261910</v>
      </c>
      <c r="N37" s="28" t="n">
        <v>274382</v>
      </c>
      <c r="O37" s="28" t="n">
        <v>286854</v>
      </c>
      <c r="P37" s="28" t="n">
        <v>274382</v>
      </c>
      <c r="Q37" s="28" t="n">
        <v>261910</v>
      </c>
      <c r="R37" s="28" t="n">
        <v>249438</v>
      </c>
      <c r="S37" s="28" t="n">
        <v>236966</v>
      </c>
      <c r="T37" s="28" t="n">
        <v>224494</v>
      </c>
      <c r="U37" s="29">
        <f>SUM(I37:T37)</f>
        <v/>
      </c>
    </row>
    <row r="38">
      <c r="A38" s="27" t="inlineStr">
        <is>
          <t>FORECAST_2024F4</t>
        </is>
      </c>
      <c r="B38" s="27" t="inlineStr">
        <is>
          <t>AMDE</t>
        </is>
      </c>
      <c r="C38" s="27" t="inlineStr">
        <is>
          <t>EUR</t>
        </is>
      </c>
      <c r="D38" s="27" t="inlineStr">
        <is>
          <t>6010</t>
        </is>
      </c>
      <c r="E38" s="27" t="inlineStr">
        <is>
          <t>Salaries and Wages</t>
        </is>
      </c>
      <c r="F38" s="27" t="inlineStr">
        <is>
          <t>OpEx</t>
        </is>
      </c>
      <c r="G38" s="27" t="inlineStr">
        <is>
          <t>PROD</t>
        </is>
      </c>
      <c r="H38" s="27" t="inlineStr">
        <is>
          <t>OPS</t>
        </is>
      </c>
      <c r="I38" s="31" t="n">
        <v>117968</v>
      </c>
      <c r="J38" s="31" t="n">
        <v>133580</v>
      </c>
      <c r="K38" s="31" t="n">
        <v>130009</v>
      </c>
      <c r="L38" s="28" t="n">
        <v>148418</v>
      </c>
      <c r="M38" s="28" t="n">
        <v>155839</v>
      </c>
      <c r="N38" s="28" t="n">
        <v>163260</v>
      </c>
      <c r="O38" s="28" t="n">
        <v>170681</v>
      </c>
      <c r="P38" s="28" t="n">
        <v>163260</v>
      </c>
      <c r="Q38" s="28" t="n">
        <v>155839</v>
      </c>
      <c r="R38" s="28" t="n">
        <v>148418</v>
      </c>
      <c r="S38" s="28" t="n">
        <v>140997</v>
      </c>
      <c r="T38" s="28" t="n">
        <v>133576</v>
      </c>
      <c r="U38" s="29">
        <f>SUM(I38:T38)</f>
        <v/>
      </c>
    </row>
    <row r="39">
      <c r="A39" s="27" t="inlineStr">
        <is>
          <t>FORECAST_2024F4</t>
        </is>
      </c>
      <c r="B39" s="27" t="inlineStr">
        <is>
          <t>AMDE</t>
        </is>
      </c>
      <c r="C39" s="27" t="inlineStr">
        <is>
          <t>EUR</t>
        </is>
      </c>
      <c r="D39" s="27" t="inlineStr">
        <is>
          <t>6020</t>
        </is>
      </c>
      <c r="E39" s="27" t="inlineStr">
        <is>
          <t>Rent Expense</t>
        </is>
      </c>
      <c r="F39" s="27" t="inlineStr">
        <is>
          <t>OpEx</t>
        </is>
      </c>
      <c r="G39" s="27" t="inlineStr">
        <is>
          <t>PROD</t>
        </is>
      </c>
      <c r="H39" s="27" t="inlineStr">
        <is>
          <t>OPS</t>
        </is>
      </c>
      <c r="I39" s="31" t="n">
        <v>19101</v>
      </c>
      <c r="J39" s="31" t="n">
        <v>21129</v>
      </c>
      <c r="K39" s="31" t="n">
        <v>21407</v>
      </c>
      <c r="L39" s="28" t="n">
        <v>24374</v>
      </c>
      <c r="M39" s="28" t="n">
        <v>25592</v>
      </c>
      <c r="N39" s="28" t="n">
        <v>26811</v>
      </c>
      <c r="O39" s="28" t="n">
        <v>28030</v>
      </c>
      <c r="P39" s="28" t="n">
        <v>26811</v>
      </c>
      <c r="Q39" s="28" t="n">
        <v>25592</v>
      </c>
      <c r="R39" s="28" t="n">
        <v>24374</v>
      </c>
      <c r="S39" s="28" t="n">
        <v>23155</v>
      </c>
      <c r="T39" s="28" t="n">
        <v>21936</v>
      </c>
      <c r="U39" s="29">
        <f>SUM(I39:T39)</f>
        <v/>
      </c>
    </row>
    <row r="40">
      <c r="A40" s="27" t="inlineStr">
        <is>
          <t>FORECAST_2024F4</t>
        </is>
      </c>
      <c r="B40" s="27" t="inlineStr">
        <is>
          <t>AMDE</t>
        </is>
      </c>
      <c r="C40" s="27" t="inlineStr">
        <is>
          <t>EUR</t>
        </is>
      </c>
      <c r="D40" s="27" t="inlineStr">
        <is>
          <t>6030</t>
        </is>
      </c>
      <c r="E40" s="27" t="inlineStr">
        <is>
          <t>Depreciation Expense</t>
        </is>
      </c>
      <c r="F40" s="27" t="inlineStr">
        <is>
          <t>OpEx</t>
        </is>
      </c>
      <c r="G40" s="27" t="inlineStr">
        <is>
          <t>PROD</t>
        </is>
      </c>
      <c r="H40" s="27" t="inlineStr">
        <is>
          <t>OPS</t>
        </is>
      </c>
      <c r="I40" s="31" t="n">
        <v>15612</v>
      </c>
      <c r="J40" s="31" t="n">
        <v>16019</v>
      </c>
      <c r="K40" s="31" t="n">
        <v>18279</v>
      </c>
      <c r="L40" s="28" t="n">
        <v>18962</v>
      </c>
      <c r="M40" s="28" t="n">
        <v>19910</v>
      </c>
      <c r="N40" s="28" t="n">
        <v>20858</v>
      </c>
      <c r="O40" s="28" t="n">
        <v>21806</v>
      </c>
      <c r="P40" s="28" t="n">
        <v>20858</v>
      </c>
      <c r="Q40" s="28" t="n">
        <v>19910</v>
      </c>
      <c r="R40" s="28" t="n">
        <v>18962</v>
      </c>
      <c r="S40" s="28" t="n">
        <v>18014</v>
      </c>
      <c r="T40" s="28" t="n">
        <v>17066</v>
      </c>
      <c r="U40" s="29">
        <f>SUM(I40:T40)</f>
        <v/>
      </c>
    </row>
    <row r="41">
      <c r="A41" s="27" t="inlineStr">
        <is>
          <t>FORECAST_2024F4</t>
        </is>
      </c>
      <c r="B41" s="27" t="inlineStr">
        <is>
          <t>AMDE</t>
        </is>
      </c>
      <c r="C41" s="27" t="inlineStr">
        <is>
          <t>EUR</t>
        </is>
      </c>
      <c r="D41" s="27" t="inlineStr">
        <is>
          <t>6040</t>
        </is>
      </c>
      <c r="E41" s="27" t="inlineStr">
        <is>
          <t>Marketing Expense</t>
        </is>
      </c>
      <c r="F41" s="27" t="inlineStr">
        <is>
          <t>OpEx</t>
        </is>
      </c>
      <c r="G41" s="27" t="inlineStr">
        <is>
          <t>PROD</t>
        </is>
      </c>
      <c r="H41" s="27" t="inlineStr">
        <is>
          <t>OPS</t>
        </is>
      </c>
      <c r="I41" s="31" t="n">
        <v>14974</v>
      </c>
      <c r="J41" s="31" t="n">
        <v>18736</v>
      </c>
      <c r="K41" s="31" t="n">
        <v>10995</v>
      </c>
      <c r="L41" s="28" t="n">
        <v>17998</v>
      </c>
      <c r="M41" s="28" t="n">
        <v>18898</v>
      </c>
      <c r="N41" s="28" t="n">
        <v>19798</v>
      </c>
      <c r="O41" s="28" t="n">
        <v>20698</v>
      </c>
      <c r="P41" s="28" t="n">
        <v>19798</v>
      </c>
      <c r="Q41" s="28" t="n">
        <v>18898</v>
      </c>
      <c r="R41" s="28" t="n">
        <v>17998</v>
      </c>
      <c r="S41" s="28" t="n">
        <v>17098</v>
      </c>
      <c r="T41" s="28" t="n">
        <v>16198</v>
      </c>
      <c r="U41" s="29">
        <f>SUM(I41:T41)</f>
        <v/>
      </c>
    </row>
    <row r="42">
      <c r="A42" s="27" t="inlineStr">
        <is>
          <t>FORECAST_2024F4</t>
        </is>
      </c>
      <c r="B42" s="27" t="inlineStr">
        <is>
          <t>AMDE</t>
        </is>
      </c>
      <c r="C42" s="27" t="inlineStr">
        <is>
          <t>EUR</t>
        </is>
      </c>
      <c r="D42" s="27" t="inlineStr">
        <is>
          <t>6050</t>
        </is>
      </c>
      <c r="E42" s="27" t="inlineStr">
        <is>
          <t>Travel Expense</t>
        </is>
      </c>
      <c r="F42" s="27" t="inlineStr">
        <is>
          <t>OpEx</t>
        </is>
      </c>
      <c r="G42" s="27" t="inlineStr">
        <is>
          <t>PROD</t>
        </is>
      </c>
      <c r="H42" s="27" t="inlineStr">
        <is>
          <t>OPS</t>
        </is>
      </c>
      <c r="I42" s="31" t="n">
        <v>4976</v>
      </c>
      <c r="J42" s="31" t="n">
        <v>9323</v>
      </c>
      <c r="K42" s="31" t="n">
        <v>9294</v>
      </c>
      <c r="L42" s="28" t="n">
        <v>9229</v>
      </c>
      <c r="M42" s="28" t="n">
        <v>9690</v>
      </c>
      <c r="N42" s="28" t="n">
        <v>10151</v>
      </c>
      <c r="O42" s="28" t="n">
        <v>10613</v>
      </c>
      <c r="P42" s="28" t="n">
        <v>10151</v>
      </c>
      <c r="Q42" s="28" t="n">
        <v>9690</v>
      </c>
      <c r="R42" s="28" t="n">
        <v>9229</v>
      </c>
      <c r="S42" s="28" t="n">
        <v>8767</v>
      </c>
      <c r="T42" s="28" t="n">
        <v>8306</v>
      </c>
      <c r="U42" s="29">
        <f>SUM(I42:T42)</f>
        <v/>
      </c>
    </row>
    <row r="43">
      <c r="A43" s="27" t="inlineStr">
        <is>
          <t>FORECAST_2024F4</t>
        </is>
      </c>
      <c r="B43" s="27" t="inlineStr">
        <is>
          <t>AMDE</t>
        </is>
      </c>
      <c r="C43" s="27" t="inlineStr">
        <is>
          <t>EUR</t>
        </is>
      </c>
      <c r="D43" s="27" t="inlineStr">
        <is>
          <t>6060</t>
        </is>
      </c>
      <c r="E43" s="27" t="inlineStr">
        <is>
          <t>Utilities</t>
        </is>
      </c>
      <c r="F43" s="27" t="inlineStr">
        <is>
          <t>OpEx</t>
        </is>
      </c>
      <c r="G43" s="27" t="inlineStr">
        <is>
          <t>PROD</t>
        </is>
      </c>
      <c r="H43" s="27" t="inlineStr">
        <is>
          <t>OPS</t>
        </is>
      </c>
      <c r="I43" s="31" t="n">
        <v>7179</v>
      </c>
      <c r="J43" s="31" t="n">
        <v>8608</v>
      </c>
      <c r="K43" s="31" t="n">
        <v>9004</v>
      </c>
      <c r="L43" s="28" t="n">
        <v>9450</v>
      </c>
      <c r="M43" s="28" t="n">
        <v>9923</v>
      </c>
      <c r="N43" s="28" t="n">
        <v>10396</v>
      </c>
      <c r="O43" s="28" t="n">
        <v>10868</v>
      </c>
      <c r="P43" s="28" t="n">
        <v>10396</v>
      </c>
      <c r="Q43" s="28" t="n">
        <v>9923</v>
      </c>
      <c r="R43" s="28" t="n">
        <v>9450</v>
      </c>
      <c r="S43" s="28" t="n">
        <v>8978</v>
      </c>
      <c r="T43" s="28" t="n">
        <v>8505</v>
      </c>
      <c r="U43" s="29">
        <f>SUM(I43:T43)</f>
        <v/>
      </c>
    </row>
    <row r="44">
      <c r="E44" s="4" t="inlineStr">
        <is>
          <t>Net Income</t>
        </is>
      </c>
      <c r="I44" s="29">
        <f>SUM(I35:I43)</f>
        <v/>
      </c>
      <c r="J44" s="29">
        <f>SUM(J35:J43)</f>
        <v/>
      </c>
      <c r="K44" s="29">
        <f>SUM(K35:K43)</f>
        <v/>
      </c>
      <c r="L44" s="29">
        <f>SUM(L35:L43)</f>
        <v/>
      </c>
      <c r="M44" s="29">
        <f>SUM(M35:M43)</f>
        <v/>
      </c>
      <c r="N44" s="29">
        <f>SUM(N35:N43)</f>
        <v/>
      </c>
      <c r="O44" s="29">
        <f>SUM(O35:O43)</f>
        <v/>
      </c>
      <c r="P44" s="29">
        <f>SUM(P35:P43)</f>
        <v/>
      </c>
      <c r="Q44" s="29">
        <f>SUM(Q35:Q43)</f>
        <v/>
      </c>
      <c r="R44" s="29">
        <f>SUM(R35:R43)</f>
        <v/>
      </c>
      <c r="S44" s="29">
        <f>SUM(S35:S43)</f>
        <v/>
      </c>
      <c r="T44" s="29">
        <f>SUM(T35:T43)</f>
        <v/>
      </c>
      <c r="U44" s="29">
        <f>SUM(U35:U43)</f>
        <v/>
      </c>
    </row>
  </sheetData>
  <mergeCells count="3">
    <mergeCell ref="D34:T34"/>
    <mergeCell ref="D22:T22"/>
    <mergeCell ref="D10:T10"/>
  </mergeCell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U44"/>
  <sheetViews>
    <sheetView workbookViewId="0">
      <pane xSplit="8" ySplit="9" topLeftCell="I10"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0" customWidth="1" min="3" max="3"/>
    <col width="10" customWidth="1" min="4" max="4"/>
    <col width="22" customWidth="1" min="5" max="5"/>
    <col width="12" customWidth="1" min="6" max="6"/>
    <col width="14" customWidth="1" min="7" max="7"/>
    <col width="14"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4" customWidth="1" min="21" max="21"/>
  </cols>
  <sheetData>
    <row r="1">
      <c r="A1" s="20" t="inlineStr">
        <is>
          <t>Scenario:</t>
        </is>
      </c>
      <c r="B1" s="21" t="inlineStr">
        <is>
          <t>Forecast 2024 - May</t>
        </is>
      </c>
    </row>
    <row r="2">
      <c r="A2" s="20" t="inlineStr">
        <is>
          <t>Scenario ID:</t>
        </is>
      </c>
      <c r="B2" s="21" t="inlineStr">
        <is>
          <t>FORECAST_2024F5</t>
        </is>
      </c>
    </row>
    <row r="3">
      <c r="A3" s="20" t="inlineStr">
        <is>
          <t>Type:</t>
        </is>
      </c>
      <c r="B3" s="21" t="inlineStr">
        <is>
          <t>forecast</t>
        </is>
      </c>
    </row>
    <row r="4">
      <c r="A4" s="20" t="inlineStr">
        <is>
          <t>Fiscal Year:</t>
        </is>
      </c>
      <c r="B4" s="21" t="n">
        <v>2024</v>
      </c>
    </row>
    <row r="5">
      <c r="A5" s="20" t="inlineStr">
        <is>
          <t>Layer:</t>
        </is>
      </c>
      <c r="B5" s="21" t="inlineStr">
        <is>
          <t>base</t>
        </is>
      </c>
    </row>
    <row r="6">
      <c r="A6" s="20" t="inlineStr">
        <is>
          <t>Actual months:</t>
        </is>
      </c>
      <c r="B6" s="30" t="inlineStr">
        <is>
          <t>1-4 (yellow = actuals, white = editable forecast)</t>
        </is>
      </c>
    </row>
    <row r="7">
      <c r="A7" s="20" t="inlineStr">
        <is>
          <t>Usage:</t>
        </is>
      </c>
      <c r="B7" s="22" t="inlineStr">
        <is>
          <t>Edit white cells, then press Ctrl+Shift+R or F9 to save to server</t>
        </is>
      </c>
    </row>
    <row r="9">
      <c r="A9" s="23" t="inlineStr">
        <is>
          <t>Scenario ID</t>
        </is>
      </c>
      <c r="B9" s="23" t="inlineStr">
        <is>
          <t>Entity</t>
        </is>
      </c>
      <c r="C9" s="23" t="inlineStr">
        <is>
          <t>Currency</t>
        </is>
      </c>
      <c r="D9" s="23" t="inlineStr">
        <is>
          <t>Account</t>
        </is>
      </c>
      <c r="E9" s="23" t="inlineStr">
        <is>
          <t>Account Name</t>
        </is>
      </c>
      <c r="F9" s="23" t="inlineStr">
        <is>
          <t>Category</t>
        </is>
      </c>
      <c r="G9" s="23" t="inlineStr">
        <is>
          <t>Cost Center</t>
        </is>
      </c>
      <c r="H9" s="23" t="inlineStr">
        <is>
          <t>Department</t>
        </is>
      </c>
      <c r="I9" s="23" t="inlineStr">
        <is>
          <t>Jan</t>
        </is>
      </c>
      <c r="J9" s="23" t="inlineStr">
        <is>
          <t>Feb</t>
        </is>
      </c>
      <c r="K9" s="23" t="inlineStr">
        <is>
          <t>Mar</t>
        </is>
      </c>
      <c r="L9" s="23" t="inlineStr">
        <is>
          <t>Apr</t>
        </is>
      </c>
      <c r="M9" s="23" t="inlineStr">
        <is>
          <t>May</t>
        </is>
      </c>
      <c r="N9" s="23" t="inlineStr">
        <is>
          <t>Jun</t>
        </is>
      </c>
      <c r="O9" s="23" t="inlineStr">
        <is>
          <t>Jul</t>
        </is>
      </c>
      <c r="P9" s="23" t="inlineStr">
        <is>
          <t>Aug</t>
        </is>
      </c>
      <c r="Q9" s="23" t="inlineStr">
        <is>
          <t>Sep</t>
        </is>
      </c>
      <c r="R9" s="23" t="inlineStr">
        <is>
          <t>Oct</t>
        </is>
      </c>
      <c r="S9" s="23" t="inlineStr">
        <is>
          <t>Nov</t>
        </is>
      </c>
      <c r="T9" s="23" t="inlineStr">
        <is>
          <t>Dec</t>
        </is>
      </c>
      <c r="U9" s="23" t="inlineStr">
        <is>
          <t>Annual Total</t>
        </is>
      </c>
    </row>
    <row r="10">
      <c r="A10" s="24" t="inlineStr">
        <is>
          <t>AMHQ</t>
        </is>
      </c>
      <c r="B10" s="24" t="inlineStr">
        <is>
          <t>Alpine Manufacturing HQ</t>
        </is>
      </c>
      <c r="C10" s="24" t="inlineStr">
        <is>
          <t>CHF</t>
        </is>
      </c>
      <c r="D10" s="24" t="n"/>
      <c r="E10" s="25" t="n"/>
      <c r="F10" s="25" t="n"/>
      <c r="G10" s="25" t="n"/>
      <c r="H10" s="25" t="n"/>
      <c r="I10" s="25" t="n"/>
      <c r="J10" s="25" t="n"/>
      <c r="K10" s="25" t="n"/>
      <c r="L10" s="25" t="n"/>
      <c r="M10" s="25" t="n"/>
      <c r="N10" s="25" t="n"/>
      <c r="O10" s="25" t="n"/>
      <c r="P10" s="25" t="n"/>
      <c r="Q10" s="25" t="n"/>
      <c r="R10" s="25" t="n"/>
      <c r="S10" s="25" t="n"/>
      <c r="T10" s="26" t="n"/>
      <c r="U10" s="24" t="n"/>
    </row>
    <row r="11">
      <c r="A11" s="27" t="inlineStr">
        <is>
          <t>FORECAST_2024F5</t>
        </is>
      </c>
      <c r="B11" s="27" t="inlineStr">
        <is>
          <t>AMHQ</t>
        </is>
      </c>
      <c r="C11" s="27" t="inlineStr">
        <is>
          <t>CHF</t>
        </is>
      </c>
      <c r="D11" s="27" t="inlineStr">
        <is>
          <t>4010</t>
        </is>
      </c>
      <c r="E11" s="27" t="inlineStr">
        <is>
          <t>Product Revenue</t>
        </is>
      </c>
      <c r="F11" s="27" t="inlineStr">
        <is>
          <t>Revenue</t>
        </is>
      </c>
      <c r="G11" s="27" t="inlineStr">
        <is>
          <t>HQ</t>
        </is>
      </c>
      <c r="H11" s="27" t="inlineStr">
        <is>
          <t>MGMT</t>
        </is>
      </c>
      <c r="I11" s="31" t="n">
        <v>-420021</v>
      </c>
      <c r="J11" s="31" t="n">
        <v>-427900</v>
      </c>
      <c r="K11" s="31" t="n">
        <v>-466784</v>
      </c>
      <c r="L11" s="31" t="n">
        <v>-517809</v>
      </c>
      <c r="M11" s="28" t="n">
        <v>-543518</v>
      </c>
      <c r="N11" s="28" t="n">
        <v>-569400</v>
      </c>
      <c r="O11" s="28" t="n">
        <v>-595282</v>
      </c>
      <c r="P11" s="28" t="n">
        <v>-569400</v>
      </c>
      <c r="Q11" s="28" t="n">
        <v>-543518</v>
      </c>
      <c r="R11" s="28" t="n">
        <v>-517637</v>
      </c>
      <c r="S11" s="28" t="n">
        <v>-491755</v>
      </c>
      <c r="T11" s="28" t="n">
        <v>-465873</v>
      </c>
      <c r="U11" s="29">
        <f>SUM(I11:T11)</f>
        <v/>
      </c>
    </row>
    <row r="12">
      <c r="A12" s="27" t="inlineStr">
        <is>
          <t>FORECAST_2024F5</t>
        </is>
      </c>
      <c r="B12" s="27" t="inlineStr">
        <is>
          <t>AMHQ</t>
        </is>
      </c>
      <c r="C12" s="27" t="inlineStr">
        <is>
          <t>CHF</t>
        </is>
      </c>
      <c r="D12" s="27" t="inlineStr">
        <is>
          <t>4020</t>
        </is>
      </c>
      <c r="E12" s="27" t="inlineStr">
        <is>
          <t>Service Revenue</t>
        </is>
      </c>
      <c r="F12" s="27" t="inlineStr">
        <is>
          <t>Revenue</t>
        </is>
      </c>
      <c r="G12" s="27" t="inlineStr">
        <is>
          <t>HQ</t>
        </is>
      </c>
      <c r="H12" s="27" t="inlineStr">
        <is>
          <t>MGMT</t>
        </is>
      </c>
      <c r="I12" s="31" t="n">
        <v>-45138</v>
      </c>
      <c r="J12" s="31" t="n">
        <v>-46908</v>
      </c>
      <c r="K12" s="31" t="n">
        <v>-66357</v>
      </c>
      <c r="L12" s="31" t="n">
        <v>-54369</v>
      </c>
      <c r="M12" s="28" t="n">
        <v>-64210</v>
      </c>
      <c r="N12" s="28" t="n">
        <v>-67268</v>
      </c>
      <c r="O12" s="28" t="n">
        <v>-70325</v>
      </c>
      <c r="P12" s="28" t="n">
        <v>-67268</v>
      </c>
      <c r="Q12" s="28" t="n">
        <v>-64210</v>
      </c>
      <c r="R12" s="28" t="n">
        <v>-61152</v>
      </c>
      <c r="S12" s="28" t="n">
        <v>-58095</v>
      </c>
      <c r="T12" s="28" t="n">
        <v>-55037</v>
      </c>
      <c r="U12" s="29">
        <f>SUM(I12:T12)</f>
        <v/>
      </c>
    </row>
    <row r="13">
      <c r="A13" s="27" t="inlineStr">
        <is>
          <t>FORECAST_2024F5</t>
        </is>
      </c>
      <c r="B13" s="27" t="inlineStr">
        <is>
          <t>AMHQ</t>
        </is>
      </c>
      <c r="C13" s="27" t="inlineStr">
        <is>
          <t>CHF</t>
        </is>
      </c>
      <c r="D13" s="27" t="inlineStr">
        <is>
          <t>5010</t>
        </is>
      </c>
      <c r="E13" s="27" t="inlineStr">
        <is>
          <t>Cost of Goods Sold</t>
        </is>
      </c>
      <c r="F13" s="27" t="inlineStr">
        <is>
          <t>COGS</t>
        </is>
      </c>
      <c r="G13" s="27" t="inlineStr">
        <is>
          <t>HQ</t>
        </is>
      </c>
      <c r="H13" s="27" t="inlineStr">
        <is>
          <t>MGMT</t>
        </is>
      </c>
      <c r="I13" s="31" t="n">
        <v>175132</v>
      </c>
      <c r="J13" s="31" t="n">
        <v>196794</v>
      </c>
      <c r="K13" s="31" t="n">
        <v>190599</v>
      </c>
      <c r="L13" s="31" t="n">
        <v>208457</v>
      </c>
      <c r="M13" s="28" t="n">
        <v>222796</v>
      </c>
      <c r="N13" s="28" t="n">
        <v>233405</v>
      </c>
      <c r="O13" s="28" t="n">
        <v>244014</v>
      </c>
      <c r="P13" s="28" t="n">
        <v>233405</v>
      </c>
      <c r="Q13" s="28" t="n">
        <v>222796</v>
      </c>
      <c r="R13" s="28" t="n">
        <v>212186</v>
      </c>
      <c r="S13" s="28" t="n">
        <v>201577</v>
      </c>
      <c r="T13" s="28" t="n">
        <v>190968</v>
      </c>
      <c r="U13" s="29">
        <f>SUM(I13:T13)</f>
        <v/>
      </c>
    </row>
    <row r="14">
      <c r="A14" s="27" t="inlineStr">
        <is>
          <t>FORECAST_2024F5</t>
        </is>
      </c>
      <c r="B14" s="27" t="inlineStr">
        <is>
          <t>AMHQ</t>
        </is>
      </c>
      <c r="C14" s="27" t="inlineStr">
        <is>
          <t>CHF</t>
        </is>
      </c>
      <c r="D14" s="27" t="inlineStr">
        <is>
          <t>6010</t>
        </is>
      </c>
      <c r="E14" s="27" t="inlineStr">
        <is>
          <t>Salaries and Wages</t>
        </is>
      </c>
      <c r="F14" s="27" t="inlineStr">
        <is>
          <t>OpEx</t>
        </is>
      </c>
      <c r="G14" s="27" t="inlineStr">
        <is>
          <t>HQ</t>
        </is>
      </c>
      <c r="H14" s="27" t="inlineStr">
        <is>
          <t>MGMT</t>
        </is>
      </c>
      <c r="I14" s="31" t="n">
        <v>95723</v>
      </c>
      <c r="J14" s="31" t="n">
        <v>112230</v>
      </c>
      <c r="K14" s="31" t="n">
        <v>116476</v>
      </c>
      <c r="L14" s="31" t="n">
        <v>114110</v>
      </c>
      <c r="M14" s="28" t="n">
        <v>130265</v>
      </c>
      <c r="N14" s="28" t="n">
        <v>136468</v>
      </c>
      <c r="O14" s="28" t="n">
        <v>142671</v>
      </c>
      <c r="P14" s="28" t="n">
        <v>136468</v>
      </c>
      <c r="Q14" s="28" t="n">
        <v>130265</v>
      </c>
      <c r="R14" s="28" t="n">
        <v>124062</v>
      </c>
      <c r="S14" s="28" t="n">
        <v>117858</v>
      </c>
      <c r="T14" s="28" t="n">
        <v>111655</v>
      </c>
      <c r="U14" s="29">
        <f>SUM(I14:T14)</f>
        <v/>
      </c>
    </row>
    <row r="15">
      <c r="A15" s="27" t="inlineStr">
        <is>
          <t>FORECAST_2024F5</t>
        </is>
      </c>
      <c r="B15" s="27" t="inlineStr">
        <is>
          <t>AMHQ</t>
        </is>
      </c>
      <c r="C15" s="27" t="inlineStr">
        <is>
          <t>CHF</t>
        </is>
      </c>
      <c r="D15" s="27" t="inlineStr">
        <is>
          <t>6020</t>
        </is>
      </c>
      <c r="E15" s="27" t="inlineStr">
        <is>
          <t>Rent Expense</t>
        </is>
      </c>
      <c r="F15" s="27" t="inlineStr">
        <is>
          <t>OpEx</t>
        </is>
      </c>
      <c r="G15" s="27" t="inlineStr">
        <is>
          <t>HQ</t>
        </is>
      </c>
      <c r="H15" s="27" t="inlineStr">
        <is>
          <t>MGMT</t>
        </is>
      </c>
      <c r="I15" s="31" t="n">
        <v>17100</v>
      </c>
      <c r="J15" s="31" t="n">
        <v>18357</v>
      </c>
      <c r="K15" s="31" t="n">
        <v>17826</v>
      </c>
      <c r="L15" s="31" t="n">
        <v>18694</v>
      </c>
      <c r="M15" s="28" t="n">
        <v>21552</v>
      </c>
      <c r="N15" s="28" t="n">
        <v>22579</v>
      </c>
      <c r="O15" s="28" t="n">
        <v>23605</v>
      </c>
      <c r="P15" s="28" t="n">
        <v>22579</v>
      </c>
      <c r="Q15" s="28" t="n">
        <v>21552</v>
      </c>
      <c r="R15" s="28" t="n">
        <v>20526</v>
      </c>
      <c r="S15" s="28" t="n">
        <v>19500</v>
      </c>
      <c r="T15" s="28" t="n">
        <v>18473</v>
      </c>
      <c r="U15" s="29">
        <f>SUM(I15:T15)</f>
        <v/>
      </c>
    </row>
    <row r="16">
      <c r="A16" s="27" t="inlineStr">
        <is>
          <t>FORECAST_2024F5</t>
        </is>
      </c>
      <c r="B16" s="27" t="inlineStr">
        <is>
          <t>AMHQ</t>
        </is>
      </c>
      <c r="C16" s="27" t="inlineStr">
        <is>
          <t>CHF</t>
        </is>
      </c>
      <c r="D16" s="27" t="inlineStr">
        <is>
          <t>6030</t>
        </is>
      </c>
      <c r="E16" s="27" t="inlineStr">
        <is>
          <t>Depreciation Expense</t>
        </is>
      </c>
      <c r="F16" s="27" t="inlineStr">
        <is>
          <t>OpEx</t>
        </is>
      </c>
      <c r="G16" s="27" t="inlineStr">
        <is>
          <t>HQ</t>
        </is>
      </c>
      <c r="H16" s="27" t="inlineStr">
        <is>
          <t>MGMT</t>
        </is>
      </c>
      <c r="I16" s="31" t="n">
        <v>11873</v>
      </c>
      <c r="J16" s="31" t="n">
        <v>13510</v>
      </c>
      <c r="K16" s="31" t="n">
        <v>13997</v>
      </c>
      <c r="L16" s="31" t="n">
        <v>15247</v>
      </c>
      <c r="M16" s="28" t="n">
        <v>16256</v>
      </c>
      <c r="N16" s="28" t="n">
        <v>17030</v>
      </c>
      <c r="O16" s="28" t="n">
        <v>17804</v>
      </c>
      <c r="P16" s="28" t="n">
        <v>17030</v>
      </c>
      <c r="Q16" s="28" t="n">
        <v>16256</v>
      </c>
      <c r="R16" s="28" t="n">
        <v>15482</v>
      </c>
      <c r="S16" s="28" t="n">
        <v>14707</v>
      </c>
      <c r="T16" s="28" t="n">
        <v>13933</v>
      </c>
      <c r="U16" s="29">
        <f>SUM(I16:T16)</f>
        <v/>
      </c>
    </row>
    <row r="17">
      <c r="A17" s="27" t="inlineStr">
        <is>
          <t>FORECAST_2024F5</t>
        </is>
      </c>
      <c r="B17" s="27" t="inlineStr">
        <is>
          <t>AMHQ</t>
        </is>
      </c>
      <c r="C17" s="27" t="inlineStr">
        <is>
          <t>CHF</t>
        </is>
      </c>
      <c r="D17" s="27" t="inlineStr">
        <is>
          <t>6040</t>
        </is>
      </c>
      <c r="E17" s="27" t="inlineStr">
        <is>
          <t>Marketing Expense</t>
        </is>
      </c>
      <c r="F17" s="27" t="inlineStr">
        <is>
          <t>OpEx</t>
        </is>
      </c>
      <c r="G17" s="27" t="inlineStr">
        <is>
          <t>HQ</t>
        </is>
      </c>
      <c r="H17" s="27" t="inlineStr">
        <is>
          <t>MGMT</t>
        </is>
      </c>
      <c r="I17" s="31" t="n">
        <v>16278</v>
      </c>
      <c r="J17" s="31" t="n">
        <v>15215</v>
      </c>
      <c r="K17" s="31" t="n">
        <v>17576</v>
      </c>
      <c r="L17" s="31" t="n">
        <v>11705</v>
      </c>
      <c r="M17" s="28" t="n">
        <v>17128</v>
      </c>
      <c r="N17" s="28" t="n">
        <v>17943</v>
      </c>
      <c r="O17" s="28" t="n">
        <v>18759</v>
      </c>
      <c r="P17" s="28" t="n">
        <v>17943</v>
      </c>
      <c r="Q17" s="28" t="n">
        <v>17128</v>
      </c>
      <c r="R17" s="28" t="n">
        <v>16312</v>
      </c>
      <c r="S17" s="28" t="n">
        <v>15497</v>
      </c>
      <c r="T17" s="28" t="n">
        <v>14681</v>
      </c>
      <c r="U17" s="29">
        <f>SUM(I17:T17)</f>
        <v/>
      </c>
    </row>
    <row r="18">
      <c r="A18" s="27" t="inlineStr">
        <is>
          <t>FORECAST_2024F5</t>
        </is>
      </c>
      <c r="B18" s="27" t="inlineStr">
        <is>
          <t>AMHQ</t>
        </is>
      </c>
      <c r="C18" s="27" t="inlineStr">
        <is>
          <t>CHF</t>
        </is>
      </c>
      <c r="D18" s="27" t="inlineStr">
        <is>
          <t>6050</t>
        </is>
      </c>
      <c r="E18" s="27" t="inlineStr">
        <is>
          <t>Travel Expense</t>
        </is>
      </c>
      <c r="F18" s="27" t="inlineStr">
        <is>
          <t>OpEx</t>
        </is>
      </c>
      <c r="G18" s="27" t="inlineStr">
        <is>
          <t>HQ</t>
        </is>
      </c>
      <c r="H18" s="27" t="inlineStr">
        <is>
          <t>MGMT</t>
        </is>
      </c>
      <c r="I18" s="31" t="n">
        <v>4816</v>
      </c>
      <c r="J18" s="31" t="n">
        <v>6869</v>
      </c>
      <c r="K18" s="31" t="n">
        <v>4496</v>
      </c>
      <c r="L18" s="31" t="n">
        <v>7154</v>
      </c>
      <c r="M18" s="28" t="n">
        <v>7563</v>
      </c>
      <c r="N18" s="28" t="n">
        <v>7923</v>
      </c>
      <c r="O18" s="28" t="n">
        <v>8283</v>
      </c>
      <c r="P18" s="28" t="n">
        <v>7923</v>
      </c>
      <c r="Q18" s="28" t="n">
        <v>7563</v>
      </c>
      <c r="R18" s="28" t="n">
        <v>7203</v>
      </c>
      <c r="S18" s="28" t="n">
        <v>6843</v>
      </c>
      <c r="T18" s="28" t="n">
        <v>6483</v>
      </c>
      <c r="U18" s="29">
        <f>SUM(I18:T18)</f>
        <v/>
      </c>
    </row>
    <row r="19">
      <c r="A19" s="27" t="inlineStr">
        <is>
          <t>FORECAST_2024F5</t>
        </is>
      </c>
      <c r="B19" s="27" t="inlineStr">
        <is>
          <t>AMHQ</t>
        </is>
      </c>
      <c r="C19" s="27" t="inlineStr">
        <is>
          <t>CHF</t>
        </is>
      </c>
      <c r="D19" s="27" t="inlineStr">
        <is>
          <t>6060</t>
        </is>
      </c>
      <c r="E19" s="27" t="inlineStr">
        <is>
          <t>Utilities</t>
        </is>
      </c>
      <c r="F19" s="27" t="inlineStr">
        <is>
          <t>OpEx</t>
        </is>
      </c>
      <c r="G19" s="27" t="inlineStr">
        <is>
          <t>HQ</t>
        </is>
      </c>
      <c r="H19" s="27" t="inlineStr">
        <is>
          <t>MGMT</t>
        </is>
      </c>
      <c r="I19" s="31" t="n">
        <v>5958</v>
      </c>
      <c r="J19" s="31" t="n">
        <v>7155</v>
      </c>
      <c r="K19" s="31" t="n">
        <v>6939</v>
      </c>
      <c r="L19" s="31" t="n">
        <v>7984</v>
      </c>
      <c r="M19" s="28" t="n">
        <v>8230</v>
      </c>
      <c r="N19" s="28" t="n">
        <v>8622</v>
      </c>
      <c r="O19" s="28" t="n">
        <v>9014</v>
      </c>
      <c r="P19" s="28" t="n">
        <v>8622</v>
      </c>
      <c r="Q19" s="28" t="n">
        <v>8230</v>
      </c>
      <c r="R19" s="28" t="n">
        <v>7838</v>
      </c>
      <c r="S19" s="28" t="n">
        <v>7446</v>
      </c>
      <c r="T19" s="28" t="n">
        <v>7054</v>
      </c>
      <c r="U19" s="29">
        <f>SUM(I19:T19)</f>
        <v/>
      </c>
    </row>
    <row r="20">
      <c r="E20" s="4" t="inlineStr">
        <is>
          <t>Net Income</t>
        </is>
      </c>
      <c r="I20" s="29">
        <f>SUM(I11:I19)</f>
        <v/>
      </c>
      <c r="J20" s="29">
        <f>SUM(J11:J19)</f>
        <v/>
      </c>
      <c r="K20" s="29">
        <f>SUM(K11:K19)</f>
        <v/>
      </c>
      <c r="L20" s="29">
        <f>SUM(L11:L19)</f>
        <v/>
      </c>
      <c r="M20" s="29">
        <f>SUM(M11:M19)</f>
        <v/>
      </c>
      <c r="N20" s="29">
        <f>SUM(N11:N19)</f>
        <v/>
      </c>
      <c r="O20" s="29">
        <f>SUM(O11:O19)</f>
        <v/>
      </c>
      <c r="P20" s="29">
        <f>SUM(P11:P19)</f>
        <v/>
      </c>
      <c r="Q20" s="29">
        <f>SUM(Q11:Q19)</f>
        <v/>
      </c>
      <c r="R20" s="29">
        <f>SUM(R11:R19)</f>
        <v/>
      </c>
      <c r="S20" s="29">
        <f>SUM(S11:S19)</f>
        <v/>
      </c>
      <c r="T20" s="29">
        <f>SUM(T11:T19)</f>
        <v/>
      </c>
      <c r="U20" s="29">
        <f>SUM(U11:U19)</f>
        <v/>
      </c>
    </row>
    <row r="22">
      <c r="A22" s="24" t="inlineStr">
        <is>
          <t>AMUS</t>
        </is>
      </c>
      <c r="B22" s="24" t="inlineStr">
        <is>
          <t>Alpine Manufacturing US</t>
        </is>
      </c>
      <c r="C22" s="24" t="inlineStr">
        <is>
          <t>USD</t>
        </is>
      </c>
      <c r="D22" s="24" t="n"/>
      <c r="E22" s="25" t="n"/>
      <c r="F22" s="25" t="n"/>
      <c r="G22" s="25" t="n"/>
      <c r="H22" s="25" t="n"/>
      <c r="I22" s="25" t="n"/>
      <c r="J22" s="25" t="n"/>
      <c r="K22" s="25" t="n"/>
      <c r="L22" s="25" t="n"/>
      <c r="M22" s="25" t="n"/>
      <c r="N22" s="25" t="n"/>
      <c r="O22" s="25" t="n"/>
      <c r="P22" s="25" t="n"/>
      <c r="Q22" s="25" t="n"/>
      <c r="R22" s="25" t="n"/>
      <c r="S22" s="25" t="n"/>
      <c r="T22" s="26" t="n"/>
      <c r="U22" s="24" t="n"/>
    </row>
    <row r="23">
      <c r="A23" s="27" t="inlineStr">
        <is>
          <t>FORECAST_2024F5</t>
        </is>
      </c>
      <c r="B23" s="27" t="inlineStr">
        <is>
          <t>AMUS</t>
        </is>
      </c>
      <c r="C23" s="27" t="inlineStr">
        <is>
          <t>USD</t>
        </is>
      </c>
      <c r="D23" s="27" t="inlineStr">
        <is>
          <t>4010</t>
        </is>
      </c>
      <c r="E23" s="27" t="inlineStr">
        <is>
          <t>Product Revenue</t>
        </is>
      </c>
      <c r="F23" s="27" t="inlineStr">
        <is>
          <t>Revenue</t>
        </is>
      </c>
      <c r="G23" s="27" t="inlineStr">
        <is>
          <t>SALES</t>
        </is>
      </c>
      <c r="H23" s="27" t="inlineStr">
        <is>
          <t>SALES</t>
        </is>
      </c>
      <c r="I23" s="31" t="n">
        <v>-669447</v>
      </c>
      <c r="J23" s="31" t="n">
        <v>-759969</v>
      </c>
      <c r="K23" s="31" t="n">
        <v>-742096</v>
      </c>
      <c r="L23" s="31" t="n">
        <v>-828628</v>
      </c>
      <c r="M23" s="28" t="n">
        <v>-879295</v>
      </c>
      <c r="N23" s="28" t="n">
        <v>-921166</v>
      </c>
      <c r="O23" s="28" t="n">
        <v>-963037</v>
      </c>
      <c r="P23" s="28" t="n">
        <v>-921166</v>
      </c>
      <c r="Q23" s="28" t="n">
        <v>-879295</v>
      </c>
      <c r="R23" s="28" t="n">
        <v>-837424</v>
      </c>
      <c r="S23" s="28" t="n">
        <v>-795553</v>
      </c>
      <c r="T23" s="28" t="n">
        <v>-753681</v>
      </c>
      <c r="U23" s="29">
        <f>SUM(I23:T23)</f>
        <v/>
      </c>
    </row>
    <row r="24">
      <c r="A24" s="27" t="inlineStr">
        <is>
          <t>FORECAST_2024F5</t>
        </is>
      </c>
      <c r="B24" s="27" t="inlineStr">
        <is>
          <t>AMUS</t>
        </is>
      </c>
      <c r="C24" s="27" t="inlineStr">
        <is>
          <t>USD</t>
        </is>
      </c>
      <c r="D24" s="27" t="inlineStr">
        <is>
          <t>4020</t>
        </is>
      </c>
      <c r="E24" s="27" t="inlineStr">
        <is>
          <t>Service Revenue</t>
        </is>
      </c>
      <c r="F24" s="27" t="inlineStr">
        <is>
          <t>Revenue</t>
        </is>
      </c>
      <c r="G24" s="27" t="inlineStr">
        <is>
          <t>SALES</t>
        </is>
      </c>
      <c r="H24" s="27" t="inlineStr">
        <is>
          <t>SALES</t>
        </is>
      </c>
      <c r="I24" s="31" t="n">
        <v>-86932</v>
      </c>
      <c r="J24" s="31" t="n">
        <v>-88737</v>
      </c>
      <c r="K24" s="31" t="n">
        <v>-79845</v>
      </c>
      <c r="L24" s="31" t="n">
        <v>-108215</v>
      </c>
      <c r="M24" s="28" t="n">
        <v>-106042</v>
      </c>
      <c r="N24" s="28" t="n">
        <v>-111091</v>
      </c>
      <c r="O24" s="28" t="n">
        <v>-116140</v>
      </c>
      <c r="P24" s="28" t="n">
        <v>-111091</v>
      </c>
      <c r="Q24" s="28" t="n">
        <v>-106042</v>
      </c>
      <c r="R24" s="28" t="n">
        <v>-100992</v>
      </c>
      <c r="S24" s="28" t="n">
        <v>-95942</v>
      </c>
      <c r="T24" s="28" t="n">
        <v>-90893</v>
      </c>
      <c r="U24" s="29">
        <f>SUM(I24:T24)</f>
        <v/>
      </c>
    </row>
    <row r="25">
      <c r="A25" s="27" t="inlineStr">
        <is>
          <t>FORECAST_2024F5</t>
        </is>
      </c>
      <c r="B25" s="27" t="inlineStr">
        <is>
          <t>AMUS</t>
        </is>
      </c>
      <c r="C25" s="27" t="inlineStr">
        <is>
          <t>USD</t>
        </is>
      </c>
      <c r="D25" s="27" t="inlineStr">
        <is>
          <t>5010</t>
        </is>
      </c>
      <c r="E25" s="27" t="inlineStr">
        <is>
          <t>Cost of Goods Sold</t>
        </is>
      </c>
      <c r="F25" s="27" t="inlineStr">
        <is>
          <t>COGS</t>
        </is>
      </c>
      <c r="G25" s="27" t="inlineStr">
        <is>
          <t>SALES</t>
        </is>
      </c>
      <c r="H25" s="27" t="inlineStr">
        <is>
          <t>SALES</t>
        </is>
      </c>
      <c r="I25" s="31" t="n">
        <v>244366</v>
      </c>
      <c r="J25" s="31" t="n">
        <v>281386</v>
      </c>
      <c r="K25" s="31" t="n">
        <v>285338</v>
      </c>
      <c r="L25" s="31" t="n">
        <v>311296</v>
      </c>
      <c r="M25" s="28" t="n">
        <v>340697</v>
      </c>
      <c r="N25" s="28" t="n">
        <v>356921</v>
      </c>
      <c r="O25" s="28" t="n">
        <v>373143</v>
      </c>
      <c r="P25" s="28" t="n">
        <v>356921</v>
      </c>
      <c r="Q25" s="28" t="n">
        <v>340697</v>
      </c>
      <c r="R25" s="28" t="n">
        <v>324473</v>
      </c>
      <c r="S25" s="28" t="n">
        <v>308250</v>
      </c>
      <c r="T25" s="28" t="n">
        <v>292026</v>
      </c>
      <c r="U25" s="29">
        <f>SUM(I25:T25)</f>
        <v/>
      </c>
    </row>
    <row r="26">
      <c r="A26" s="27" t="inlineStr">
        <is>
          <t>FORECAST_2024F5</t>
        </is>
      </c>
      <c r="B26" s="27" t="inlineStr">
        <is>
          <t>AMUS</t>
        </is>
      </c>
      <c r="C26" s="27" t="inlineStr">
        <is>
          <t>USD</t>
        </is>
      </c>
      <c r="D26" s="27" t="inlineStr">
        <is>
          <t>6010</t>
        </is>
      </c>
      <c r="E26" s="27" t="inlineStr">
        <is>
          <t>Salaries and Wages</t>
        </is>
      </c>
      <c r="F26" s="27" t="inlineStr">
        <is>
          <t>OpEx</t>
        </is>
      </c>
      <c r="G26" s="27" t="inlineStr">
        <is>
          <t>SALES</t>
        </is>
      </c>
      <c r="H26" s="27" t="inlineStr">
        <is>
          <t>SALES</t>
        </is>
      </c>
      <c r="I26" s="31" t="n">
        <v>156573</v>
      </c>
      <c r="J26" s="31" t="n">
        <v>171344</v>
      </c>
      <c r="K26" s="31" t="n">
        <v>173416</v>
      </c>
      <c r="L26" s="31" t="n">
        <v>193460</v>
      </c>
      <c r="M26" s="28" t="n">
        <v>207449</v>
      </c>
      <c r="N26" s="28" t="n">
        <v>217328</v>
      </c>
      <c r="O26" s="28" t="n">
        <v>227205</v>
      </c>
      <c r="P26" s="28" t="n">
        <v>217328</v>
      </c>
      <c r="Q26" s="28" t="n">
        <v>207449</v>
      </c>
      <c r="R26" s="28" t="n">
        <v>197570</v>
      </c>
      <c r="S26" s="28" t="n">
        <v>187692</v>
      </c>
      <c r="T26" s="28" t="n">
        <v>177813</v>
      </c>
      <c r="U26" s="29">
        <f>SUM(I26:T26)</f>
        <v/>
      </c>
    </row>
    <row r="27">
      <c r="A27" s="27" t="inlineStr">
        <is>
          <t>FORECAST_2024F5</t>
        </is>
      </c>
      <c r="B27" s="27" t="inlineStr">
        <is>
          <t>AMUS</t>
        </is>
      </c>
      <c r="C27" s="27" t="inlineStr">
        <is>
          <t>USD</t>
        </is>
      </c>
      <c r="D27" s="27" t="inlineStr">
        <is>
          <t>6020</t>
        </is>
      </c>
      <c r="E27" s="27" t="inlineStr">
        <is>
          <t>Rent Expense</t>
        </is>
      </c>
      <c r="F27" s="27" t="inlineStr">
        <is>
          <t>OpEx</t>
        </is>
      </c>
      <c r="G27" s="27" t="inlineStr">
        <is>
          <t>SALES</t>
        </is>
      </c>
      <c r="H27" s="27" t="inlineStr">
        <is>
          <t>SALES</t>
        </is>
      </c>
      <c r="I27" s="31" t="n">
        <v>29005</v>
      </c>
      <c r="J27" s="31" t="n">
        <v>27332</v>
      </c>
      <c r="K27" s="31" t="n">
        <v>29636</v>
      </c>
      <c r="L27" s="31" t="n">
        <v>34003</v>
      </c>
      <c r="M27" s="28" t="n">
        <v>35167</v>
      </c>
      <c r="N27" s="28" t="n">
        <v>36842</v>
      </c>
      <c r="O27" s="28" t="n">
        <v>38515</v>
      </c>
      <c r="P27" s="28" t="n">
        <v>36842</v>
      </c>
      <c r="Q27" s="28" t="n">
        <v>35167</v>
      </c>
      <c r="R27" s="28" t="n">
        <v>33492</v>
      </c>
      <c r="S27" s="28" t="n">
        <v>31818</v>
      </c>
      <c r="T27" s="28" t="n">
        <v>30143</v>
      </c>
      <c r="U27" s="29">
        <f>SUM(I27:T27)</f>
        <v/>
      </c>
    </row>
    <row r="28">
      <c r="A28" s="27" t="inlineStr">
        <is>
          <t>FORECAST_2024F5</t>
        </is>
      </c>
      <c r="B28" s="27" t="inlineStr">
        <is>
          <t>AMUS</t>
        </is>
      </c>
      <c r="C28" s="27" t="inlineStr">
        <is>
          <t>USD</t>
        </is>
      </c>
      <c r="D28" s="27" t="inlineStr">
        <is>
          <t>6030</t>
        </is>
      </c>
      <c r="E28" s="27" t="inlineStr">
        <is>
          <t>Depreciation Expense</t>
        </is>
      </c>
      <c r="F28" s="27" t="inlineStr">
        <is>
          <t>OpEx</t>
        </is>
      </c>
      <c r="G28" s="27" t="inlineStr">
        <is>
          <t>SALES</t>
        </is>
      </c>
      <c r="H28" s="27" t="inlineStr">
        <is>
          <t>SALES</t>
        </is>
      </c>
      <c r="I28" s="31" t="n">
        <v>19664</v>
      </c>
      <c r="J28" s="31" t="n">
        <v>21225</v>
      </c>
      <c r="K28" s="31" t="n">
        <v>23810</v>
      </c>
      <c r="L28" s="31" t="n">
        <v>23640</v>
      </c>
      <c r="M28" s="28" t="n">
        <v>26142</v>
      </c>
      <c r="N28" s="28" t="n">
        <v>27387</v>
      </c>
      <c r="O28" s="28" t="n">
        <v>28631</v>
      </c>
      <c r="P28" s="28" t="n">
        <v>27387</v>
      </c>
      <c r="Q28" s="28" t="n">
        <v>26142</v>
      </c>
      <c r="R28" s="28" t="n">
        <v>24897</v>
      </c>
      <c r="S28" s="28" t="n">
        <v>23652</v>
      </c>
      <c r="T28" s="28" t="n">
        <v>22407</v>
      </c>
      <c r="U28" s="29">
        <f>SUM(I28:T28)</f>
        <v/>
      </c>
    </row>
    <row r="29">
      <c r="A29" s="27" t="inlineStr">
        <is>
          <t>FORECAST_2024F5</t>
        </is>
      </c>
      <c r="B29" s="27" t="inlineStr">
        <is>
          <t>AMUS</t>
        </is>
      </c>
      <c r="C29" s="27" t="inlineStr">
        <is>
          <t>USD</t>
        </is>
      </c>
      <c r="D29" s="27" t="inlineStr">
        <is>
          <t>6040</t>
        </is>
      </c>
      <c r="E29" s="27" t="inlineStr">
        <is>
          <t>Marketing Expense</t>
        </is>
      </c>
      <c r="F29" s="27" t="inlineStr">
        <is>
          <t>OpEx</t>
        </is>
      </c>
      <c r="G29" s="27" t="inlineStr">
        <is>
          <t>SALES</t>
        </is>
      </c>
      <c r="H29" s="27" t="inlineStr">
        <is>
          <t>SALES</t>
        </is>
      </c>
      <c r="I29" s="31" t="n">
        <v>20133</v>
      </c>
      <c r="J29" s="31" t="n">
        <v>23664</v>
      </c>
      <c r="K29" s="31" t="n">
        <v>28512</v>
      </c>
      <c r="L29" s="31" t="n">
        <v>23683</v>
      </c>
      <c r="M29" s="28" t="n">
        <v>27228</v>
      </c>
      <c r="N29" s="28" t="n">
        <v>28525</v>
      </c>
      <c r="O29" s="28" t="n">
        <v>29820</v>
      </c>
      <c r="P29" s="28" t="n">
        <v>28525</v>
      </c>
      <c r="Q29" s="28" t="n">
        <v>27228</v>
      </c>
      <c r="R29" s="28" t="n">
        <v>25931</v>
      </c>
      <c r="S29" s="28" t="n">
        <v>24635</v>
      </c>
      <c r="T29" s="28" t="n">
        <v>23338</v>
      </c>
      <c r="U29" s="29">
        <f>SUM(I29:T29)</f>
        <v/>
      </c>
    </row>
    <row r="30">
      <c r="A30" s="27" t="inlineStr">
        <is>
          <t>FORECAST_2024F5</t>
        </is>
      </c>
      <c r="B30" s="27" t="inlineStr">
        <is>
          <t>AMUS</t>
        </is>
      </c>
      <c r="C30" s="27" t="inlineStr">
        <is>
          <t>USD</t>
        </is>
      </c>
      <c r="D30" s="27" t="inlineStr">
        <is>
          <t>6050</t>
        </is>
      </c>
      <c r="E30" s="27" t="inlineStr">
        <is>
          <t>Travel Expense</t>
        </is>
      </c>
      <c r="F30" s="27" t="inlineStr">
        <is>
          <t>OpEx</t>
        </is>
      </c>
      <c r="G30" s="27" t="inlineStr">
        <is>
          <t>SALES</t>
        </is>
      </c>
      <c r="H30" s="27" t="inlineStr">
        <is>
          <t>SALES</t>
        </is>
      </c>
      <c r="I30" s="31" t="n">
        <v>11197</v>
      </c>
      <c r="J30" s="31" t="n">
        <v>11996</v>
      </c>
      <c r="K30" s="31" t="n">
        <v>10525</v>
      </c>
      <c r="L30" s="31" t="n">
        <v>8526</v>
      </c>
      <c r="M30" s="28" t="n">
        <v>12798</v>
      </c>
      <c r="N30" s="28" t="n">
        <v>13407</v>
      </c>
      <c r="O30" s="28" t="n">
        <v>14016</v>
      </c>
      <c r="P30" s="28" t="n">
        <v>13407</v>
      </c>
      <c r="Q30" s="28" t="n">
        <v>12798</v>
      </c>
      <c r="R30" s="28" t="n">
        <v>12188</v>
      </c>
      <c r="S30" s="28" t="n">
        <v>11579</v>
      </c>
      <c r="T30" s="28" t="n">
        <v>10969</v>
      </c>
      <c r="U30" s="29">
        <f>SUM(I30:T30)</f>
        <v/>
      </c>
    </row>
    <row r="31">
      <c r="A31" s="27" t="inlineStr">
        <is>
          <t>FORECAST_2024F5</t>
        </is>
      </c>
      <c r="B31" s="27" t="inlineStr">
        <is>
          <t>AMUS</t>
        </is>
      </c>
      <c r="C31" s="27" t="inlineStr">
        <is>
          <t>USD</t>
        </is>
      </c>
      <c r="D31" s="27" t="inlineStr">
        <is>
          <t>6060</t>
        </is>
      </c>
      <c r="E31" s="27" t="inlineStr">
        <is>
          <t>Utilities</t>
        </is>
      </c>
      <c r="F31" s="27" t="inlineStr">
        <is>
          <t>OpEx</t>
        </is>
      </c>
      <c r="G31" s="27" t="inlineStr">
        <is>
          <t>SALES</t>
        </is>
      </c>
      <c r="H31" s="27" t="inlineStr">
        <is>
          <t>SALES</t>
        </is>
      </c>
      <c r="I31" s="31" t="n">
        <v>10200</v>
      </c>
      <c r="J31" s="31" t="n">
        <v>10565</v>
      </c>
      <c r="K31" s="31" t="n">
        <v>10641</v>
      </c>
      <c r="L31" s="31" t="n">
        <v>11335</v>
      </c>
      <c r="M31" s="28" t="n">
        <v>12868</v>
      </c>
      <c r="N31" s="28" t="n">
        <v>13481</v>
      </c>
      <c r="O31" s="28" t="n">
        <v>14093</v>
      </c>
      <c r="P31" s="28" t="n">
        <v>13481</v>
      </c>
      <c r="Q31" s="28" t="n">
        <v>12868</v>
      </c>
      <c r="R31" s="28" t="n">
        <v>12255</v>
      </c>
      <c r="S31" s="28" t="n">
        <v>11643</v>
      </c>
      <c r="T31" s="28" t="n">
        <v>11030</v>
      </c>
      <c r="U31" s="29">
        <f>SUM(I31:T31)</f>
        <v/>
      </c>
    </row>
    <row r="32">
      <c r="E32" s="4" t="inlineStr">
        <is>
          <t>Net Income</t>
        </is>
      </c>
      <c r="I32" s="29">
        <f>SUM(I23:I31)</f>
        <v/>
      </c>
      <c r="J32" s="29">
        <f>SUM(J23:J31)</f>
        <v/>
      </c>
      <c r="K32" s="29">
        <f>SUM(K23:K31)</f>
        <v/>
      </c>
      <c r="L32" s="29">
        <f>SUM(L23:L31)</f>
        <v/>
      </c>
      <c r="M32" s="29">
        <f>SUM(M23:M31)</f>
        <v/>
      </c>
      <c r="N32" s="29">
        <f>SUM(N23:N31)</f>
        <v/>
      </c>
      <c r="O32" s="29">
        <f>SUM(O23:O31)</f>
        <v/>
      </c>
      <c r="P32" s="29">
        <f>SUM(P23:P31)</f>
        <v/>
      </c>
      <c r="Q32" s="29">
        <f>SUM(Q23:Q31)</f>
        <v/>
      </c>
      <c r="R32" s="29">
        <f>SUM(R23:R31)</f>
        <v/>
      </c>
      <c r="S32" s="29">
        <f>SUM(S23:S31)</f>
        <v/>
      </c>
      <c r="T32" s="29">
        <f>SUM(T23:T31)</f>
        <v/>
      </c>
      <c r="U32" s="29">
        <f>SUM(U23:U31)</f>
        <v/>
      </c>
    </row>
    <row r="34">
      <c r="A34" s="24" t="inlineStr">
        <is>
          <t>AMDE</t>
        </is>
      </c>
      <c r="B34" s="24" t="inlineStr">
        <is>
          <t>Alpine Manufacturing DE</t>
        </is>
      </c>
      <c r="C34" s="24" t="inlineStr">
        <is>
          <t>EUR</t>
        </is>
      </c>
      <c r="D34" s="24" t="n"/>
      <c r="E34" s="25" t="n"/>
      <c r="F34" s="25" t="n"/>
      <c r="G34" s="25" t="n"/>
      <c r="H34" s="25" t="n"/>
      <c r="I34" s="25" t="n"/>
      <c r="J34" s="25" t="n"/>
      <c r="K34" s="25" t="n"/>
      <c r="L34" s="25" t="n"/>
      <c r="M34" s="25" t="n"/>
      <c r="N34" s="25" t="n"/>
      <c r="O34" s="25" t="n"/>
      <c r="P34" s="25" t="n"/>
      <c r="Q34" s="25" t="n"/>
      <c r="R34" s="25" t="n"/>
      <c r="S34" s="25" t="n"/>
      <c r="T34" s="26" t="n"/>
      <c r="U34" s="24" t="n"/>
    </row>
    <row r="35">
      <c r="A35" s="27" t="inlineStr">
        <is>
          <t>FORECAST_2024F5</t>
        </is>
      </c>
      <c r="B35" s="27" t="inlineStr">
        <is>
          <t>AMDE</t>
        </is>
      </c>
      <c r="C35" s="27" t="inlineStr">
        <is>
          <t>EUR</t>
        </is>
      </c>
      <c r="D35" s="27" t="inlineStr">
        <is>
          <t>4010</t>
        </is>
      </c>
      <c r="E35" s="27" t="inlineStr">
        <is>
          <t>Product Revenue</t>
        </is>
      </c>
      <c r="F35" s="27" t="inlineStr">
        <is>
          <t>Revenue</t>
        </is>
      </c>
      <c r="G35" s="27" t="inlineStr">
        <is>
          <t>PROD</t>
        </is>
      </c>
      <c r="H35" s="27" t="inlineStr">
        <is>
          <t>OPS</t>
        </is>
      </c>
      <c r="I35" s="31" t="n">
        <v>-508780</v>
      </c>
      <c r="J35" s="31" t="n">
        <v>-538197</v>
      </c>
      <c r="K35" s="31" t="n">
        <v>-565065</v>
      </c>
      <c r="L35" s="31" t="n">
        <v>-616528</v>
      </c>
      <c r="M35" s="28" t="n">
        <v>-656416</v>
      </c>
      <c r="N35" s="28" t="n">
        <v>-687673</v>
      </c>
      <c r="O35" s="28" t="n">
        <v>-718931</v>
      </c>
      <c r="P35" s="28" t="n">
        <v>-687673</v>
      </c>
      <c r="Q35" s="28" t="n">
        <v>-656416</v>
      </c>
      <c r="R35" s="28" t="n">
        <v>-625158</v>
      </c>
      <c r="S35" s="28" t="n">
        <v>-593900</v>
      </c>
      <c r="T35" s="28" t="n">
        <v>-562642</v>
      </c>
      <c r="U35" s="29">
        <f>SUM(I35:T35)</f>
        <v/>
      </c>
    </row>
    <row r="36">
      <c r="A36" s="27" t="inlineStr">
        <is>
          <t>FORECAST_2024F5</t>
        </is>
      </c>
      <c r="B36" s="27" t="inlineStr">
        <is>
          <t>AMDE</t>
        </is>
      </c>
      <c r="C36" s="27" t="inlineStr">
        <is>
          <t>EUR</t>
        </is>
      </c>
      <c r="D36" s="27" t="inlineStr">
        <is>
          <t>4020</t>
        </is>
      </c>
      <c r="E36" s="27" t="inlineStr">
        <is>
          <t>Service Revenue</t>
        </is>
      </c>
      <c r="F36" s="27" t="inlineStr">
        <is>
          <t>Revenue</t>
        </is>
      </c>
      <c r="G36" s="27" t="inlineStr">
        <is>
          <t>PROD</t>
        </is>
      </c>
      <c r="H36" s="27" t="inlineStr">
        <is>
          <t>OPS</t>
        </is>
      </c>
      <c r="I36" s="31" t="n">
        <v>-59767</v>
      </c>
      <c r="J36" s="31" t="n">
        <v>-54840</v>
      </c>
      <c r="K36" s="31" t="n">
        <v>-79513</v>
      </c>
      <c r="L36" s="31" t="n">
        <v>-67103</v>
      </c>
      <c r="M36" s="28" t="n">
        <v>-77889</v>
      </c>
      <c r="N36" s="28" t="n">
        <v>-81598</v>
      </c>
      <c r="O36" s="28" t="n">
        <v>-85307</v>
      </c>
      <c r="P36" s="28" t="n">
        <v>-81598</v>
      </c>
      <c r="Q36" s="28" t="n">
        <v>-77889</v>
      </c>
      <c r="R36" s="28" t="n">
        <v>-74180</v>
      </c>
      <c r="S36" s="28" t="n">
        <v>-70471</v>
      </c>
      <c r="T36" s="28" t="n">
        <v>-66762</v>
      </c>
      <c r="U36" s="29">
        <f>SUM(I36:T36)</f>
        <v/>
      </c>
    </row>
    <row r="37">
      <c r="A37" s="27" t="inlineStr">
        <is>
          <t>FORECAST_2024F5</t>
        </is>
      </c>
      <c r="B37" s="27" t="inlineStr">
        <is>
          <t>AMDE</t>
        </is>
      </c>
      <c r="C37" s="27" t="inlineStr">
        <is>
          <t>EUR</t>
        </is>
      </c>
      <c r="D37" s="27" t="inlineStr">
        <is>
          <t>5010</t>
        </is>
      </c>
      <c r="E37" s="27" t="inlineStr">
        <is>
          <t>Cost of Goods Sold</t>
        </is>
      </c>
      <c r="F37" s="27" t="inlineStr">
        <is>
          <t>COGS</t>
        </is>
      </c>
      <c r="G37" s="27" t="inlineStr">
        <is>
          <t>PROD</t>
        </is>
      </c>
      <c r="H37" s="27" t="inlineStr">
        <is>
          <t>OPS</t>
        </is>
      </c>
      <c r="I37" s="31" t="n">
        <v>202738</v>
      </c>
      <c r="J37" s="31" t="n">
        <v>225392</v>
      </c>
      <c r="K37" s="31" t="n">
        <v>239382</v>
      </c>
      <c r="L37" s="31" t="n">
        <v>253400</v>
      </c>
      <c r="M37" s="28" t="n">
        <v>266749</v>
      </c>
      <c r="N37" s="28" t="n">
        <v>279452</v>
      </c>
      <c r="O37" s="28" t="n">
        <v>292154</v>
      </c>
      <c r="P37" s="28" t="n">
        <v>279452</v>
      </c>
      <c r="Q37" s="28" t="n">
        <v>266749</v>
      </c>
      <c r="R37" s="28" t="n">
        <v>254047</v>
      </c>
      <c r="S37" s="28" t="n">
        <v>241345</v>
      </c>
      <c r="T37" s="28" t="n">
        <v>228642</v>
      </c>
      <c r="U37" s="29">
        <f>SUM(I37:T37)</f>
        <v/>
      </c>
    </row>
    <row r="38">
      <c r="A38" s="27" t="inlineStr">
        <is>
          <t>FORECAST_2024F5</t>
        </is>
      </c>
      <c r="B38" s="27" t="inlineStr">
        <is>
          <t>AMDE</t>
        </is>
      </c>
      <c r="C38" s="27" t="inlineStr">
        <is>
          <t>EUR</t>
        </is>
      </c>
      <c r="D38" s="27" t="inlineStr">
        <is>
          <t>6010</t>
        </is>
      </c>
      <c r="E38" s="27" t="inlineStr">
        <is>
          <t>Salaries and Wages</t>
        </is>
      </c>
      <c r="F38" s="27" t="inlineStr">
        <is>
          <t>OpEx</t>
        </is>
      </c>
      <c r="G38" s="27" t="inlineStr">
        <is>
          <t>PROD</t>
        </is>
      </c>
      <c r="H38" s="27" t="inlineStr">
        <is>
          <t>OPS</t>
        </is>
      </c>
      <c r="I38" s="31" t="n">
        <v>116926</v>
      </c>
      <c r="J38" s="31" t="n">
        <v>128577</v>
      </c>
      <c r="K38" s="31" t="n">
        <v>145982</v>
      </c>
      <c r="L38" s="31" t="n">
        <v>158345</v>
      </c>
      <c r="M38" s="28" t="n">
        <v>159664</v>
      </c>
      <c r="N38" s="28" t="n">
        <v>167267</v>
      </c>
      <c r="O38" s="28" t="n">
        <v>174870</v>
      </c>
      <c r="P38" s="28" t="n">
        <v>167267</v>
      </c>
      <c r="Q38" s="28" t="n">
        <v>159664</v>
      </c>
      <c r="R38" s="28" t="n">
        <v>152061</v>
      </c>
      <c r="S38" s="28" t="n">
        <v>144458</v>
      </c>
      <c r="T38" s="28" t="n">
        <v>136855</v>
      </c>
      <c r="U38" s="29">
        <f>SUM(I38:T38)</f>
        <v/>
      </c>
    </row>
    <row r="39">
      <c r="A39" s="27" t="inlineStr">
        <is>
          <t>FORECAST_2024F5</t>
        </is>
      </c>
      <c r="B39" s="27" t="inlineStr">
        <is>
          <t>AMDE</t>
        </is>
      </c>
      <c r="C39" s="27" t="inlineStr">
        <is>
          <t>EUR</t>
        </is>
      </c>
      <c r="D39" s="27" t="inlineStr">
        <is>
          <t>6020</t>
        </is>
      </c>
      <c r="E39" s="27" t="inlineStr">
        <is>
          <t>Rent Expense</t>
        </is>
      </c>
      <c r="F39" s="27" t="inlineStr">
        <is>
          <t>OpEx</t>
        </is>
      </c>
      <c r="G39" s="27" t="inlineStr">
        <is>
          <t>PROD</t>
        </is>
      </c>
      <c r="H39" s="27" t="inlineStr">
        <is>
          <t>OPS</t>
        </is>
      </c>
      <c r="I39" s="31" t="n">
        <v>19208</v>
      </c>
      <c r="J39" s="31" t="n">
        <v>20181</v>
      </c>
      <c r="K39" s="31" t="n">
        <v>23633</v>
      </c>
      <c r="L39" s="31" t="n">
        <v>23301</v>
      </c>
      <c r="M39" s="28" t="n">
        <v>25856</v>
      </c>
      <c r="N39" s="28" t="n">
        <v>27087</v>
      </c>
      <c r="O39" s="28" t="n">
        <v>28319</v>
      </c>
      <c r="P39" s="28" t="n">
        <v>27087</v>
      </c>
      <c r="Q39" s="28" t="n">
        <v>25856</v>
      </c>
      <c r="R39" s="28" t="n">
        <v>24625</v>
      </c>
      <c r="S39" s="28" t="n">
        <v>23394</v>
      </c>
      <c r="T39" s="28" t="n">
        <v>22162</v>
      </c>
      <c r="U39" s="29">
        <f>SUM(I39:T39)</f>
        <v/>
      </c>
    </row>
    <row r="40">
      <c r="A40" s="27" t="inlineStr">
        <is>
          <t>FORECAST_2024F5</t>
        </is>
      </c>
      <c r="B40" s="27" t="inlineStr">
        <is>
          <t>AMDE</t>
        </is>
      </c>
      <c r="C40" s="27" t="inlineStr">
        <is>
          <t>EUR</t>
        </is>
      </c>
      <c r="D40" s="27" t="inlineStr">
        <is>
          <t>6030</t>
        </is>
      </c>
      <c r="E40" s="27" t="inlineStr">
        <is>
          <t>Depreciation Expense</t>
        </is>
      </c>
      <c r="F40" s="27" t="inlineStr">
        <is>
          <t>OpEx</t>
        </is>
      </c>
      <c r="G40" s="27" t="inlineStr">
        <is>
          <t>PROD</t>
        </is>
      </c>
      <c r="H40" s="27" t="inlineStr">
        <is>
          <t>OPS</t>
        </is>
      </c>
      <c r="I40" s="31" t="n">
        <v>14473</v>
      </c>
      <c r="J40" s="31" t="n">
        <v>16823</v>
      </c>
      <c r="K40" s="31" t="n">
        <v>17873</v>
      </c>
      <c r="L40" s="31" t="n">
        <v>17664</v>
      </c>
      <c r="M40" s="28" t="n">
        <v>19689</v>
      </c>
      <c r="N40" s="28" t="n">
        <v>20626</v>
      </c>
      <c r="O40" s="28" t="n">
        <v>21564</v>
      </c>
      <c r="P40" s="28" t="n">
        <v>20626</v>
      </c>
      <c r="Q40" s="28" t="n">
        <v>19689</v>
      </c>
      <c r="R40" s="28" t="n">
        <v>18751</v>
      </c>
      <c r="S40" s="28" t="n">
        <v>17813</v>
      </c>
      <c r="T40" s="28" t="n">
        <v>16876</v>
      </c>
      <c r="U40" s="29">
        <f>SUM(I40:T40)</f>
        <v/>
      </c>
    </row>
    <row r="41">
      <c r="A41" s="27" t="inlineStr">
        <is>
          <t>FORECAST_2024F5</t>
        </is>
      </c>
      <c r="B41" s="27" t="inlineStr">
        <is>
          <t>AMDE</t>
        </is>
      </c>
      <c r="C41" s="27" t="inlineStr">
        <is>
          <t>EUR</t>
        </is>
      </c>
      <c r="D41" s="27" t="inlineStr">
        <is>
          <t>6040</t>
        </is>
      </c>
      <c r="E41" s="27" t="inlineStr">
        <is>
          <t>Marketing Expense</t>
        </is>
      </c>
      <c r="F41" s="27" t="inlineStr">
        <is>
          <t>OpEx</t>
        </is>
      </c>
      <c r="G41" s="27" t="inlineStr">
        <is>
          <t>PROD</t>
        </is>
      </c>
      <c r="H41" s="27" t="inlineStr">
        <is>
          <t>OPS</t>
        </is>
      </c>
      <c r="I41" s="31" t="n">
        <v>19815</v>
      </c>
      <c r="J41" s="31" t="n">
        <v>14462</v>
      </c>
      <c r="K41" s="31" t="n">
        <v>17132</v>
      </c>
      <c r="L41" s="31" t="n">
        <v>22781</v>
      </c>
      <c r="M41" s="28" t="n">
        <v>20732</v>
      </c>
      <c r="N41" s="28" t="n">
        <v>21720</v>
      </c>
      <c r="O41" s="28" t="n">
        <v>22707</v>
      </c>
      <c r="P41" s="28" t="n">
        <v>21720</v>
      </c>
      <c r="Q41" s="28" t="n">
        <v>20732</v>
      </c>
      <c r="R41" s="28" t="n">
        <v>19745</v>
      </c>
      <c r="S41" s="28" t="n">
        <v>18758</v>
      </c>
      <c r="T41" s="28" t="n">
        <v>17771</v>
      </c>
      <c r="U41" s="29">
        <f>SUM(I41:T41)</f>
        <v/>
      </c>
    </row>
    <row r="42">
      <c r="A42" s="27" t="inlineStr">
        <is>
          <t>FORECAST_2024F5</t>
        </is>
      </c>
      <c r="B42" s="27" t="inlineStr">
        <is>
          <t>AMDE</t>
        </is>
      </c>
      <c r="C42" s="27" t="inlineStr">
        <is>
          <t>EUR</t>
        </is>
      </c>
      <c r="D42" s="27" t="inlineStr">
        <is>
          <t>6050</t>
        </is>
      </c>
      <c r="E42" s="27" t="inlineStr">
        <is>
          <t>Travel Expense</t>
        </is>
      </c>
      <c r="F42" s="27" t="inlineStr">
        <is>
          <t>OpEx</t>
        </is>
      </c>
      <c r="G42" s="27" t="inlineStr">
        <is>
          <t>PROD</t>
        </is>
      </c>
      <c r="H42" s="27" t="inlineStr">
        <is>
          <t>OPS</t>
        </is>
      </c>
      <c r="I42" s="31" t="n">
        <v>6272</v>
      </c>
      <c r="J42" s="31" t="n">
        <v>11259</v>
      </c>
      <c r="K42" s="31" t="n">
        <v>6399</v>
      </c>
      <c r="L42" s="31" t="n">
        <v>11408</v>
      </c>
      <c r="M42" s="28" t="n">
        <v>10117</v>
      </c>
      <c r="N42" s="28" t="n">
        <v>10598</v>
      </c>
      <c r="O42" s="28" t="n">
        <v>11080</v>
      </c>
      <c r="P42" s="28" t="n">
        <v>10598</v>
      </c>
      <c r="Q42" s="28" t="n">
        <v>10117</v>
      </c>
      <c r="R42" s="28" t="n">
        <v>9635</v>
      </c>
      <c r="S42" s="28" t="n">
        <v>9153</v>
      </c>
      <c r="T42" s="28" t="n">
        <v>8671</v>
      </c>
      <c r="U42" s="29">
        <f>SUM(I42:T42)</f>
        <v/>
      </c>
    </row>
    <row r="43">
      <c r="A43" s="27" t="inlineStr">
        <is>
          <t>FORECAST_2024F5</t>
        </is>
      </c>
      <c r="B43" s="27" t="inlineStr">
        <is>
          <t>AMDE</t>
        </is>
      </c>
      <c r="C43" s="27" t="inlineStr">
        <is>
          <t>EUR</t>
        </is>
      </c>
      <c r="D43" s="27" t="inlineStr">
        <is>
          <t>6060</t>
        </is>
      </c>
      <c r="E43" s="27" t="inlineStr">
        <is>
          <t>Utilities</t>
        </is>
      </c>
      <c r="F43" s="27" t="inlineStr">
        <is>
          <t>OpEx</t>
        </is>
      </c>
      <c r="G43" s="27" t="inlineStr">
        <is>
          <t>PROD</t>
        </is>
      </c>
      <c r="H43" s="27" t="inlineStr">
        <is>
          <t>OPS</t>
        </is>
      </c>
      <c r="I43" s="31" t="n">
        <v>8057</v>
      </c>
      <c r="J43" s="31" t="n">
        <v>7638</v>
      </c>
      <c r="K43" s="31" t="n">
        <v>8568</v>
      </c>
      <c r="L43" s="31" t="n">
        <v>8720</v>
      </c>
      <c r="M43" s="28" t="n">
        <v>9783</v>
      </c>
      <c r="N43" s="28" t="n">
        <v>10248</v>
      </c>
      <c r="O43" s="28" t="n">
        <v>10714</v>
      </c>
      <c r="P43" s="28" t="n">
        <v>10248</v>
      </c>
      <c r="Q43" s="28" t="n">
        <v>9783</v>
      </c>
      <c r="R43" s="28" t="n">
        <v>9317</v>
      </c>
      <c r="S43" s="28" t="n">
        <v>8851</v>
      </c>
      <c r="T43" s="28" t="n">
        <v>8385</v>
      </c>
      <c r="U43" s="29">
        <f>SUM(I43:T43)</f>
        <v/>
      </c>
    </row>
    <row r="44">
      <c r="E44" s="4" t="inlineStr">
        <is>
          <t>Net Income</t>
        </is>
      </c>
      <c r="I44" s="29">
        <f>SUM(I35:I43)</f>
        <v/>
      </c>
      <c r="J44" s="29">
        <f>SUM(J35:J43)</f>
        <v/>
      </c>
      <c r="K44" s="29">
        <f>SUM(K35:K43)</f>
        <v/>
      </c>
      <c r="L44" s="29">
        <f>SUM(L35:L43)</f>
        <v/>
      </c>
      <c r="M44" s="29">
        <f>SUM(M35:M43)</f>
        <v/>
      </c>
      <c r="N44" s="29">
        <f>SUM(N35:N43)</f>
        <v/>
      </c>
      <c r="O44" s="29">
        <f>SUM(O35:O43)</f>
        <v/>
      </c>
      <c r="P44" s="29">
        <f>SUM(P35:P43)</f>
        <v/>
      </c>
      <c r="Q44" s="29">
        <f>SUM(Q35:Q43)</f>
        <v/>
      </c>
      <c r="R44" s="29">
        <f>SUM(R35:R43)</f>
        <v/>
      </c>
      <c r="S44" s="29">
        <f>SUM(S35:S43)</f>
        <v/>
      </c>
      <c r="T44" s="29">
        <f>SUM(T35:T43)</f>
        <v/>
      </c>
      <c r="U44" s="29">
        <f>SUM(U35:U43)</f>
        <v/>
      </c>
    </row>
  </sheetData>
  <mergeCells count="3">
    <mergeCell ref="D34:T34"/>
    <mergeCell ref="D22:T22"/>
    <mergeCell ref="D10:T10"/>
  </mergeCell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U44"/>
  <sheetViews>
    <sheetView workbookViewId="0">
      <pane xSplit="8" ySplit="9" topLeftCell="I10"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0" customWidth="1" min="3" max="3"/>
    <col width="10" customWidth="1" min="4" max="4"/>
    <col width="22" customWidth="1" min="5" max="5"/>
    <col width="12" customWidth="1" min="6" max="6"/>
    <col width="14" customWidth="1" min="7" max="7"/>
    <col width="14"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4" customWidth="1" min="21" max="21"/>
  </cols>
  <sheetData>
    <row r="1">
      <c r="A1" s="20" t="inlineStr">
        <is>
          <t>Scenario:</t>
        </is>
      </c>
      <c r="B1" s="21" t="inlineStr">
        <is>
          <t>Forecast 2024 - Jun</t>
        </is>
      </c>
    </row>
    <row r="2">
      <c r="A2" s="20" t="inlineStr">
        <is>
          <t>Scenario ID:</t>
        </is>
      </c>
      <c r="B2" s="21" t="inlineStr">
        <is>
          <t>FORECAST_2024F6</t>
        </is>
      </c>
    </row>
    <row r="3">
      <c r="A3" s="20" t="inlineStr">
        <is>
          <t>Type:</t>
        </is>
      </c>
      <c r="B3" s="21" t="inlineStr">
        <is>
          <t>forecast</t>
        </is>
      </c>
    </row>
    <row r="4">
      <c r="A4" s="20" t="inlineStr">
        <is>
          <t>Fiscal Year:</t>
        </is>
      </c>
      <c r="B4" s="21" t="n">
        <v>2024</v>
      </c>
    </row>
    <row r="5">
      <c r="A5" s="20" t="inlineStr">
        <is>
          <t>Layer:</t>
        </is>
      </c>
      <c r="B5" s="21" t="inlineStr">
        <is>
          <t>base</t>
        </is>
      </c>
    </row>
    <row r="6">
      <c r="A6" s="20" t="inlineStr">
        <is>
          <t>Actual months:</t>
        </is>
      </c>
      <c r="B6" s="30" t="inlineStr">
        <is>
          <t>1-5 (yellow = actuals, white = editable forecast)</t>
        </is>
      </c>
    </row>
    <row r="7">
      <c r="A7" s="20" t="inlineStr">
        <is>
          <t>Usage:</t>
        </is>
      </c>
      <c r="B7" s="22" t="inlineStr">
        <is>
          <t>Edit white cells, then press Ctrl+Shift+R or F9 to save to server</t>
        </is>
      </c>
    </row>
    <row r="9">
      <c r="A9" s="23" t="inlineStr">
        <is>
          <t>Scenario ID</t>
        </is>
      </c>
      <c r="B9" s="23" t="inlineStr">
        <is>
          <t>Entity</t>
        </is>
      </c>
      <c r="C9" s="23" t="inlineStr">
        <is>
          <t>Currency</t>
        </is>
      </c>
      <c r="D9" s="23" t="inlineStr">
        <is>
          <t>Account</t>
        </is>
      </c>
      <c r="E9" s="23" t="inlineStr">
        <is>
          <t>Account Name</t>
        </is>
      </c>
      <c r="F9" s="23" t="inlineStr">
        <is>
          <t>Category</t>
        </is>
      </c>
      <c r="G9" s="23" t="inlineStr">
        <is>
          <t>Cost Center</t>
        </is>
      </c>
      <c r="H9" s="23" t="inlineStr">
        <is>
          <t>Department</t>
        </is>
      </c>
      <c r="I9" s="23" t="inlineStr">
        <is>
          <t>Jan</t>
        </is>
      </c>
      <c r="J9" s="23" t="inlineStr">
        <is>
          <t>Feb</t>
        </is>
      </c>
      <c r="K9" s="23" t="inlineStr">
        <is>
          <t>Mar</t>
        </is>
      </c>
      <c r="L9" s="23" t="inlineStr">
        <is>
          <t>Apr</t>
        </is>
      </c>
      <c r="M9" s="23" t="inlineStr">
        <is>
          <t>May</t>
        </is>
      </c>
      <c r="N9" s="23" t="inlineStr">
        <is>
          <t>Jun</t>
        </is>
      </c>
      <c r="O9" s="23" t="inlineStr">
        <is>
          <t>Jul</t>
        </is>
      </c>
      <c r="P9" s="23" t="inlineStr">
        <is>
          <t>Aug</t>
        </is>
      </c>
      <c r="Q9" s="23" t="inlineStr">
        <is>
          <t>Sep</t>
        </is>
      </c>
      <c r="R9" s="23" t="inlineStr">
        <is>
          <t>Oct</t>
        </is>
      </c>
      <c r="S9" s="23" t="inlineStr">
        <is>
          <t>Nov</t>
        </is>
      </c>
      <c r="T9" s="23" t="inlineStr">
        <is>
          <t>Dec</t>
        </is>
      </c>
      <c r="U9" s="23" t="inlineStr">
        <is>
          <t>Annual Total</t>
        </is>
      </c>
    </row>
    <row r="10">
      <c r="A10" s="24" t="inlineStr">
        <is>
          <t>AMHQ</t>
        </is>
      </c>
      <c r="B10" s="24" t="inlineStr">
        <is>
          <t>Alpine Manufacturing HQ</t>
        </is>
      </c>
      <c r="C10" s="24" t="inlineStr">
        <is>
          <t>CHF</t>
        </is>
      </c>
      <c r="D10" s="24" t="n"/>
      <c r="E10" s="25" t="n"/>
      <c r="F10" s="25" t="n"/>
      <c r="G10" s="25" t="n"/>
      <c r="H10" s="25" t="n"/>
      <c r="I10" s="25" t="n"/>
      <c r="J10" s="25" t="n"/>
      <c r="K10" s="25" t="n"/>
      <c r="L10" s="25" t="n"/>
      <c r="M10" s="25" t="n"/>
      <c r="N10" s="25" t="n"/>
      <c r="O10" s="25" t="n"/>
      <c r="P10" s="25" t="n"/>
      <c r="Q10" s="25" t="n"/>
      <c r="R10" s="25" t="n"/>
      <c r="S10" s="25" t="n"/>
      <c r="T10" s="26" t="n"/>
      <c r="U10" s="24" t="n"/>
    </row>
    <row r="11">
      <c r="A11" s="27" t="inlineStr">
        <is>
          <t>FORECAST_2024F6</t>
        </is>
      </c>
      <c r="B11" s="27" t="inlineStr">
        <is>
          <t>AMHQ</t>
        </is>
      </c>
      <c r="C11" s="27" t="inlineStr">
        <is>
          <t>CHF</t>
        </is>
      </c>
      <c r="D11" s="27" t="inlineStr">
        <is>
          <t>4010</t>
        </is>
      </c>
      <c r="E11" s="27" t="inlineStr">
        <is>
          <t>Product Revenue</t>
        </is>
      </c>
      <c r="F11" s="27" t="inlineStr">
        <is>
          <t>Revenue</t>
        </is>
      </c>
      <c r="G11" s="27" t="inlineStr">
        <is>
          <t>HQ</t>
        </is>
      </c>
      <c r="H11" s="27" t="inlineStr">
        <is>
          <t>MGMT</t>
        </is>
      </c>
      <c r="I11" s="31" t="n">
        <v>-422527</v>
      </c>
      <c r="J11" s="31" t="n">
        <v>-460341</v>
      </c>
      <c r="K11" s="31" t="n">
        <v>-465571</v>
      </c>
      <c r="L11" s="31" t="n">
        <v>-469433</v>
      </c>
      <c r="M11" s="31" t="n">
        <v>-527530</v>
      </c>
      <c r="N11" s="28" t="n">
        <v>-568572</v>
      </c>
      <c r="O11" s="28" t="n">
        <v>-594417</v>
      </c>
      <c r="P11" s="28" t="n">
        <v>-568572</v>
      </c>
      <c r="Q11" s="28" t="n">
        <v>-542728</v>
      </c>
      <c r="R11" s="28" t="n">
        <v>-516884</v>
      </c>
      <c r="S11" s="28" t="n">
        <v>-491040</v>
      </c>
      <c r="T11" s="28" t="n">
        <v>-465195</v>
      </c>
      <c r="U11" s="29">
        <f>SUM(I11:T11)</f>
        <v/>
      </c>
    </row>
    <row r="12">
      <c r="A12" s="27" t="inlineStr">
        <is>
          <t>FORECAST_2024F6</t>
        </is>
      </c>
      <c r="B12" s="27" t="inlineStr">
        <is>
          <t>AMHQ</t>
        </is>
      </c>
      <c r="C12" s="27" t="inlineStr">
        <is>
          <t>CHF</t>
        </is>
      </c>
      <c r="D12" s="27" t="inlineStr">
        <is>
          <t>4020</t>
        </is>
      </c>
      <c r="E12" s="27" t="inlineStr">
        <is>
          <t>Service Revenue</t>
        </is>
      </c>
      <c r="F12" s="27" t="inlineStr">
        <is>
          <t>Revenue</t>
        </is>
      </c>
      <c r="G12" s="27" t="inlineStr">
        <is>
          <t>HQ</t>
        </is>
      </c>
      <c r="H12" s="27" t="inlineStr">
        <is>
          <t>MGMT</t>
        </is>
      </c>
      <c r="I12" s="31" t="n">
        <v>-51220</v>
      </c>
      <c r="J12" s="31" t="n">
        <v>-56032</v>
      </c>
      <c r="K12" s="31" t="n">
        <v>-46269</v>
      </c>
      <c r="L12" s="31" t="n">
        <v>-61544</v>
      </c>
      <c r="M12" s="31" t="n">
        <v>-66801</v>
      </c>
      <c r="N12" s="28" t="n">
        <v>-68277</v>
      </c>
      <c r="O12" s="28" t="n">
        <v>-71380</v>
      </c>
      <c r="P12" s="28" t="n">
        <v>-68277</v>
      </c>
      <c r="Q12" s="28" t="n">
        <v>-65173</v>
      </c>
      <c r="R12" s="28" t="n">
        <v>-62070</v>
      </c>
      <c r="S12" s="28" t="n">
        <v>-58966</v>
      </c>
      <c r="T12" s="28" t="n">
        <v>-55863</v>
      </c>
      <c r="U12" s="29">
        <f>SUM(I12:T12)</f>
        <v/>
      </c>
    </row>
    <row r="13">
      <c r="A13" s="27" t="inlineStr">
        <is>
          <t>FORECAST_2024F6</t>
        </is>
      </c>
      <c r="B13" s="27" t="inlineStr">
        <is>
          <t>AMHQ</t>
        </is>
      </c>
      <c r="C13" s="27" t="inlineStr">
        <is>
          <t>CHF</t>
        </is>
      </c>
      <c r="D13" s="27" t="inlineStr">
        <is>
          <t>5010</t>
        </is>
      </c>
      <c r="E13" s="27" t="inlineStr">
        <is>
          <t>Cost of Goods Sold</t>
        </is>
      </c>
      <c r="F13" s="27" t="inlineStr">
        <is>
          <t>COGS</t>
        </is>
      </c>
      <c r="G13" s="27" t="inlineStr">
        <is>
          <t>HQ</t>
        </is>
      </c>
      <c r="H13" s="27" t="inlineStr">
        <is>
          <t>MGMT</t>
        </is>
      </c>
      <c r="I13" s="31" t="n">
        <v>163570</v>
      </c>
      <c r="J13" s="31" t="n">
        <v>184714</v>
      </c>
      <c r="K13" s="31" t="n">
        <v>191767</v>
      </c>
      <c r="L13" s="31" t="n">
        <v>195451</v>
      </c>
      <c r="M13" s="31" t="n">
        <v>203018</v>
      </c>
      <c r="N13" s="28" t="n">
        <v>227470</v>
      </c>
      <c r="O13" s="28" t="n">
        <v>237810</v>
      </c>
      <c r="P13" s="28" t="n">
        <v>227470</v>
      </c>
      <c r="Q13" s="28" t="n">
        <v>217131</v>
      </c>
      <c r="R13" s="28" t="n">
        <v>206791</v>
      </c>
      <c r="S13" s="28" t="n">
        <v>196452</v>
      </c>
      <c r="T13" s="28" t="n">
        <v>186112</v>
      </c>
      <c r="U13" s="29">
        <f>SUM(I13:T13)</f>
        <v/>
      </c>
    </row>
    <row r="14">
      <c r="A14" s="27" t="inlineStr">
        <is>
          <t>FORECAST_2024F6</t>
        </is>
      </c>
      <c r="B14" s="27" t="inlineStr">
        <is>
          <t>AMHQ</t>
        </is>
      </c>
      <c r="C14" s="27" t="inlineStr">
        <is>
          <t>CHF</t>
        </is>
      </c>
      <c r="D14" s="27" t="inlineStr">
        <is>
          <t>6010</t>
        </is>
      </c>
      <c r="E14" s="27" t="inlineStr">
        <is>
          <t>Salaries and Wages</t>
        </is>
      </c>
      <c r="F14" s="27" t="inlineStr">
        <is>
          <t>OpEx</t>
        </is>
      </c>
      <c r="G14" s="27" t="inlineStr">
        <is>
          <t>HQ</t>
        </is>
      </c>
      <c r="H14" s="27" t="inlineStr">
        <is>
          <t>MGMT</t>
        </is>
      </c>
      <c r="I14" s="31" t="n">
        <v>102144</v>
      </c>
      <c r="J14" s="31" t="n">
        <v>109029</v>
      </c>
      <c r="K14" s="31" t="n">
        <v>118965</v>
      </c>
      <c r="L14" s="31" t="n">
        <v>115618</v>
      </c>
      <c r="M14" s="31" t="n">
        <v>130363</v>
      </c>
      <c r="N14" s="28" t="n">
        <v>137988</v>
      </c>
      <c r="O14" s="28" t="n">
        <v>144260</v>
      </c>
      <c r="P14" s="28" t="n">
        <v>137988</v>
      </c>
      <c r="Q14" s="28" t="n">
        <v>131716</v>
      </c>
      <c r="R14" s="28" t="n">
        <v>125444</v>
      </c>
      <c r="S14" s="28" t="n">
        <v>119171</v>
      </c>
      <c r="T14" s="28" t="n">
        <v>112899</v>
      </c>
      <c r="U14" s="29">
        <f>SUM(I14:T14)</f>
        <v/>
      </c>
    </row>
    <row r="15">
      <c r="A15" s="27" t="inlineStr">
        <is>
          <t>FORECAST_2024F6</t>
        </is>
      </c>
      <c r="B15" s="27" t="inlineStr">
        <is>
          <t>AMHQ</t>
        </is>
      </c>
      <c r="C15" s="27" t="inlineStr">
        <is>
          <t>CHF</t>
        </is>
      </c>
      <c r="D15" s="27" t="inlineStr">
        <is>
          <t>6020</t>
        </is>
      </c>
      <c r="E15" s="27" t="inlineStr">
        <is>
          <t>Rent Expense</t>
        </is>
      </c>
      <c r="F15" s="27" t="inlineStr">
        <is>
          <t>OpEx</t>
        </is>
      </c>
      <c r="G15" s="27" t="inlineStr">
        <is>
          <t>HQ</t>
        </is>
      </c>
      <c r="H15" s="27" t="inlineStr">
        <is>
          <t>MGMT</t>
        </is>
      </c>
      <c r="I15" s="31" t="n">
        <v>16469</v>
      </c>
      <c r="J15" s="31" t="n">
        <v>16952</v>
      </c>
      <c r="K15" s="31" t="n">
        <v>19142</v>
      </c>
      <c r="L15" s="31" t="n">
        <v>20280</v>
      </c>
      <c r="M15" s="31" t="n">
        <v>21316</v>
      </c>
      <c r="N15" s="28" t="n">
        <v>22782</v>
      </c>
      <c r="O15" s="28" t="n">
        <v>23818</v>
      </c>
      <c r="P15" s="28" t="n">
        <v>22782</v>
      </c>
      <c r="Q15" s="28" t="n">
        <v>21747</v>
      </c>
      <c r="R15" s="28" t="n">
        <v>20711</v>
      </c>
      <c r="S15" s="28" t="n">
        <v>19675</v>
      </c>
      <c r="T15" s="28" t="n">
        <v>18640</v>
      </c>
      <c r="U15" s="29">
        <f>SUM(I15:T15)</f>
        <v/>
      </c>
    </row>
    <row r="16">
      <c r="A16" s="27" t="inlineStr">
        <is>
          <t>FORECAST_2024F6</t>
        </is>
      </c>
      <c r="B16" s="27" t="inlineStr">
        <is>
          <t>AMHQ</t>
        </is>
      </c>
      <c r="C16" s="27" t="inlineStr">
        <is>
          <t>CHF</t>
        </is>
      </c>
      <c r="D16" s="27" t="inlineStr">
        <is>
          <t>6030</t>
        </is>
      </c>
      <c r="E16" s="27" t="inlineStr">
        <is>
          <t>Depreciation Expense</t>
        </is>
      </c>
      <c r="F16" s="27" t="inlineStr">
        <is>
          <t>OpEx</t>
        </is>
      </c>
      <c r="G16" s="27" t="inlineStr">
        <is>
          <t>HQ</t>
        </is>
      </c>
      <c r="H16" s="27" t="inlineStr">
        <is>
          <t>MGMT</t>
        </is>
      </c>
      <c r="I16" s="31" t="n">
        <v>13192</v>
      </c>
      <c r="J16" s="31" t="n">
        <v>13113</v>
      </c>
      <c r="K16" s="31" t="n">
        <v>13361</v>
      </c>
      <c r="L16" s="31" t="n">
        <v>15835</v>
      </c>
      <c r="M16" s="31" t="n">
        <v>16752</v>
      </c>
      <c r="N16" s="28" t="n">
        <v>17276</v>
      </c>
      <c r="O16" s="28" t="n">
        <v>18061</v>
      </c>
      <c r="P16" s="28" t="n">
        <v>17276</v>
      </c>
      <c r="Q16" s="28" t="n">
        <v>16490</v>
      </c>
      <c r="R16" s="28" t="n">
        <v>15705</v>
      </c>
      <c r="S16" s="28" t="n">
        <v>14920</v>
      </c>
      <c r="T16" s="28" t="n">
        <v>14135</v>
      </c>
      <c r="U16" s="29">
        <f>SUM(I16:T16)</f>
        <v/>
      </c>
    </row>
    <row r="17">
      <c r="A17" s="27" t="inlineStr">
        <is>
          <t>FORECAST_2024F6</t>
        </is>
      </c>
      <c r="B17" s="27" t="inlineStr">
        <is>
          <t>AMHQ</t>
        </is>
      </c>
      <c r="C17" s="27" t="inlineStr">
        <is>
          <t>CHF</t>
        </is>
      </c>
      <c r="D17" s="27" t="inlineStr">
        <is>
          <t>6040</t>
        </is>
      </c>
      <c r="E17" s="27" t="inlineStr">
        <is>
          <t>Marketing Expense</t>
        </is>
      </c>
      <c r="F17" s="27" t="inlineStr">
        <is>
          <t>OpEx</t>
        </is>
      </c>
      <c r="G17" s="27" t="inlineStr">
        <is>
          <t>HQ</t>
        </is>
      </c>
      <c r="H17" s="27" t="inlineStr">
        <is>
          <t>MGMT</t>
        </is>
      </c>
      <c r="I17" s="31" t="n">
        <v>10206</v>
      </c>
      <c r="J17" s="31" t="n">
        <v>14828</v>
      </c>
      <c r="K17" s="31" t="n">
        <v>15686</v>
      </c>
      <c r="L17" s="31" t="n">
        <v>20263</v>
      </c>
      <c r="M17" s="31" t="n">
        <v>11079</v>
      </c>
      <c r="N17" s="28" t="n">
        <v>17254</v>
      </c>
      <c r="O17" s="28" t="n">
        <v>18038</v>
      </c>
      <c r="P17" s="28" t="n">
        <v>17254</v>
      </c>
      <c r="Q17" s="28" t="n">
        <v>16469</v>
      </c>
      <c r="R17" s="28" t="n">
        <v>15685</v>
      </c>
      <c r="S17" s="28" t="n">
        <v>14901</v>
      </c>
      <c r="T17" s="28" t="n">
        <v>14116</v>
      </c>
      <c r="U17" s="29">
        <f>SUM(I17:T17)</f>
        <v/>
      </c>
    </row>
    <row r="18">
      <c r="A18" s="27" t="inlineStr">
        <is>
          <t>FORECAST_2024F6</t>
        </is>
      </c>
      <c r="B18" s="27" t="inlineStr">
        <is>
          <t>AMHQ</t>
        </is>
      </c>
      <c r="C18" s="27" t="inlineStr">
        <is>
          <t>CHF</t>
        </is>
      </c>
      <c r="D18" s="27" t="inlineStr">
        <is>
          <t>6050</t>
        </is>
      </c>
      <c r="E18" s="27" t="inlineStr">
        <is>
          <t>Travel Expense</t>
        </is>
      </c>
      <c r="F18" s="27" t="inlineStr">
        <is>
          <t>OpEx</t>
        </is>
      </c>
      <c r="G18" s="27" t="inlineStr">
        <is>
          <t>HQ</t>
        </is>
      </c>
      <c r="H18" s="27" t="inlineStr">
        <is>
          <t>MGMT</t>
        </is>
      </c>
      <c r="I18" s="31" t="n">
        <v>6252</v>
      </c>
      <c r="J18" s="31" t="n">
        <v>7798</v>
      </c>
      <c r="K18" s="31" t="n">
        <v>6639</v>
      </c>
      <c r="L18" s="31" t="n">
        <v>9345</v>
      </c>
      <c r="M18" s="31" t="n">
        <v>5738</v>
      </c>
      <c r="N18" s="28" t="n">
        <v>8597</v>
      </c>
      <c r="O18" s="28" t="n">
        <v>8987</v>
      </c>
      <c r="P18" s="28" t="n">
        <v>8597</v>
      </c>
      <c r="Q18" s="28" t="n">
        <v>8206</v>
      </c>
      <c r="R18" s="28" t="n">
        <v>7815</v>
      </c>
      <c r="S18" s="28" t="n">
        <v>7424</v>
      </c>
      <c r="T18" s="28" t="n">
        <v>7033</v>
      </c>
      <c r="U18" s="29">
        <f>SUM(I18:T18)</f>
        <v/>
      </c>
    </row>
    <row r="19">
      <c r="A19" s="27" t="inlineStr">
        <is>
          <t>FORECAST_2024F6</t>
        </is>
      </c>
      <c r="B19" s="27" t="inlineStr">
        <is>
          <t>AMHQ</t>
        </is>
      </c>
      <c r="C19" s="27" t="inlineStr">
        <is>
          <t>CHF</t>
        </is>
      </c>
      <c r="D19" s="27" t="inlineStr">
        <is>
          <t>6060</t>
        </is>
      </c>
      <c r="E19" s="27" t="inlineStr">
        <is>
          <t>Utilities</t>
        </is>
      </c>
      <c r="F19" s="27" t="inlineStr">
        <is>
          <t>OpEx</t>
        </is>
      </c>
      <c r="G19" s="27" t="inlineStr">
        <is>
          <t>HQ</t>
        </is>
      </c>
      <c r="H19" s="27" t="inlineStr">
        <is>
          <t>MGMT</t>
        </is>
      </c>
      <c r="I19" s="31" t="n">
        <v>6074</v>
      </c>
      <c r="J19" s="31" t="n">
        <v>7178</v>
      </c>
      <c r="K19" s="31" t="n">
        <v>7147</v>
      </c>
      <c r="L19" s="31" t="n">
        <v>7797</v>
      </c>
      <c r="M19" s="31" t="n">
        <v>8118</v>
      </c>
      <c r="N19" s="28" t="n">
        <v>8659</v>
      </c>
      <c r="O19" s="28" t="n">
        <v>9053</v>
      </c>
      <c r="P19" s="28" t="n">
        <v>8659</v>
      </c>
      <c r="Q19" s="28" t="n">
        <v>8266</v>
      </c>
      <c r="R19" s="28" t="n">
        <v>7872</v>
      </c>
      <c r="S19" s="28" t="n">
        <v>7478</v>
      </c>
      <c r="T19" s="28" t="n">
        <v>7085</v>
      </c>
      <c r="U19" s="29">
        <f>SUM(I19:T19)</f>
        <v/>
      </c>
    </row>
    <row r="20">
      <c r="E20" s="4" t="inlineStr">
        <is>
          <t>Net Income</t>
        </is>
      </c>
      <c r="I20" s="29">
        <f>SUM(I11:I19)</f>
        <v/>
      </c>
      <c r="J20" s="29">
        <f>SUM(J11:J19)</f>
        <v/>
      </c>
      <c r="K20" s="29">
        <f>SUM(K11:K19)</f>
        <v/>
      </c>
      <c r="L20" s="29">
        <f>SUM(L11:L19)</f>
        <v/>
      </c>
      <c r="M20" s="29">
        <f>SUM(M11:M19)</f>
        <v/>
      </c>
      <c r="N20" s="29">
        <f>SUM(N11:N19)</f>
        <v/>
      </c>
      <c r="O20" s="29">
        <f>SUM(O11:O19)</f>
        <v/>
      </c>
      <c r="P20" s="29">
        <f>SUM(P11:P19)</f>
        <v/>
      </c>
      <c r="Q20" s="29">
        <f>SUM(Q11:Q19)</f>
        <v/>
      </c>
      <c r="R20" s="29">
        <f>SUM(R11:R19)</f>
        <v/>
      </c>
      <c r="S20" s="29">
        <f>SUM(S11:S19)</f>
        <v/>
      </c>
      <c r="T20" s="29">
        <f>SUM(T11:T19)</f>
        <v/>
      </c>
      <c r="U20" s="29">
        <f>SUM(U11:U19)</f>
        <v/>
      </c>
    </row>
    <row r="22">
      <c r="A22" s="24" t="inlineStr">
        <is>
          <t>AMUS</t>
        </is>
      </c>
      <c r="B22" s="24" t="inlineStr">
        <is>
          <t>Alpine Manufacturing US</t>
        </is>
      </c>
      <c r="C22" s="24" t="inlineStr">
        <is>
          <t>USD</t>
        </is>
      </c>
      <c r="D22" s="24" t="n"/>
      <c r="E22" s="25" t="n"/>
      <c r="F22" s="25" t="n"/>
      <c r="G22" s="25" t="n"/>
      <c r="H22" s="25" t="n"/>
      <c r="I22" s="25" t="n"/>
      <c r="J22" s="25" t="n"/>
      <c r="K22" s="25" t="n"/>
      <c r="L22" s="25" t="n"/>
      <c r="M22" s="25" t="n"/>
      <c r="N22" s="25" t="n"/>
      <c r="O22" s="25" t="n"/>
      <c r="P22" s="25" t="n"/>
      <c r="Q22" s="25" t="n"/>
      <c r="R22" s="25" t="n"/>
      <c r="S22" s="25" t="n"/>
      <c r="T22" s="26" t="n"/>
      <c r="U22" s="24" t="n"/>
    </row>
    <row r="23">
      <c r="A23" s="27" t="inlineStr">
        <is>
          <t>FORECAST_2024F6</t>
        </is>
      </c>
      <c r="B23" s="27" t="inlineStr">
        <is>
          <t>AMUS</t>
        </is>
      </c>
      <c r="C23" s="27" t="inlineStr">
        <is>
          <t>USD</t>
        </is>
      </c>
      <c r="D23" s="27" t="inlineStr">
        <is>
          <t>4010</t>
        </is>
      </c>
      <c r="E23" s="27" t="inlineStr">
        <is>
          <t>Product Revenue</t>
        </is>
      </c>
      <c r="F23" s="27" t="inlineStr">
        <is>
          <t>Revenue</t>
        </is>
      </c>
      <c r="G23" s="27" t="inlineStr">
        <is>
          <t>SALES</t>
        </is>
      </c>
      <c r="H23" s="27" t="inlineStr">
        <is>
          <t>SALES</t>
        </is>
      </c>
      <c r="I23" s="31" t="n">
        <v>-709236</v>
      </c>
      <c r="J23" s="31" t="n">
        <v>-697015</v>
      </c>
      <c r="K23" s="31" t="n">
        <v>-713595</v>
      </c>
      <c r="L23" s="31" t="n">
        <v>-823780</v>
      </c>
      <c r="M23" s="31" t="n">
        <v>-849014</v>
      </c>
      <c r="N23" s="28" t="n">
        <v>-914347</v>
      </c>
      <c r="O23" s="28" t="n">
        <v>-955908</v>
      </c>
      <c r="P23" s="28" t="n">
        <v>-914347</v>
      </c>
      <c r="Q23" s="28" t="n">
        <v>-872786</v>
      </c>
      <c r="R23" s="28" t="n">
        <v>-831225</v>
      </c>
      <c r="S23" s="28" t="n">
        <v>-789664</v>
      </c>
      <c r="T23" s="28" t="n">
        <v>-748102</v>
      </c>
      <c r="U23" s="29">
        <f>SUM(I23:T23)</f>
        <v/>
      </c>
    </row>
    <row r="24">
      <c r="A24" s="27" t="inlineStr">
        <is>
          <t>FORECAST_2024F6</t>
        </is>
      </c>
      <c r="B24" s="27" t="inlineStr">
        <is>
          <t>AMUS</t>
        </is>
      </c>
      <c r="C24" s="27" t="inlineStr">
        <is>
          <t>USD</t>
        </is>
      </c>
      <c r="D24" s="27" t="inlineStr">
        <is>
          <t>4020</t>
        </is>
      </c>
      <c r="E24" s="27" t="inlineStr">
        <is>
          <t>Service Revenue</t>
        </is>
      </c>
      <c r="F24" s="27" t="inlineStr">
        <is>
          <t>Revenue</t>
        </is>
      </c>
      <c r="G24" s="27" t="inlineStr">
        <is>
          <t>SALES</t>
        </is>
      </c>
      <c r="H24" s="27" t="inlineStr">
        <is>
          <t>SALES</t>
        </is>
      </c>
      <c r="I24" s="31" t="n">
        <v>-78962</v>
      </c>
      <c r="J24" s="31" t="n">
        <v>-81028</v>
      </c>
      <c r="K24" s="31" t="n">
        <v>-77434</v>
      </c>
      <c r="L24" s="31" t="n">
        <v>-92287</v>
      </c>
      <c r="M24" s="31" t="n">
        <v>-96485</v>
      </c>
      <c r="N24" s="28" t="n">
        <v>-106373</v>
      </c>
      <c r="O24" s="28" t="n">
        <v>-111207</v>
      </c>
      <c r="P24" s="28" t="n">
        <v>-106373</v>
      </c>
      <c r="Q24" s="28" t="n">
        <v>-101537</v>
      </c>
      <c r="R24" s="28" t="n">
        <v>-96702</v>
      </c>
      <c r="S24" s="28" t="n">
        <v>-91867</v>
      </c>
      <c r="T24" s="28" t="n">
        <v>-87032</v>
      </c>
      <c r="U24" s="29">
        <f>SUM(I24:T24)</f>
        <v/>
      </c>
    </row>
    <row r="25">
      <c r="A25" s="27" t="inlineStr">
        <is>
          <t>FORECAST_2024F6</t>
        </is>
      </c>
      <c r="B25" s="27" t="inlineStr">
        <is>
          <t>AMUS</t>
        </is>
      </c>
      <c r="C25" s="27" t="inlineStr">
        <is>
          <t>USD</t>
        </is>
      </c>
      <c r="D25" s="27" t="inlineStr">
        <is>
          <t>5010</t>
        </is>
      </c>
      <c r="E25" s="27" t="inlineStr">
        <is>
          <t>Cost of Goods Sold</t>
        </is>
      </c>
      <c r="F25" s="27" t="inlineStr">
        <is>
          <t>COGS</t>
        </is>
      </c>
      <c r="G25" s="27" t="inlineStr">
        <is>
          <t>SALES</t>
        </is>
      </c>
      <c r="H25" s="27" t="inlineStr">
        <is>
          <t>SALES</t>
        </is>
      </c>
      <c r="I25" s="31" t="n">
        <v>280669</v>
      </c>
      <c r="J25" s="31" t="n">
        <v>329460</v>
      </c>
      <c r="K25" s="31" t="n">
        <v>310502</v>
      </c>
      <c r="L25" s="31" t="n">
        <v>315998</v>
      </c>
      <c r="M25" s="31" t="n">
        <v>351902</v>
      </c>
      <c r="N25" s="28" t="n">
        <v>374015</v>
      </c>
      <c r="O25" s="28" t="n">
        <v>391014</v>
      </c>
      <c r="P25" s="28" t="n">
        <v>374015</v>
      </c>
      <c r="Q25" s="28" t="n">
        <v>357014</v>
      </c>
      <c r="R25" s="28" t="n">
        <v>340013</v>
      </c>
      <c r="S25" s="28" t="n">
        <v>323013</v>
      </c>
      <c r="T25" s="28" t="n">
        <v>306012</v>
      </c>
      <c r="U25" s="29">
        <f>SUM(I25:T25)</f>
        <v/>
      </c>
    </row>
    <row r="26">
      <c r="A26" s="27" t="inlineStr">
        <is>
          <t>FORECAST_2024F6</t>
        </is>
      </c>
      <c r="B26" s="27" t="inlineStr">
        <is>
          <t>AMUS</t>
        </is>
      </c>
      <c r="C26" s="27" t="inlineStr">
        <is>
          <t>USD</t>
        </is>
      </c>
      <c r="D26" s="27" t="inlineStr">
        <is>
          <t>6010</t>
        </is>
      </c>
      <c r="E26" s="27" t="inlineStr">
        <is>
          <t>Salaries and Wages</t>
        </is>
      </c>
      <c r="F26" s="27" t="inlineStr">
        <is>
          <t>OpEx</t>
        </is>
      </c>
      <c r="G26" s="27" t="inlineStr">
        <is>
          <t>SALES</t>
        </is>
      </c>
      <c r="H26" s="27" t="inlineStr">
        <is>
          <t>SALES</t>
        </is>
      </c>
      <c r="I26" s="31" t="n">
        <v>153378</v>
      </c>
      <c r="J26" s="31" t="n">
        <v>166612</v>
      </c>
      <c r="K26" s="31" t="n">
        <v>204060</v>
      </c>
      <c r="L26" s="31" t="n">
        <v>195654</v>
      </c>
      <c r="M26" s="31" t="n">
        <v>219320</v>
      </c>
      <c r="N26" s="28" t="n">
        <v>222777</v>
      </c>
      <c r="O26" s="28" t="n">
        <v>232902</v>
      </c>
      <c r="P26" s="28" t="n">
        <v>222777</v>
      </c>
      <c r="Q26" s="28" t="n">
        <v>212650</v>
      </c>
      <c r="R26" s="28" t="n">
        <v>202524</v>
      </c>
      <c r="S26" s="28" t="n">
        <v>192398</v>
      </c>
      <c r="T26" s="28" t="n">
        <v>182272</v>
      </c>
      <c r="U26" s="29">
        <f>SUM(I26:T26)</f>
        <v/>
      </c>
    </row>
    <row r="27">
      <c r="A27" s="27" t="inlineStr">
        <is>
          <t>FORECAST_2024F6</t>
        </is>
      </c>
      <c r="B27" s="27" t="inlineStr">
        <is>
          <t>AMUS</t>
        </is>
      </c>
      <c r="C27" s="27" t="inlineStr">
        <is>
          <t>USD</t>
        </is>
      </c>
      <c r="D27" s="27" t="inlineStr">
        <is>
          <t>6020</t>
        </is>
      </c>
      <c r="E27" s="27" t="inlineStr">
        <is>
          <t>Rent Expense</t>
        </is>
      </c>
      <c r="F27" s="27" t="inlineStr">
        <is>
          <t>OpEx</t>
        </is>
      </c>
      <c r="G27" s="27" t="inlineStr">
        <is>
          <t>SALES</t>
        </is>
      </c>
      <c r="H27" s="27" t="inlineStr">
        <is>
          <t>SALES</t>
        </is>
      </c>
      <c r="I27" s="31" t="n">
        <v>29007</v>
      </c>
      <c r="J27" s="31" t="n">
        <v>27126</v>
      </c>
      <c r="K27" s="31" t="n">
        <v>28678</v>
      </c>
      <c r="L27" s="31" t="n">
        <v>30358</v>
      </c>
      <c r="M27" s="31" t="n">
        <v>35105</v>
      </c>
      <c r="N27" s="28" t="n">
        <v>36408</v>
      </c>
      <c r="O27" s="28" t="n">
        <v>38062</v>
      </c>
      <c r="P27" s="28" t="n">
        <v>36408</v>
      </c>
      <c r="Q27" s="28" t="n">
        <v>34753</v>
      </c>
      <c r="R27" s="28" t="n">
        <v>33098</v>
      </c>
      <c r="S27" s="28" t="n">
        <v>31443</v>
      </c>
      <c r="T27" s="28" t="n">
        <v>29788</v>
      </c>
      <c r="U27" s="29">
        <f>SUM(I27:T27)</f>
        <v/>
      </c>
    </row>
    <row r="28">
      <c r="A28" s="27" t="inlineStr">
        <is>
          <t>FORECAST_2024F6</t>
        </is>
      </c>
      <c r="B28" s="27" t="inlineStr">
        <is>
          <t>AMUS</t>
        </is>
      </c>
      <c r="C28" s="27" t="inlineStr">
        <is>
          <t>USD</t>
        </is>
      </c>
      <c r="D28" s="27" t="inlineStr">
        <is>
          <t>6030</t>
        </is>
      </c>
      <c r="E28" s="27" t="inlineStr">
        <is>
          <t>Depreciation Expense</t>
        </is>
      </c>
      <c r="F28" s="27" t="inlineStr">
        <is>
          <t>OpEx</t>
        </is>
      </c>
      <c r="G28" s="27" t="inlineStr">
        <is>
          <t>SALES</t>
        </is>
      </c>
      <c r="H28" s="27" t="inlineStr">
        <is>
          <t>SALES</t>
        </is>
      </c>
      <c r="I28" s="31" t="n">
        <v>21259</v>
      </c>
      <c r="J28" s="31" t="n">
        <v>22206</v>
      </c>
      <c r="K28" s="31" t="n">
        <v>23551</v>
      </c>
      <c r="L28" s="31" t="n">
        <v>23388</v>
      </c>
      <c r="M28" s="31" t="n">
        <v>24395</v>
      </c>
      <c r="N28" s="28" t="n">
        <v>27548</v>
      </c>
      <c r="O28" s="28" t="n">
        <v>28799</v>
      </c>
      <c r="P28" s="28" t="n">
        <v>27548</v>
      </c>
      <c r="Q28" s="28" t="n">
        <v>26296</v>
      </c>
      <c r="R28" s="28" t="n">
        <v>25044</v>
      </c>
      <c r="S28" s="28" t="n">
        <v>23791</v>
      </c>
      <c r="T28" s="28" t="n">
        <v>22539</v>
      </c>
      <c r="U28" s="29">
        <f>SUM(I28:T28)</f>
        <v/>
      </c>
    </row>
    <row r="29">
      <c r="A29" s="27" t="inlineStr">
        <is>
          <t>FORECAST_2024F6</t>
        </is>
      </c>
      <c r="B29" s="27" t="inlineStr">
        <is>
          <t>AMUS</t>
        </is>
      </c>
      <c r="C29" s="27" t="inlineStr">
        <is>
          <t>USD</t>
        </is>
      </c>
      <c r="D29" s="27" t="inlineStr">
        <is>
          <t>6040</t>
        </is>
      </c>
      <c r="E29" s="27" t="inlineStr">
        <is>
          <t>Marketing Expense</t>
        </is>
      </c>
      <c r="F29" s="27" t="inlineStr">
        <is>
          <t>OpEx</t>
        </is>
      </c>
      <c r="G29" s="27" t="inlineStr">
        <is>
          <t>SALES</t>
        </is>
      </c>
      <c r="H29" s="27" t="inlineStr">
        <is>
          <t>SALES</t>
        </is>
      </c>
      <c r="I29" s="31" t="n">
        <v>20615</v>
      </c>
      <c r="J29" s="31" t="n">
        <v>18521</v>
      </c>
      <c r="K29" s="31" t="n">
        <v>18712</v>
      </c>
      <c r="L29" s="31" t="n">
        <v>17536</v>
      </c>
      <c r="M29" s="31" t="n">
        <v>31482</v>
      </c>
      <c r="N29" s="28" t="n">
        <v>26629</v>
      </c>
      <c r="O29" s="28" t="n">
        <v>27839</v>
      </c>
      <c r="P29" s="28" t="n">
        <v>26629</v>
      </c>
      <c r="Q29" s="28" t="n">
        <v>25419</v>
      </c>
      <c r="R29" s="28" t="n">
        <v>24209</v>
      </c>
      <c r="S29" s="28" t="n">
        <v>22998</v>
      </c>
      <c r="T29" s="28" t="n">
        <v>21788</v>
      </c>
      <c r="U29" s="29">
        <f>SUM(I29:T29)</f>
        <v/>
      </c>
    </row>
    <row r="30">
      <c r="A30" s="27" t="inlineStr">
        <is>
          <t>FORECAST_2024F6</t>
        </is>
      </c>
      <c r="B30" s="27" t="inlineStr">
        <is>
          <t>AMUS</t>
        </is>
      </c>
      <c r="C30" s="27" t="inlineStr">
        <is>
          <t>USD</t>
        </is>
      </c>
      <c r="D30" s="27" t="inlineStr">
        <is>
          <t>6050</t>
        </is>
      </c>
      <c r="E30" s="27" t="inlineStr">
        <is>
          <t>Travel Expense</t>
        </is>
      </c>
      <c r="F30" s="27" t="inlineStr">
        <is>
          <t>OpEx</t>
        </is>
      </c>
      <c r="G30" s="27" t="inlineStr">
        <is>
          <t>SALES</t>
        </is>
      </c>
      <c r="H30" s="27" t="inlineStr">
        <is>
          <t>SALES</t>
        </is>
      </c>
      <c r="I30" s="31" t="n">
        <v>8794</v>
      </c>
      <c r="J30" s="31" t="n">
        <v>12919</v>
      </c>
      <c r="K30" s="31" t="n">
        <v>7303</v>
      </c>
      <c r="L30" s="31" t="n">
        <v>16594</v>
      </c>
      <c r="M30" s="31" t="n">
        <v>14526</v>
      </c>
      <c r="N30" s="28" t="n">
        <v>14091</v>
      </c>
      <c r="O30" s="28" t="n">
        <v>14730</v>
      </c>
      <c r="P30" s="28" t="n">
        <v>14091</v>
      </c>
      <c r="Q30" s="28" t="n">
        <v>13450</v>
      </c>
      <c r="R30" s="28" t="n">
        <v>12810</v>
      </c>
      <c r="S30" s="28" t="n">
        <v>12169</v>
      </c>
      <c r="T30" s="28" t="n">
        <v>11529</v>
      </c>
      <c r="U30" s="29">
        <f>SUM(I30:T30)</f>
        <v/>
      </c>
    </row>
    <row r="31">
      <c r="A31" s="27" t="inlineStr">
        <is>
          <t>FORECAST_2024F6</t>
        </is>
      </c>
      <c r="B31" s="27" t="inlineStr">
        <is>
          <t>AMUS</t>
        </is>
      </c>
      <c r="C31" s="27" t="inlineStr">
        <is>
          <t>USD</t>
        </is>
      </c>
      <c r="D31" s="27" t="inlineStr">
        <is>
          <t>6060</t>
        </is>
      </c>
      <c r="E31" s="27" t="inlineStr">
        <is>
          <t>Utilities</t>
        </is>
      </c>
      <c r="F31" s="27" t="inlineStr">
        <is>
          <t>OpEx</t>
        </is>
      </c>
      <c r="G31" s="27" t="inlineStr">
        <is>
          <t>SALES</t>
        </is>
      </c>
      <c r="H31" s="27" t="inlineStr">
        <is>
          <t>SALES</t>
        </is>
      </c>
      <c r="I31" s="31" t="n">
        <v>9546</v>
      </c>
      <c r="J31" s="31" t="n">
        <v>10741</v>
      </c>
      <c r="K31" s="31" t="n">
        <v>10870</v>
      </c>
      <c r="L31" s="31" t="n">
        <v>12124</v>
      </c>
      <c r="M31" s="31" t="n">
        <v>13167</v>
      </c>
      <c r="N31" s="28" t="n">
        <v>13664</v>
      </c>
      <c r="O31" s="28" t="n">
        <v>14284</v>
      </c>
      <c r="P31" s="28" t="n">
        <v>13664</v>
      </c>
      <c r="Q31" s="28" t="n">
        <v>13042</v>
      </c>
      <c r="R31" s="28" t="n">
        <v>12421</v>
      </c>
      <c r="S31" s="28" t="n">
        <v>11800</v>
      </c>
      <c r="T31" s="28" t="n">
        <v>11179</v>
      </c>
      <c r="U31" s="29">
        <f>SUM(I31:T31)</f>
        <v/>
      </c>
    </row>
    <row r="32">
      <c r="E32" s="4" t="inlineStr">
        <is>
          <t>Net Income</t>
        </is>
      </c>
      <c r="I32" s="29">
        <f>SUM(I23:I31)</f>
        <v/>
      </c>
      <c r="J32" s="29">
        <f>SUM(J23:J31)</f>
        <v/>
      </c>
      <c r="K32" s="29">
        <f>SUM(K23:K31)</f>
        <v/>
      </c>
      <c r="L32" s="29">
        <f>SUM(L23:L31)</f>
        <v/>
      </c>
      <c r="M32" s="29">
        <f>SUM(M23:M31)</f>
        <v/>
      </c>
      <c r="N32" s="29">
        <f>SUM(N23:N31)</f>
        <v/>
      </c>
      <c r="O32" s="29">
        <f>SUM(O23:O31)</f>
        <v/>
      </c>
      <c r="P32" s="29">
        <f>SUM(P23:P31)</f>
        <v/>
      </c>
      <c r="Q32" s="29">
        <f>SUM(Q23:Q31)</f>
        <v/>
      </c>
      <c r="R32" s="29">
        <f>SUM(R23:R31)</f>
        <v/>
      </c>
      <c r="S32" s="29">
        <f>SUM(S23:S31)</f>
        <v/>
      </c>
      <c r="T32" s="29">
        <f>SUM(T23:T31)</f>
        <v/>
      </c>
      <c r="U32" s="29">
        <f>SUM(U23:U31)</f>
        <v/>
      </c>
    </row>
    <row r="34">
      <c r="A34" s="24" t="inlineStr">
        <is>
          <t>AMDE</t>
        </is>
      </c>
      <c r="B34" s="24" t="inlineStr">
        <is>
          <t>Alpine Manufacturing DE</t>
        </is>
      </c>
      <c r="C34" s="24" t="inlineStr">
        <is>
          <t>EUR</t>
        </is>
      </c>
      <c r="D34" s="24" t="n"/>
      <c r="E34" s="25" t="n"/>
      <c r="F34" s="25" t="n"/>
      <c r="G34" s="25" t="n"/>
      <c r="H34" s="25" t="n"/>
      <c r="I34" s="25" t="n"/>
      <c r="J34" s="25" t="n"/>
      <c r="K34" s="25" t="n"/>
      <c r="L34" s="25" t="n"/>
      <c r="M34" s="25" t="n"/>
      <c r="N34" s="25" t="n"/>
      <c r="O34" s="25" t="n"/>
      <c r="P34" s="25" t="n"/>
      <c r="Q34" s="25" t="n"/>
      <c r="R34" s="25" t="n"/>
      <c r="S34" s="25" t="n"/>
      <c r="T34" s="26" t="n"/>
      <c r="U34" s="24" t="n"/>
    </row>
    <row r="35">
      <c r="A35" s="27" t="inlineStr">
        <is>
          <t>FORECAST_2024F6</t>
        </is>
      </c>
      <c r="B35" s="27" t="inlineStr">
        <is>
          <t>AMDE</t>
        </is>
      </c>
      <c r="C35" s="27" t="inlineStr">
        <is>
          <t>EUR</t>
        </is>
      </c>
      <c r="D35" s="27" t="inlineStr">
        <is>
          <t>4010</t>
        </is>
      </c>
      <c r="E35" s="27" t="inlineStr">
        <is>
          <t>Product Revenue</t>
        </is>
      </c>
      <c r="F35" s="27" t="inlineStr">
        <is>
          <t>Revenue</t>
        </is>
      </c>
      <c r="G35" s="27" t="inlineStr">
        <is>
          <t>PROD</t>
        </is>
      </c>
      <c r="H35" s="27" t="inlineStr">
        <is>
          <t>OPS</t>
        </is>
      </c>
      <c r="I35" s="31" t="n">
        <v>-537376</v>
      </c>
      <c r="J35" s="31" t="n">
        <v>-504819</v>
      </c>
      <c r="K35" s="31" t="n">
        <v>-579510</v>
      </c>
      <c r="L35" s="31" t="n">
        <v>-578645</v>
      </c>
      <c r="M35" s="31" t="n">
        <v>-611928</v>
      </c>
      <c r="N35" s="28" t="n">
        <v>-682032</v>
      </c>
      <c r="O35" s="28" t="n">
        <v>-713033</v>
      </c>
      <c r="P35" s="28" t="n">
        <v>-682032</v>
      </c>
      <c r="Q35" s="28" t="n">
        <v>-651030</v>
      </c>
      <c r="R35" s="28" t="n">
        <v>-620029</v>
      </c>
      <c r="S35" s="28" t="n">
        <v>-589027</v>
      </c>
      <c r="T35" s="28" t="n">
        <v>-558026</v>
      </c>
      <c r="U35" s="29">
        <f>SUM(I35:T35)</f>
        <v/>
      </c>
    </row>
    <row r="36">
      <c r="A36" s="27" t="inlineStr">
        <is>
          <t>FORECAST_2024F6</t>
        </is>
      </c>
      <c r="B36" s="27" t="inlineStr">
        <is>
          <t>AMDE</t>
        </is>
      </c>
      <c r="C36" s="27" t="inlineStr">
        <is>
          <t>EUR</t>
        </is>
      </c>
      <c r="D36" s="27" t="inlineStr">
        <is>
          <t>4020</t>
        </is>
      </c>
      <c r="E36" s="27" t="inlineStr">
        <is>
          <t>Service Revenue</t>
        </is>
      </c>
      <c r="F36" s="27" t="inlineStr">
        <is>
          <t>Revenue</t>
        </is>
      </c>
      <c r="G36" s="27" t="inlineStr">
        <is>
          <t>PROD</t>
        </is>
      </c>
      <c r="H36" s="27" t="inlineStr">
        <is>
          <t>OPS</t>
        </is>
      </c>
      <c r="I36" s="31" t="n">
        <v>-64098</v>
      </c>
      <c r="J36" s="31" t="n">
        <v>-74179</v>
      </c>
      <c r="K36" s="31" t="n">
        <v>-79954</v>
      </c>
      <c r="L36" s="31" t="n">
        <v>-71627</v>
      </c>
      <c r="M36" s="31" t="n">
        <v>-85814</v>
      </c>
      <c r="N36" s="28" t="n">
        <v>-86266</v>
      </c>
      <c r="O36" s="28" t="n">
        <v>-90188</v>
      </c>
      <c r="P36" s="28" t="n">
        <v>-86266</v>
      </c>
      <c r="Q36" s="28" t="n">
        <v>-82345</v>
      </c>
      <c r="R36" s="28" t="n">
        <v>-78424</v>
      </c>
      <c r="S36" s="28" t="n">
        <v>-74503</v>
      </c>
      <c r="T36" s="28" t="n">
        <v>-70581</v>
      </c>
      <c r="U36" s="29">
        <f>SUM(I36:T36)</f>
        <v/>
      </c>
    </row>
    <row r="37">
      <c r="A37" s="27" t="inlineStr">
        <is>
          <t>FORECAST_2024F6</t>
        </is>
      </c>
      <c r="B37" s="27" t="inlineStr">
        <is>
          <t>AMDE</t>
        </is>
      </c>
      <c r="C37" s="27" t="inlineStr">
        <is>
          <t>EUR</t>
        </is>
      </c>
      <c r="D37" s="27" t="inlineStr">
        <is>
          <t>5010</t>
        </is>
      </c>
      <c r="E37" s="27" t="inlineStr">
        <is>
          <t>Cost of Goods Sold</t>
        </is>
      </c>
      <c r="F37" s="27" t="inlineStr">
        <is>
          <t>COGS</t>
        </is>
      </c>
      <c r="G37" s="27" t="inlineStr">
        <is>
          <t>PROD</t>
        </is>
      </c>
      <c r="H37" s="27" t="inlineStr">
        <is>
          <t>OPS</t>
        </is>
      </c>
      <c r="I37" s="31" t="n">
        <v>206390</v>
      </c>
      <c r="J37" s="31" t="n">
        <v>245321</v>
      </c>
      <c r="K37" s="31" t="n">
        <v>235091</v>
      </c>
      <c r="L37" s="31" t="n">
        <v>248320</v>
      </c>
      <c r="M37" s="31" t="n">
        <v>263337</v>
      </c>
      <c r="N37" s="28" t="n">
        <v>281328</v>
      </c>
      <c r="O37" s="28" t="n">
        <v>294116</v>
      </c>
      <c r="P37" s="28" t="n">
        <v>281328</v>
      </c>
      <c r="Q37" s="28" t="n">
        <v>268541</v>
      </c>
      <c r="R37" s="28" t="n">
        <v>255753</v>
      </c>
      <c r="S37" s="28" t="n">
        <v>242965</v>
      </c>
      <c r="T37" s="28" t="n">
        <v>230178</v>
      </c>
      <c r="U37" s="29">
        <f>SUM(I37:T37)</f>
        <v/>
      </c>
    </row>
    <row r="38">
      <c r="A38" s="27" t="inlineStr">
        <is>
          <t>FORECAST_2024F6</t>
        </is>
      </c>
      <c r="B38" s="27" t="inlineStr">
        <is>
          <t>AMDE</t>
        </is>
      </c>
      <c r="C38" s="27" t="inlineStr">
        <is>
          <t>EUR</t>
        </is>
      </c>
      <c r="D38" s="27" t="inlineStr">
        <is>
          <t>6010</t>
        </is>
      </c>
      <c r="E38" s="27" t="inlineStr">
        <is>
          <t>Salaries and Wages</t>
        </is>
      </c>
      <c r="F38" s="27" t="inlineStr">
        <is>
          <t>OpEx</t>
        </is>
      </c>
      <c r="G38" s="27" t="inlineStr">
        <is>
          <t>PROD</t>
        </is>
      </c>
      <c r="H38" s="27" t="inlineStr">
        <is>
          <t>OPS</t>
        </is>
      </c>
      <c r="I38" s="31" t="n">
        <v>131500</v>
      </c>
      <c r="J38" s="31" t="n">
        <v>128612</v>
      </c>
      <c r="K38" s="31" t="n">
        <v>127329</v>
      </c>
      <c r="L38" s="31" t="n">
        <v>141670</v>
      </c>
      <c r="M38" s="31" t="n">
        <v>150906</v>
      </c>
      <c r="N38" s="28" t="n">
        <v>164274</v>
      </c>
      <c r="O38" s="28" t="n">
        <v>171741</v>
      </c>
      <c r="P38" s="28" t="n">
        <v>164274</v>
      </c>
      <c r="Q38" s="28" t="n">
        <v>156807</v>
      </c>
      <c r="R38" s="28" t="n">
        <v>149340</v>
      </c>
      <c r="S38" s="28" t="n">
        <v>141873</v>
      </c>
      <c r="T38" s="28" t="n">
        <v>134406</v>
      </c>
      <c r="U38" s="29">
        <f>SUM(I38:T38)</f>
        <v/>
      </c>
    </row>
    <row r="39">
      <c r="A39" s="27" t="inlineStr">
        <is>
          <t>FORECAST_2024F6</t>
        </is>
      </c>
      <c r="B39" s="27" t="inlineStr">
        <is>
          <t>AMDE</t>
        </is>
      </c>
      <c r="C39" s="27" t="inlineStr">
        <is>
          <t>EUR</t>
        </is>
      </c>
      <c r="D39" s="27" t="inlineStr">
        <is>
          <t>6020</t>
        </is>
      </c>
      <c r="E39" s="27" t="inlineStr">
        <is>
          <t>Rent Expense</t>
        </is>
      </c>
      <c r="F39" s="27" t="inlineStr">
        <is>
          <t>OpEx</t>
        </is>
      </c>
      <c r="G39" s="27" t="inlineStr">
        <is>
          <t>PROD</t>
        </is>
      </c>
      <c r="H39" s="27" t="inlineStr">
        <is>
          <t>OPS</t>
        </is>
      </c>
      <c r="I39" s="31" t="n">
        <v>21662</v>
      </c>
      <c r="J39" s="31" t="n">
        <v>21284</v>
      </c>
      <c r="K39" s="31" t="n">
        <v>21526</v>
      </c>
      <c r="L39" s="31" t="n">
        <v>23333</v>
      </c>
      <c r="M39" s="31" t="n">
        <v>23917</v>
      </c>
      <c r="N39" s="28" t="n">
        <v>27192</v>
      </c>
      <c r="O39" s="28" t="n">
        <v>28428</v>
      </c>
      <c r="P39" s="28" t="n">
        <v>27192</v>
      </c>
      <c r="Q39" s="28" t="n">
        <v>25956</v>
      </c>
      <c r="R39" s="28" t="n">
        <v>24720</v>
      </c>
      <c r="S39" s="28" t="n">
        <v>23484</v>
      </c>
      <c r="T39" s="28" t="n">
        <v>22248</v>
      </c>
      <c r="U39" s="29">
        <f>SUM(I39:T39)</f>
        <v/>
      </c>
    </row>
    <row r="40">
      <c r="A40" s="27" t="inlineStr">
        <is>
          <t>FORECAST_2024F6</t>
        </is>
      </c>
      <c r="B40" s="27" t="inlineStr">
        <is>
          <t>AMDE</t>
        </is>
      </c>
      <c r="C40" s="27" t="inlineStr">
        <is>
          <t>EUR</t>
        </is>
      </c>
      <c r="D40" s="27" t="inlineStr">
        <is>
          <t>6030</t>
        </is>
      </c>
      <c r="E40" s="27" t="inlineStr">
        <is>
          <t>Depreciation Expense</t>
        </is>
      </c>
      <c r="F40" s="27" t="inlineStr">
        <is>
          <t>OpEx</t>
        </is>
      </c>
      <c r="G40" s="27" t="inlineStr">
        <is>
          <t>PROD</t>
        </is>
      </c>
      <c r="H40" s="27" t="inlineStr">
        <is>
          <t>OPS</t>
        </is>
      </c>
      <c r="I40" s="31" t="n">
        <v>15714</v>
      </c>
      <c r="J40" s="31" t="n">
        <v>17172</v>
      </c>
      <c r="K40" s="31" t="n">
        <v>17787</v>
      </c>
      <c r="L40" s="31" t="n">
        <v>17302</v>
      </c>
      <c r="M40" s="31" t="n">
        <v>19135</v>
      </c>
      <c r="N40" s="28" t="n">
        <v>20778</v>
      </c>
      <c r="O40" s="28" t="n">
        <v>21722</v>
      </c>
      <c r="P40" s="28" t="n">
        <v>20778</v>
      </c>
      <c r="Q40" s="28" t="n">
        <v>19833</v>
      </c>
      <c r="R40" s="28" t="n">
        <v>18889</v>
      </c>
      <c r="S40" s="28" t="n">
        <v>17945</v>
      </c>
      <c r="T40" s="28" t="n">
        <v>17000</v>
      </c>
      <c r="U40" s="29">
        <f>SUM(I40:T40)</f>
        <v/>
      </c>
    </row>
    <row r="41">
      <c r="A41" s="27" t="inlineStr">
        <is>
          <t>FORECAST_2024F6</t>
        </is>
      </c>
      <c r="B41" s="27" t="inlineStr">
        <is>
          <t>AMDE</t>
        </is>
      </c>
      <c r="C41" s="27" t="inlineStr">
        <is>
          <t>EUR</t>
        </is>
      </c>
      <c r="D41" s="27" t="inlineStr">
        <is>
          <t>6040</t>
        </is>
      </c>
      <c r="E41" s="27" t="inlineStr">
        <is>
          <t>Marketing Expense</t>
        </is>
      </c>
      <c r="F41" s="27" t="inlineStr">
        <is>
          <t>OpEx</t>
        </is>
      </c>
      <c r="G41" s="27" t="inlineStr">
        <is>
          <t>PROD</t>
        </is>
      </c>
      <c r="H41" s="27" t="inlineStr">
        <is>
          <t>OPS</t>
        </is>
      </c>
      <c r="I41" s="31" t="n">
        <v>20032</v>
      </c>
      <c r="J41" s="31" t="n">
        <v>11875</v>
      </c>
      <c r="K41" s="31" t="n">
        <v>22213</v>
      </c>
      <c r="L41" s="31" t="n">
        <v>15609</v>
      </c>
      <c r="M41" s="31" t="n">
        <v>24626</v>
      </c>
      <c r="N41" s="28" t="n">
        <v>21617</v>
      </c>
      <c r="O41" s="28" t="n">
        <v>22599</v>
      </c>
      <c r="P41" s="28" t="n">
        <v>21617</v>
      </c>
      <c r="Q41" s="28" t="n">
        <v>20634</v>
      </c>
      <c r="R41" s="28" t="n">
        <v>19652</v>
      </c>
      <c r="S41" s="28" t="n">
        <v>18669</v>
      </c>
      <c r="T41" s="28" t="n">
        <v>17686</v>
      </c>
      <c r="U41" s="29">
        <f>SUM(I41:T41)</f>
        <v/>
      </c>
    </row>
    <row r="42">
      <c r="A42" s="27" t="inlineStr">
        <is>
          <t>FORECAST_2024F6</t>
        </is>
      </c>
      <c r="B42" s="27" t="inlineStr">
        <is>
          <t>AMDE</t>
        </is>
      </c>
      <c r="C42" s="27" t="inlineStr">
        <is>
          <t>EUR</t>
        </is>
      </c>
      <c r="D42" s="27" t="inlineStr">
        <is>
          <t>6050</t>
        </is>
      </c>
      <c r="E42" s="27" t="inlineStr">
        <is>
          <t>Travel Expense</t>
        </is>
      </c>
      <c r="F42" s="27" t="inlineStr">
        <is>
          <t>OpEx</t>
        </is>
      </c>
      <c r="G42" s="27" t="inlineStr">
        <is>
          <t>PROD</t>
        </is>
      </c>
      <c r="H42" s="27" t="inlineStr">
        <is>
          <t>OPS</t>
        </is>
      </c>
      <c r="I42" s="31" t="n">
        <v>5458</v>
      </c>
      <c r="J42" s="31" t="n">
        <v>6961</v>
      </c>
      <c r="K42" s="31" t="n">
        <v>11589</v>
      </c>
      <c r="L42" s="31" t="n">
        <v>9440</v>
      </c>
      <c r="M42" s="31" t="n">
        <v>9574</v>
      </c>
      <c r="N42" s="28" t="n">
        <v>10327</v>
      </c>
      <c r="O42" s="28" t="n">
        <v>10796</v>
      </c>
      <c r="P42" s="28" t="n">
        <v>10327</v>
      </c>
      <c r="Q42" s="28" t="n">
        <v>9858</v>
      </c>
      <c r="R42" s="28" t="n">
        <v>9388</v>
      </c>
      <c r="S42" s="28" t="n">
        <v>8919</v>
      </c>
      <c r="T42" s="28" t="n">
        <v>8449</v>
      </c>
      <c r="U42" s="29">
        <f>SUM(I42:T42)</f>
        <v/>
      </c>
    </row>
    <row r="43">
      <c r="A43" s="27" t="inlineStr">
        <is>
          <t>FORECAST_2024F6</t>
        </is>
      </c>
      <c r="B43" s="27" t="inlineStr">
        <is>
          <t>AMDE</t>
        </is>
      </c>
      <c r="C43" s="27" t="inlineStr">
        <is>
          <t>EUR</t>
        </is>
      </c>
      <c r="D43" s="27" t="inlineStr">
        <is>
          <t>6060</t>
        </is>
      </c>
      <c r="E43" s="27" t="inlineStr">
        <is>
          <t>Utilities</t>
        </is>
      </c>
      <c r="F43" s="27" t="inlineStr">
        <is>
          <t>OpEx</t>
        </is>
      </c>
      <c r="G43" s="27" t="inlineStr">
        <is>
          <t>PROD</t>
        </is>
      </c>
      <c r="H43" s="27" t="inlineStr">
        <is>
          <t>OPS</t>
        </is>
      </c>
      <c r="I43" s="31" t="n">
        <v>7898</v>
      </c>
      <c r="J43" s="31" t="n">
        <v>8153</v>
      </c>
      <c r="K43" s="31" t="n">
        <v>9026</v>
      </c>
      <c r="L43" s="31" t="n">
        <v>8487</v>
      </c>
      <c r="M43" s="31" t="n">
        <v>9574</v>
      </c>
      <c r="N43" s="28" t="n">
        <v>10340</v>
      </c>
      <c r="O43" s="28" t="n">
        <v>10810</v>
      </c>
      <c r="P43" s="28" t="n">
        <v>10340</v>
      </c>
      <c r="Q43" s="28" t="n">
        <v>9870</v>
      </c>
      <c r="R43" s="28" t="n">
        <v>9400</v>
      </c>
      <c r="S43" s="28" t="n">
        <v>8930</v>
      </c>
      <c r="T43" s="28" t="n">
        <v>8460</v>
      </c>
      <c r="U43" s="29">
        <f>SUM(I43:T43)</f>
        <v/>
      </c>
    </row>
    <row r="44">
      <c r="E44" s="4" t="inlineStr">
        <is>
          <t>Net Income</t>
        </is>
      </c>
      <c r="I44" s="29">
        <f>SUM(I35:I43)</f>
        <v/>
      </c>
      <c r="J44" s="29">
        <f>SUM(J35:J43)</f>
        <v/>
      </c>
      <c r="K44" s="29">
        <f>SUM(K35:K43)</f>
        <v/>
      </c>
      <c r="L44" s="29">
        <f>SUM(L35:L43)</f>
        <v/>
      </c>
      <c r="M44" s="29">
        <f>SUM(M35:M43)</f>
        <v/>
      </c>
      <c r="N44" s="29">
        <f>SUM(N35:N43)</f>
        <v/>
      </c>
      <c r="O44" s="29">
        <f>SUM(O35:O43)</f>
        <v/>
      </c>
      <c r="P44" s="29">
        <f>SUM(P35:P43)</f>
        <v/>
      </c>
      <c r="Q44" s="29">
        <f>SUM(Q35:Q43)</f>
        <v/>
      </c>
      <c r="R44" s="29">
        <f>SUM(R35:R43)</f>
        <v/>
      </c>
      <c r="S44" s="29">
        <f>SUM(S35:S43)</f>
        <v/>
      </c>
      <c r="T44" s="29">
        <f>SUM(T35:T43)</f>
        <v/>
      </c>
      <c r="U44" s="29">
        <f>SUM(U35:U43)</f>
        <v/>
      </c>
    </row>
  </sheetData>
  <mergeCells count="3">
    <mergeCell ref="D34:T34"/>
    <mergeCell ref="D22:T22"/>
    <mergeCell ref="D10:T10"/>
  </mergeCell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U44"/>
  <sheetViews>
    <sheetView workbookViewId="0">
      <pane xSplit="8" ySplit="9" topLeftCell="I10"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0" customWidth="1" min="3" max="3"/>
    <col width="10" customWidth="1" min="4" max="4"/>
    <col width="22" customWidth="1" min="5" max="5"/>
    <col width="12" customWidth="1" min="6" max="6"/>
    <col width="14" customWidth="1" min="7" max="7"/>
    <col width="14"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4" customWidth="1" min="21" max="21"/>
  </cols>
  <sheetData>
    <row r="1">
      <c r="A1" s="20" t="inlineStr">
        <is>
          <t>Scenario:</t>
        </is>
      </c>
      <c r="B1" s="21" t="inlineStr">
        <is>
          <t>Forecast 2024 - Jul</t>
        </is>
      </c>
    </row>
    <row r="2">
      <c r="A2" s="20" t="inlineStr">
        <is>
          <t>Scenario ID:</t>
        </is>
      </c>
      <c r="B2" s="21" t="inlineStr">
        <is>
          <t>FORECAST_2024F7</t>
        </is>
      </c>
    </row>
    <row r="3">
      <c r="A3" s="20" t="inlineStr">
        <is>
          <t>Type:</t>
        </is>
      </c>
      <c r="B3" s="21" t="inlineStr">
        <is>
          <t>forecast</t>
        </is>
      </c>
    </row>
    <row r="4">
      <c r="A4" s="20" t="inlineStr">
        <is>
          <t>Fiscal Year:</t>
        </is>
      </c>
      <c r="B4" s="21" t="n">
        <v>2024</v>
      </c>
    </row>
    <row r="5">
      <c r="A5" s="20" t="inlineStr">
        <is>
          <t>Layer:</t>
        </is>
      </c>
      <c r="B5" s="21" t="inlineStr">
        <is>
          <t>base</t>
        </is>
      </c>
    </row>
    <row r="6">
      <c r="A6" s="20" t="inlineStr">
        <is>
          <t>Actual months:</t>
        </is>
      </c>
      <c r="B6" s="30" t="inlineStr">
        <is>
          <t>1-6 (yellow = actuals, white = editable forecast)</t>
        </is>
      </c>
    </row>
    <row r="7">
      <c r="A7" s="20" t="inlineStr">
        <is>
          <t>Usage:</t>
        </is>
      </c>
      <c r="B7" s="22" t="inlineStr">
        <is>
          <t>Edit white cells, then press Ctrl+Shift+R or F9 to save to server</t>
        </is>
      </c>
    </row>
    <row r="9">
      <c r="A9" s="23" t="inlineStr">
        <is>
          <t>Scenario ID</t>
        </is>
      </c>
      <c r="B9" s="23" t="inlineStr">
        <is>
          <t>Entity</t>
        </is>
      </c>
      <c r="C9" s="23" t="inlineStr">
        <is>
          <t>Currency</t>
        </is>
      </c>
      <c r="D9" s="23" t="inlineStr">
        <is>
          <t>Account</t>
        </is>
      </c>
      <c r="E9" s="23" t="inlineStr">
        <is>
          <t>Account Name</t>
        </is>
      </c>
      <c r="F9" s="23" t="inlineStr">
        <is>
          <t>Category</t>
        </is>
      </c>
      <c r="G9" s="23" t="inlineStr">
        <is>
          <t>Cost Center</t>
        </is>
      </c>
      <c r="H9" s="23" t="inlineStr">
        <is>
          <t>Department</t>
        </is>
      </c>
      <c r="I9" s="23" t="inlineStr">
        <is>
          <t>Jan</t>
        </is>
      </c>
      <c r="J9" s="23" t="inlineStr">
        <is>
          <t>Feb</t>
        </is>
      </c>
      <c r="K9" s="23" t="inlineStr">
        <is>
          <t>Mar</t>
        </is>
      </c>
      <c r="L9" s="23" t="inlineStr">
        <is>
          <t>Apr</t>
        </is>
      </c>
      <c r="M9" s="23" t="inlineStr">
        <is>
          <t>May</t>
        </is>
      </c>
      <c r="N9" s="23" t="inlineStr">
        <is>
          <t>Jun</t>
        </is>
      </c>
      <c r="O9" s="23" t="inlineStr">
        <is>
          <t>Jul</t>
        </is>
      </c>
      <c r="P9" s="23" t="inlineStr">
        <is>
          <t>Aug</t>
        </is>
      </c>
      <c r="Q9" s="23" t="inlineStr">
        <is>
          <t>Sep</t>
        </is>
      </c>
      <c r="R9" s="23" t="inlineStr">
        <is>
          <t>Oct</t>
        </is>
      </c>
      <c r="S9" s="23" t="inlineStr">
        <is>
          <t>Nov</t>
        </is>
      </c>
      <c r="T9" s="23" t="inlineStr">
        <is>
          <t>Dec</t>
        </is>
      </c>
      <c r="U9" s="23" t="inlineStr">
        <is>
          <t>Annual Total</t>
        </is>
      </c>
    </row>
    <row r="10">
      <c r="A10" s="24" t="inlineStr">
        <is>
          <t>AMHQ</t>
        </is>
      </c>
      <c r="B10" s="24" t="inlineStr">
        <is>
          <t>Alpine Manufacturing HQ</t>
        </is>
      </c>
      <c r="C10" s="24" t="inlineStr">
        <is>
          <t>CHF</t>
        </is>
      </c>
      <c r="D10" s="24" t="n"/>
      <c r="E10" s="25" t="n"/>
      <c r="F10" s="25" t="n"/>
      <c r="G10" s="25" t="n"/>
      <c r="H10" s="25" t="n"/>
      <c r="I10" s="25" t="n"/>
      <c r="J10" s="25" t="n"/>
      <c r="K10" s="25" t="n"/>
      <c r="L10" s="25" t="n"/>
      <c r="M10" s="25" t="n"/>
      <c r="N10" s="25" t="n"/>
      <c r="O10" s="25" t="n"/>
      <c r="P10" s="25" t="n"/>
      <c r="Q10" s="25" t="n"/>
      <c r="R10" s="25" t="n"/>
      <c r="S10" s="25" t="n"/>
      <c r="T10" s="26" t="n"/>
      <c r="U10" s="24" t="n"/>
    </row>
    <row r="11">
      <c r="A11" s="27" t="inlineStr">
        <is>
          <t>FORECAST_2024F7</t>
        </is>
      </c>
      <c r="B11" s="27" t="inlineStr">
        <is>
          <t>AMHQ</t>
        </is>
      </c>
      <c r="C11" s="27" t="inlineStr">
        <is>
          <t>CHF</t>
        </is>
      </c>
      <c r="D11" s="27" t="inlineStr">
        <is>
          <t>4010</t>
        </is>
      </c>
      <c r="E11" s="27" t="inlineStr">
        <is>
          <t>Product Revenue</t>
        </is>
      </c>
      <c r="F11" s="27" t="inlineStr">
        <is>
          <t>Revenue</t>
        </is>
      </c>
      <c r="G11" s="27" t="inlineStr">
        <is>
          <t>HQ</t>
        </is>
      </c>
      <c r="H11" s="27" t="inlineStr">
        <is>
          <t>MGMT</t>
        </is>
      </c>
      <c r="I11" s="31" t="n">
        <v>-401274</v>
      </c>
      <c r="J11" s="31" t="n">
        <v>-431449</v>
      </c>
      <c r="K11" s="31" t="n">
        <v>-454383</v>
      </c>
      <c r="L11" s="31" t="n">
        <v>-513803</v>
      </c>
      <c r="M11" s="31" t="n">
        <v>-541319</v>
      </c>
      <c r="N11" s="31" t="n">
        <v>-567707</v>
      </c>
      <c r="O11" s="28" t="n">
        <v>-596519</v>
      </c>
      <c r="P11" s="28" t="n">
        <v>-570583</v>
      </c>
      <c r="Q11" s="28" t="n">
        <v>-544648</v>
      </c>
      <c r="R11" s="28" t="n">
        <v>-518712</v>
      </c>
      <c r="S11" s="28" t="n">
        <v>-492776</v>
      </c>
      <c r="T11" s="28" t="n">
        <v>-466841</v>
      </c>
      <c r="U11" s="29">
        <f>SUM(I11:T11)</f>
        <v/>
      </c>
    </row>
    <row r="12">
      <c r="A12" s="27" t="inlineStr">
        <is>
          <t>FORECAST_2024F7</t>
        </is>
      </c>
      <c r="B12" s="27" t="inlineStr">
        <is>
          <t>AMHQ</t>
        </is>
      </c>
      <c r="C12" s="27" t="inlineStr">
        <is>
          <t>CHF</t>
        </is>
      </c>
      <c r="D12" s="27" t="inlineStr">
        <is>
          <t>4020</t>
        </is>
      </c>
      <c r="E12" s="27" t="inlineStr">
        <is>
          <t>Service Revenue</t>
        </is>
      </c>
      <c r="F12" s="27" t="inlineStr">
        <is>
          <t>Revenue</t>
        </is>
      </c>
      <c r="G12" s="27" t="inlineStr">
        <is>
          <t>HQ</t>
        </is>
      </c>
      <c r="H12" s="27" t="inlineStr">
        <is>
          <t>MGMT</t>
        </is>
      </c>
      <c r="I12" s="31" t="n">
        <v>-46275</v>
      </c>
      <c r="J12" s="31" t="n">
        <v>-49792</v>
      </c>
      <c r="K12" s="31" t="n">
        <v>-60240</v>
      </c>
      <c r="L12" s="31" t="n">
        <v>-48390</v>
      </c>
      <c r="M12" s="31" t="n">
        <v>-55926</v>
      </c>
      <c r="N12" s="31" t="n">
        <v>-69257</v>
      </c>
      <c r="O12" s="28" t="n">
        <v>-69684</v>
      </c>
      <c r="P12" s="28" t="n">
        <v>-66654</v>
      </c>
      <c r="Q12" s="28" t="n">
        <v>-63624</v>
      </c>
      <c r="R12" s="28" t="n">
        <v>-60594</v>
      </c>
      <c r="S12" s="28" t="n">
        <v>-57565</v>
      </c>
      <c r="T12" s="28" t="n">
        <v>-54535</v>
      </c>
      <c r="U12" s="29">
        <f>SUM(I12:T12)</f>
        <v/>
      </c>
    </row>
    <row r="13">
      <c r="A13" s="27" t="inlineStr">
        <is>
          <t>FORECAST_2024F7</t>
        </is>
      </c>
      <c r="B13" s="27" t="inlineStr">
        <is>
          <t>AMHQ</t>
        </is>
      </c>
      <c r="C13" s="27" t="inlineStr">
        <is>
          <t>CHF</t>
        </is>
      </c>
      <c r="D13" s="27" t="inlineStr">
        <is>
          <t>5010</t>
        </is>
      </c>
      <c r="E13" s="27" t="inlineStr">
        <is>
          <t>Cost of Goods Sold</t>
        </is>
      </c>
      <c r="F13" s="27" t="inlineStr">
        <is>
          <t>COGS</t>
        </is>
      </c>
      <c r="G13" s="27" t="inlineStr">
        <is>
          <t>HQ</t>
        </is>
      </c>
      <c r="H13" s="27" t="inlineStr">
        <is>
          <t>MGMT</t>
        </is>
      </c>
      <c r="I13" s="31" t="n">
        <v>161896</v>
      </c>
      <c r="J13" s="31" t="n">
        <v>179569</v>
      </c>
      <c r="K13" s="31" t="n">
        <v>187231</v>
      </c>
      <c r="L13" s="31" t="n">
        <v>201732</v>
      </c>
      <c r="M13" s="31" t="n">
        <v>232446</v>
      </c>
      <c r="N13" s="31" t="n">
        <v>238522</v>
      </c>
      <c r="O13" s="28" t="n">
        <v>242285</v>
      </c>
      <c r="P13" s="28" t="n">
        <v>231751</v>
      </c>
      <c r="Q13" s="28" t="n">
        <v>221217</v>
      </c>
      <c r="R13" s="28" t="n">
        <v>210683</v>
      </c>
      <c r="S13" s="28" t="n">
        <v>200149</v>
      </c>
      <c r="T13" s="28" t="n">
        <v>189615</v>
      </c>
      <c r="U13" s="29">
        <f>SUM(I13:T13)</f>
        <v/>
      </c>
    </row>
    <row r="14">
      <c r="A14" s="27" t="inlineStr">
        <is>
          <t>FORECAST_2024F7</t>
        </is>
      </c>
      <c r="B14" s="27" t="inlineStr">
        <is>
          <t>AMHQ</t>
        </is>
      </c>
      <c r="C14" s="27" t="inlineStr">
        <is>
          <t>CHF</t>
        </is>
      </c>
      <c r="D14" s="27" t="inlineStr">
        <is>
          <t>6010</t>
        </is>
      </c>
      <c r="E14" s="27" t="inlineStr">
        <is>
          <t>Salaries and Wages</t>
        </is>
      </c>
      <c r="F14" s="27" t="inlineStr">
        <is>
          <t>OpEx</t>
        </is>
      </c>
      <c r="G14" s="27" t="inlineStr">
        <is>
          <t>HQ</t>
        </is>
      </c>
      <c r="H14" s="27" t="inlineStr">
        <is>
          <t>MGMT</t>
        </is>
      </c>
      <c r="I14" s="31" t="n">
        <v>110863</v>
      </c>
      <c r="J14" s="31" t="n">
        <v>106893</v>
      </c>
      <c r="K14" s="31" t="n">
        <v>115735</v>
      </c>
      <c r="L14" s="31" t="n">
        <v>138369</v>
      </c>
      <c r="M14" s="31" t="n">
        <v>128037</v>
      </c>
      <c r="N14" s="31" t="n">
        <v>141274</v>
      </c>
      <c r="O14" s="28" t="n">
        <v>147370</v>
      </c>
      <c r="P14" s="28" t="n">
        <v>140962</v>
      </c>
      <c r="Q14" s="28" t="n">
        <v>134555</v>
      </c>
      <c r="R14" s="28" t="n">
        <v>128147</v>
      </c>
      <c r="S14" s="28" t="n">
        <v>121740</v>
      </c>
      <c r="T14" s="28" t="n">
        <v>115333</v>
      </c>
      <c r="U14" s="29">
        <f>SUM(I14:T14)</f>
        <v/>
      </c>
    </row>
    <row r="15">
      <c r="A15" s="27" t="inlineStr">
        <is>
          <t>FORECAST_2024F7</t>
        </is>
      </c>
      <c r="B15" s="27" t="inlineStr">
        <is>
          <t>AMHQ</t>
        </is>
      </c>
      <c r="C15" s="27" t="inlineStr">
        <is>
          <t>CHF</t>
        </is>
      </c>
      <c r="D15" s="27" t="inlineStr">
        <is>
          <t>6020</t>
        </is>
      </c>
      <c r="E15" s="27" t="inlineStr">
        <is>
          <t>Rent Expense</t>
        </is>
      </c>
      <c r="F15" s="27" t="inlineStr">
        <is>
          <t>OpEx</t>
        </is>
      </c>
      <c r="G15" s="27" t="inlineStr">
        <is>
          <t>HQ</t>
        </is>
      </c>
      <c r="H15" s="27" t="inlineStr">
        <is>
          <t>MGMT</t>
        </is>
      </c>
      <c r="I15" s="31" t="n">
        <v>16900</v>
      </c>
      <c r="J15" s="31" t="n">
        <v>18941</v>
      </c>
      <c r="K15" s="31" t="n">
        <v>19762</v>
      </c>
      <c r="L15" s="31" t="n">
        <v>20344</v>
      </c>
      <c r="M15" s="31" t="n">
        <v>21066</v>
      </c>
      <c r="N15" s="31" t="n">
        <v>21752</v>
      </c>
      <c r="O15" s="28" t="n">
        <v>24093</v>
      </c>
      <c r="P15" s="28" t="n">
        <v>23045</v>
      </c>
      <c r="Q15" s="28" t="n">
        <v>21998</v>
      </c>
      <c r="R15" s="28" t="n">
        <v>20950</v>
      </c>
      <c r="S15" s="28" t="n">
        <v>19903</v>
      </c>
      <c r="T15" s="28" t="n">
        <v>18855</v>
      </c>
      <c r="U15" s="29">
        <f>SUM(I15:T15)</f>
        <v/>
      </c>
    </row>
    <row r="16">
      <c r="A16" s="27" t="inlineStr">
        <is>
          <t>FORECAST_2024F7</t>
        </is>
      </c>
      <c r="B16" s="27" t="inlineStr">
        <is>
          <t>AMHQ</t>
        </is>
      </c>
      <c r="C16" s="27" t="inlineStr">
        <is>
          <t>CHF</t>
        </is>
      </c>
      <c r="D16" s="27" t="inlineStr">
        <is>
          <t>6030</t>
        </is>
      </c>
      <c r="E16" s="27" t="inlineStr">
        <is>
          <t>Depreciation Expense</t>
        </is>
      </c>
      <c r="F16" s="27" t="inlineStr">
        <is>
          <t>OpEx</t>
        </is>
      </c>
      <c r="G16" s="27" t="inlineStr">
        <is>
          <t>HQ</t>
        </is>
      </c>
      <c r="H16" s="27" t="inlineStr">
        <is>
          <t>MGMT</t>
        </is>
      </c>
      <c r="I16" s="31" t="n">
        <v>12861</v>
      </c>
      <c r="J16" s="31" t="n">
        <v>12745</v>
      </c>
      <c r="K16" s="31" t="n">
        <v>13823</v>
      </c>
      <c r="L16" s="31" t="n">
        <v>15074</v>
      </c>
      <c r="M16" s="31" t="n">
        <v>15405</v>
      </c>
      <c r="N16" s="31" t="n">
        <v>16294</v>
      </c>
      <c r="O16" s="28" t="n">
        <v>17787</v>
      </c>
      <c r="P16" s="28" t="n">
        <v>17014</v>
      </c>
      <c r="Q16" s="28" t="n">
        <v>16241</v>
      </c>
      <c r="R16" s="28" t="n">
        <v>15467</v>
      </c>
      <c r="S16" s="28" t="n">
        <v>14694</v>
      </c>
      <c r="T16" s="28" t="n">
        <v>13920</v>
      </c>
      <c r="U16" s="29">
        <f>SUM(I16:T16)</f>
        <v/>
      </c>
    </row>
    <row r="17">
      <c r="A17" s="27" t="inlineStr">
        <is>
          <t>FORECAST_2024F7</t>
        </is>
      </c>
      <c r="B17" s="27" t="inlineStr">
        <is>
          <t>AMHQ</t>
        </is>
      </c>
      <c r="C17" s="27" t="inlineStr">
        <is>
          <t>CHF</t>
        </is>
      </c>
      <c r="D17" s="27" t="inlineStr">
        <is>
          <t>6040</t>
        </is>
      </c>
      <c r="E17" s="27" t="inlineStr">
        <is>
          <t>Marketing Expense</t>
        </is>
      </c>
      <c r="F17" s="27" t="inlineStr">
        <is>
          <t>OpEx</t>
        </is>
      </c>
      <c r="G17" s="27" t="inlineStr">
        <is>
          <t>HQ</t>
        </is>
      </c>
      <c r="H17" s="27" t="inlineStr">
        <is>
          <t>MGMT</t>
        </is>
      </c>
      <c r="I17" s="31" t="n">
        <v>14615</v>
      </c>
      <c r="J17" s="31" t="n">
        <v>15908</v>
      </c>
      <c r="K17" s="31" t="n">
        <v>11479</v>
      </c>
      <c r="L17" s="31" t="n">
        <v>19869</v>
      </c>
      <c r="M17" s="31" t="n">
        <v>11307</v>
      </c>
      <c r="N17" s="31" t="n">
        <v>14970</v>
      </c>
      <c r="O17" s="28" t="n">
        <v>17979</v>
      </c>
      <c r="P17" s="28" t="n">
        <v>17197</v>
      </c>
      <c r="Q17" s="28" t="n">
        <v>16415</v>
      </c>
      <c r="R17" s="28" t="n">
        <v>15634</v>
      </c>
      <c r="S17" s="28" t="n">
        <v>14852</v>
      </c>
      <c r="T17" s="28" t="n">
        <v>14070</v>
      </c>
      <c r="U17" s="29">
        <f>SUM(I17:T17)</f>
        <v/>
      </c>
    </row>
    <row r="18">
      <c r="A18" s="27" t="inlineStr">
        <is>
          <t>FORECAST_2024F7</t>
        </is>
      </c>
      <c r="B18" s="27" t="inlineStr">
        <is>
          <t>AMHQ</t>
        </is>
      </c>
      <c r="C18" s="27" t="inlineStr">
        <is>
          <t>CHF</t>
        </is>
      </c>
      <c r="D18" s="27" t="inlineStr">
        <is>
          <t>6050</t>
        </is>
      </c>
      <c r="E18" s="27" t="inlineStr">
        <is>
          <t>Travel Expense</t>
        </is>
      </c>
      <c r="F18" s="27" t="inlineStr">
        <is>
          <t>OpEx</t>
        </is>
      </c>
      <c r="G18" s="27" t="inlineStr">
        <is>
          <t>HQ</t>
        </is>
      </c>
      <c r="H18" s="27" t="inlineStr">
        <is>
          <t>MGMT</t>
        </is>
      </c>
      <c r="I18" s="31" t="n">
        <v>4923</v>
      </c>
      <c r="J18" s="31" t="n">
        <v>8189</v>
      </c>
      <c r="K18" s="31" t="n">
        <v>9191</v>
      </c>
      <c r="L18" s="31" t="n">
        <v>7916</v>
      </c>
      <c r="M18" s="31" t="n">
        <v>6554</v>
      </c>
      <c r="N18" s="31" t="n">
        <v>6252</v>
      </c>
      <c r="O18" s="28" t="n">
        <v>8886</v>
      </c>
      <c r="P18" s="28" t="n">
        <v>8500</v>
      </c>
      <c r="Q18" s="28" t="n">
        <v>8113</v>
      </c>
      <c r="R18" s="28" t="n">
        <v>7727</v>
      </c>
      <c r="S18" s="28" t="n">
        <v>7340</v>
      </c>
      <c r="T18" s="28" t="n">
        <v>6954</v>
      </c>
      <c r="U18" s="29">
        <f>SUM(I18:T18)</f>
        <v/>
      </c>
    </row>
    <row r="19">
      <c r="A19" s="27" t="inlineStr">
        <is>
          <t>FORECAST_2024F7</t>
        </is>
      </c>
      <c r="B19" s="27" t="inlineStr">
        <is>
          <t>AMHQ</t>
        </is>
      </c>
      <c r="C19" s="27" t="inlineStr">
        <is>
          <t>CHF</t>
        </is>
      </c>
      <c r="D19" s="27" t="inlineStr">
        <is>
          <t>6060</t>
        </is>
      </c>
      <c r="E19" s="27" t="inlineStr">
        <is>
          <t>Utilities</t>
        </is>
      </c>
      <c r="F19" s="27" t="inlineStr">
        <is>
          <t>OpEx</t>
        </is>
      </c>
      <c r="G19" s="27" t="inlineStr">
        <is>
          <t>HQ</t>
        </is>
      </c>
      <c r="H19" s="27" t="inlineStr">
        <is>
          <t>MGMT</t>
        </is>
      </c>
      <c r="I19" s="31" t="n">
        <v>6379</v>
      </c>
      <c r="J19" s="31" t="n">
        <v>6877</v>
      </c>
      <c r="K19" s="31" t="n">
        <v>6749</v>
      </c>
      <c r="L19" s="31" t="n">
        <v>7007</v>
      </c>
      <c r="M19" s="31" t="n">
        <v>7734</v>
      </c>
      <c r="N19" s="31" t="n">
        <v>8358</v>
      </c>
      <c r="O19" s="28" t="n">
        <v>8894</v>
      </c>
      <c r="P19" s="28" t="n">
        <v>8507</v>
      </c>
      <c r="Q19" s="28" t="n">
        <v>8120</v>
      </c>
      <c r="R19" s="28" t="n">
        <v>7734</v>
      </c>
      <c r="S19" s="28" t="n">
        <v>7347</v>
      </c>
      <c r="T19" s="28" t="n">
        <v>6960</v>
      </c>
      <c r="U19" s="29">
        <f>SUM(I19:T19)</f>
        <v/>
      </c>
    </row>
    <row r="20">
      <c r="E20" s="4" t="inlineStr">
        <is>
          <t>Net Income</t>
        </is>
      </c>
      <c r="I20" s="29">
        <f>SUM(I11:I19)</f>
        <v/>
      </c>
      <c r="J20" s="29">
        <f>SUM(J11:J19)</f>
        <v/>
      </c>
      <c r="K20" s="29">
        <f>SUM(K11:K19)</f>
        <v/>
      </c>
      <c r="L20" s="29">
        <f>SUM(L11:L19)</f>
        <v/>
      </c>
      <c r="M20" s="29">
        <f>SUM(M11:M19)</f>
        <v/>
      </c>
      <c r="N20" s="29">
        <f>SUM(N11:N19)</f>
        <v/>
      </c>
      <c r="O20" s="29">
        <f>SUM(O11:O19)</f>
        <v/>
      </c>
      <c r="P20" s="29">
        <f>SUM(P11:P19)</f>
        <v/>
      </c>
      <c r="Q20" s="29">
        <f>SUM(Q11:Q19)</f>
        <v/>
      </c>
      <c r="R20" s="29">
        <f>SUM(R11:R19)</f>
        <v/>
      </c>
      <c r="S20" s="29">
        <f>SUM(S11:S19)</f>
        <v/>
      </c>
      <c r="T20" s="29">
        <f>SUM(T11:T19)</f>
        <v/>
      </c>
      <c r="U20" s="29">
        <f>SUM(U11:U19)</f>
        <v/>
      </c>
    </row>
    <row r="22">
      <c r="A22" s="24" t="inlineStr">
        <is>
          <t>AMUS</t>
        </is>
      </c>
      <c r="B22" s="24" t="inlineStr">
        <is>
          <t>Alpine Manufacturing US</t>
        </is>
      </c>
      <c r="C22" s="24" t="inlineStr">
        <is>
          <t>USD</t>
        </is>
      </c>
      <c r="D22" s="24" t="n"/>
      <c r="E22" s="25" t="n"/>
      <c r="F22" s="25" t="n"/>
      <c r="G22" s="25" t="n"/>
      <c r="H22" s="25" t="n"/>
      <c r="I22" s="25" t="n"/>
      <c r="J22" s="25" t="n"/>
      <c r="K22" s="25" t="n"/>
      <c r="L22" s="25" t="n"/>
      <c r="M22" s="25" t="n"/>
      <c r="N22" s="25" t="n"/>
      <c r="O22" s="25" t="n"/>
      <c r="P22" s="25" t="n"/>
      <c r="Q22" s="25" t="n"/>
      <c r="R22" s="25" t="n"/>
      <c r="S22" s="25" t="n"/>
      <c r="T22" s="26" t="n"/>
      <c r="U22" s="24" t="n"/>
    </row>
    <row r="23">
      <c r="A23" s="27" t="inlineStr">
        <is>
          <t>FORECAST_2024F7</t>
        </is>
      </c>
      <c r="B23" s="27" t="inlineStr">
        <is>
          <t>AMUS</t>
        </is>
      </c>
      <c r="C23" s="27" t="inlineStr">
        <is>
          <t>USD</t>
        </is>
      </c>
      <c r="D23" s="27" t="inlineStr">
        <is>
          <t>4010</t>
        </is>
      </c>
      <c r="E23" s="27" t="inlineStr">
        <is>
          <t>Product Revenue</t>
        </is>
      </c>
      <c r="F23" s="27" t="inlineStr">
        <is>
          <t>Revenue</t>
        </is>
      </c>
      <c r="G23" s="27" t="inlineStr">
        <is>
          <t>SALES</t>
        </is>
      </c>
      <c r="H23" s="27" t="inlineStr">
        <is>
          <t>SALES</t>
        </is>
      </c>
      <c r="I23" s="31" t="n">
        <v>-703701</v>
      </c>
      <c r="J23" s="31" t="n">
        <v>-739036</v>
      </c>
      <c r="K23" s="31" t="n">
        <v>-737131</v>
      </c>
      <c r="L23" s="31" t="n">
        <v>-787295</v>
      </c>
      <c r="M23" s="31" t="n">
        <v>-800357</v>
      </c>
      <c r="N23" s="31" t="n">
        <v>-888902</v>
      </c>
      <c r="O23" s="28" t="n">
        <v>-954481</v>
      </c>
      <c r="P23" s="28" t="n">
        <v>-912983</v>
      </c>
      <c r="Q23" s="28" t="n">
        <v>-871484</v>
      </c>
      <c r="R23" s="28" t="n">
        <v>-829984</v>
      </c>
      <c r="S23" s="28" t="n">
        <v>-788485</v>
      </c>
      <c r="T23" s="28" t="n">
        <v>-746986</v>
      </c>
      <c r="U23" s="29">
        <f>SUM(I23:T23)</f>
        <v/>
      </c>
    </row>
    <row r="24">
      <c r="A24" s="27" t="inlineStr">
        <is>
          <t>FORECAST_2024F7</t>
        </is>
      </c>
      <c r="B24" s="27" t="inlineStr">
        <is>
          <t>AMUS</t>
        </is>
      </c>
      <c r="C24" s="27" t="inlineStr">
        <is>
          <t>USD</t>
        </is>
      </c>
      <c r="D24" s="27" t="inlineStr">
        <is>
          <t>4020</t>
        </is>
      </c>
      <c r="E24" s="27" t="inlineStr">
        <is>
          <t>Service Revenue</t>
        </is>
      </c>
      <c r="F24" s="27" t="inlineStr">
        <is>
          <t>Revenue</t>
        </is>
      </c>
      <c r="G24" s="27" t="inlineStr">
        <is>
          <t>SALES</t>
        </is>
      </c>
      <c r="H24" s="27" t="inlineStr">
        <is>
          <t>SALES</t>
        </is>
      </c>
      <c r="I24" s="31" t="n">
        <v>-83228</v>
      </c>
      <c r="J24" s="31" t="n">
        <v>-74962</v>
      </c>
      <c r="K24" s="31" t="n">
        <v>-101192</v>
      </c>
      <c r="L24" s="31" t="n">
        <v>-81407</v>
      </c>
      <c r="M24" s="31" t="n">
        <v>-107201</v>
      </c>
      <c r="N24" s="31" t="n">
        <v>-118715</v>
      </c>
      <c r="O24" s="28" t="n">
        <v>-115316</v>
      </c>
      <c r="P24" s="28" t="n">
        <v>-110303</v>
      </c>
      <c r="Q24" s="28" t="n">
        <v>-105290</v>
      </c>
      <c r="R24" s="28" t="n">
        <v>-100276</v>
      </c>
      <c r="S24" s="28" t="n">
        <v>-95262</v>
      </c>
      <c r="T24" s="28" t="n">
        <v>-90248</v>
      </c>
      <c r="U24" s="29">
        <f>SUM(I24:T24)</f>
        <v/>
      </c>
    </row>
    <row r="25">
      <c r="A25" s="27" t="inlineStr">
        <is>
          <t>FORECAST_2024F7</t>
        </is>
      </c>
      <c r="B25" s="27" t="inlineStr">
        <is>
          <t>AMUS</t>
        </is>
      </c>
      <c r="C25" s="27" t="inlineStr">
        <is>
          <t>USD</t>
        </is>
      </c>
      <c r="D25" s="27" t="inlineStr">
        <is>
          <t>5010</t>
        </is>
      </c>
      <c r="E25" s="27" t="inlineStr">
        <is>
          <t>Cost of Goods Sold</t>
        </is>
      </c>
      <c r="F25" s="27" t="inlineStr">
        <is>
          <t>COGS</t>
        </is>
      </c>
      <c r="G25" s="27" t="inlineStr">
        <is>
          <t>SALES</t>
        </is>
      </c>
      <c r="H25" s="27" t="inlineStr">
        <is>
          <t>SALES</t>
        </is>
      </c>
      <c r="I25" s="31" t="n">
        <v>286820</v>
      </c>
      <c r="J25" s="31" t="n">
        <v>306097</v>
      </c>
      <c r="K25" s="31" t="n">
        <v>285442</v>
      </c>
      <c r="L25" s="31" t="n">
        <v>329981</v>
      </c>
      <c r="M25" s="31" t="n">
        <v>369756</v>
      </c>
      <c r="N25" s="31" t="n">
        <v>359507</v>
      </c>
      <c r="O25" s="28" t="n">
        <v>389167</v>
      </c>
      <c r="P25" s="28" t="n">
        <v>372247</v>
      </c>
      <c r="Q25" s="28" t="n">
        <v>355327</v>
      </c>
      <c r="R25" s="28" t="n">
        <v>338407</v>
      </c>
      <c r="S25" s="28" t="n">
        <v>321486</v>
      </c>
      <c r="T25" s="28" t="n">
        <v>304566</v>
      </c>
      <c r="U25" s="29">
        <f>SUM(I25:T25)</f>
        <v/>
      </c>
    </row>
    <row r="26">
      <c r="A26" s="27" t="inlineStr">
        <is>
          <t>FORECAST_2024F7</t>
        </is>
      </c>
      <c r="B26" s="27" t="inlineStr">
        <is>
          <t>AMUS</t>
        </is>
      </c>
      <c r="C26" s="27" t="inlineStr">
        <is>
          <t>USD</t>
        </is>
      </c>
      <c r="D26" s="27" t="inlineStr">
        <is>
          <t>6010</t>
        </is>
      </c>
      <c r="E26" s="27" t="inlineStr">
        <is>
          <t>Salaries and Wages</t>
        </is>
      </c>
      <c r="F26" s="27" t="inlineStr">
        <is>
          <t>OpEx</t>
        </is>
      </c>
      <c r="G26" s="27" t="inlineStr">
        <is>
          <t>SALES</t>
        </is>
      </c>
      <c r="H26" s="27" t="inlineStr">
        <is>
          <t>SALES</t>
        </is>
      </c>
      <c r="I26" s="31" t="n">
        <v>172953</v>
      </c>
      <c r="J26" s="31" t="n">
        <v>172003</v>
      </c>
      <c r="K26" s="31" t="n">
        <v>178521</v>
      </c>
      <c r="L26" s="31" t="n">
        <v>190459</v>
      </c>
      <c r="M26" s="31" t="n">
        <v>205108</v>
      </c>
      <c r="N26" s="31" t="n">
        <v>224203</v>
      </c>
      <c r="O26" s="28" t="n">
        <v>231601</v>
      </c>
      <c r="P26" s="28" t="n">
        <v>221532</v>
      </c>
      <c r="Q26" s="28" t="n">
        <v>211463</v>
      </c>
      <c r="R26" s="28" t="n">
        <v>201393</v>
      </c>
      <c r="S26" s="28" t="n">
        <v>191323</v>
      </c>
      <c r="T26" s="28" t="n">
        <v>181254</v>
      </c>
      <c r="U26" s="29">
        <f>SUM(I26:T26)</f>
        <v/>
      </c>
    </row>
    <row r="27">
      <c r="A27" s="27" t="inlineStr">
        <is>
          <t>FORECAST_2024F7</t>
        </is>
      </c>
      <c r="B27" s="27" t="inlineStr">
        <is>
          <t>AMUS</t>
        </is>
      </c>
      <c r="C27" s="27" t="inlineStr">
        <is>
          <t>USD</t>
        </is>
      </c>
      <c r="D27" s="27" t="inlineStr">
        <is>
          <t>6020</t>
        </is>
      </c>
      <c r="E27" s="27" t="inlineStr">
        <is>
          <t>Rent Expense</t>
        </is>
      </c>
      <c r="F27" s="27" t="inlineStr">
        <is>
          <t>OpEx</t>
        </is>
      </c>
      <c r="G27" s="27" t="inlineStr">
        <is>
          <t>SALES</t>
        </is>
      </c>
      <c r="H27" s="27" t="inlineStr">
        <is>
          <t>SALES</t>
        </is>
      </c>
      <c r="I27" s="31" t="n">
        <v>25993</v>
      </c>
      <c r="J27" s="31" t="n">
        <v>29524</v>
      </c>
      <c r="K27" s="31" t="n">
        <v>29700</v>
      </c>
      <c r="L27" s="31" t="n">
        <v>30160</v>
      </c>
      <c r="M27" s="31" t="n">
        <v>32919</v>
      </c>
      <c r="N27" s="31" t="n">
        <v>36403</v>
      </c>
      <c r="O27" s="28" t="n">
        <v>38025</v>
      </c>
      <c r="P27" s="28" t="n">
        <v>36372</v>
      </c>
      <c r="Q27" s="28" t="n">
        <v>34719</v>
      </c>
      <c r="R27" s="28" t="n">
        <v>33066</v>
      </c>
      <c r="S27" s="28" t="n">
        <v>31412</v>
      </c>
      <c r="T27" s="28" t="n">
        <v>29759</v>
      </c>
      <c r="U27" s="29">
        <f>SUM(I27:T27)</f>
        <v/>
      </c>
    </row>
    <row r="28">
      <c r="A28" s="27" t="inlineStr">
        <is>
          <t>FORECAST_2024F7</t>
        </is>
      </c>
      <c r="B28" s="27" t="inlineStr">
        <is>
          <t>AMUS</t>
        </is>
      </c>
      <c r="C28" s="27" t="inlineStr">
        <is>
          <t>USD</t>
        </is>
      </c>
      <c r="D28" s="27" t="inlineStr">
        <is>
          <t>6030</t>
        </is>
      </c>
      <c r="E28" s="27" t="inlineStr">
        <is>
          <t>Depreciation Expense</t>
        </is>
      </c>
      <c r="F28" s="27" t="inlineStr">
        <is>
          <t>OpEx</t>
        </is>
      </c>
      <c r="G28" s="27" t="inlineStr">
        <is>
          <t>SALES</t>
        </is>
      </c>
      <c r="H28" s="27" t="inlineStr">
        <is>
          <t>SALES</t>
        </is>
      </c>
      <c r="I28" s="31" t="n">
        <v>20315</v>
      </c>
      <c r="J28" s="31" t="n">
        <v>22707</v>
      </c>
      <c r="K28" s="31" t="n">
        <v>23066</v>
      </c>
      <c r="L28" s="31" t="n">
        <v>25492</v>
      </c>
      <c r="M28" s="31" t="n">
        <v>23687</v>
      </c>
      <c r="N28" s="31" t="n">
        <v>27839</v>
      </c>
      <c r="O28" s="28" t="n">
        <v>28969</v>
      </c>
      <c r="P28" s="28" t="n">
        <v>27710</v>
      </c>
      <c r="Q28" s="28" t="n">
        <v>26450</v>
      </c>
      <c r="R28" s="28" t="n">
        <v>25191</v>
      </c>
      <c r="S28" s="28" t="n">
        <v>23931</v>
      </c>
      <c r="T28" s="28" t="n">
        <v>22672</v>
      </c>
      <c r="U28" s="29">
        <f>SUM(I28:T28)</f>
        <v/>
      </c>
    </row>
    <row r="29">
      <c r="A29" s="27" t="inlineStr">
        <is>
          <t>FORECAST_2024F7</t>
        </is>
      </c>
      <c r="B29" s="27" t="inlineStr">
        <is>
          <t>AMUS</t>
        </is>
      </c>
      <c r="C29" s="27" t="inlineStr">
        <is>
          <t>USD</t>
        </is>
      </c>
      <c r="D29" s="27" t="inlineStr">
        <is>
          <t>6040</t>
        </is>
      </c>
      <c r="E29" s="27" t="inlineStr">
        <is>
          <t>Marketing Expense</t>
        </is>
      </c>
      <c r="F29" s="27" t="inlineStr">
        <is>
          <t>OpEx</t>
        </is>
      </c>
      <c r="G29" s="27" t="inlineStr">
        <is>
          <t>SALES</t>
        </is>
      </c>
      <c r="H29" s="27" t="inlineStr">
        <is>
          <t>SALES</t>
        </is>
      </c>
      <c r="I29" s="31" t="n">
        <v>15495</v>
      </c>
      <c r="J29" s="31" t="n">
        <v>22312</v>
      </c>
      <c r="K29" s="31" t="n">
        <v>23416</v>
      </c>
      <c r="L29" s="31" t="n">
        <v>26745</v>
      </c>
      <c r="M29" s="31" t="n">
        <v>25967</v>
      </c>
      <c r="N29" s="31" t="n">
        <v>21092</v>
      </c>
      <c r="O29" s="28" t="n">
        <v>28174</v>
      </c>
      <c r="P29" s="28" t="n">
        <v>26950</v>
      </c>
      <c r="Q29" s="28" t="n">
        <v>25725</v>
      </c>
      <c r="R29" s="28" t="n">
        <v>24500</v>
      </c>
      <c r="S29" s="28" t="n">
        <v>23275</v>
      </c>
      <c r="T29" s="28" t="n">
        <v>22050</v>
      </c>
      <c r="U29" s="29">
        <f>SUM(I29:T29)</f>
        <v/>
      </c>
    </row>
    <row r="30">
      <c r="A30" s="27" t="inlineStr">
        <is>
          <t>FORECAST_2024F7</t>
        </is>
      </c>
      <c r="B30" s="27" t="inlineStr">
        <is>
          <t>AMUS</t>
        </is>
      </c>
      <c r="C30" s="27" t="inlineStr">
        <is>
          <t>USD</t>
        </is>
      </c>
      <c r="D30" s="27" t="inlineStr">
        <is>
          <t>6050</t>
        </is>
      </c>
      <c r="E30" s="27" t="inlineStr">
        <is>
          <t>Travel Expense</t>
        </is>
      </c>
      <c r="F30" s="27" t="inlineStr">
        <is>
          <t>OpEx</t>
        </is>
      </c>
      <c r="G30" s="27" t="inlineStr">
        <is>
          <t>SALES</t>
        </is>
      </c>
      <c r="H30" s="27" t="inlineStr">
        <is>
          <t>SALES</t>
        </is>
      </c>
      <c r="I30" s="31" t="n">
        <v>10019</v>
      </c>
      <c r="J30" s="31" t="n">
        <v>8076</v>
      </c>
      <c r="K30" s="31" t="n">
        <v>7570</v>
      </c>
      <c r="L30" s="31" t="n">
        <v>14300</v>
      </c>
      <c r="M30" s="31" t="n">
        <v>13474</v>
      </c>
      <c r="N30" s="31" t="n">
        <v>11184</v>
      </c>
      <c r="O30" s="28" t="n">
        <v>13802</v>
      </c>
      <c r="P30" s="28" t="n">
        <v>13203</v>
      </c>
      <c r="Q30" s="28" t="n">
        <v>12603</v>
      </c>
      <c r="R30" s="28" t="n">
        <v>12003</v>
      </c>
      <c r="S30" s="28" t="n">
        <v>11403</v>
      </c>
      <c r="T30" s="28" t="n">
        <v>10803</v>
      </c>
      <c r="U30" s="29">
        <f>SUM(I30:T30)</f>
        <v/>
      </c>
    </row>
    <row r="31">
      <c r="A31" s="27" t="inlineStr">
        <is>
          <t>FORECAST_2024F7</t>
        </is>
      </c>
      <c r="B31" s="27" t="inlineStr">
        <is>
          <t>AMUS</t>
        </is>
      </c>
      <c r="C31" s="27" t="inlineStr">
        <is>
          <t>USD</t>
        </is>
      </c>
      <c r="D31" s="27" t="inlineStr">
        <is>
          <t>6060</t>
        </is>
      </c>
      <c r="E31" s="27" t="inlineStr">
        <is>
          <t>Utilities</t>
        </is>
      </c>
      <c r="F31" s="27" t="inlineStr">
        <is>
          <t>OpEx</t>
        </is>
      </c>
      <c r="G31" s="27" t="inlineStr">
        <is>
          <t>SALES</t>
        </is>
      </c>
      <c r="H31" s="27" t="inlineStr">
        <is>
          <t>SALES</t>
        </is>
      </c>
      <c r="I31" s="31" t="n">
        <v>10754</v>
      </c>
      <c r="J31" s="31" t="n">
        <v>11549</v>
      </c>
      <c r="K31" s="31" t="n">
        <v>11148</v>
      </c>
      <c r="L31" s="31" t="n">
        <v>12674</v>
      </c>
      <c r="M31" s="31" t="n">
        <v>12351</v>
      </c>
      <c r="N31" s="31" t="n">
        <v>12624</v>
      </c>
      <c r="O31" s="28" t="n">
        <v>14439</v>
      </c>
      <c r="P31" s="28" t="n">
        <v>13812</v>
      </c>
      <c r="Q31" s="28" t="n">
        <v>13184</v>
      </c>
      <c r="R31" s="28" t="n">
        <v>12556</v>
      </c>
      <c r="S31" s="28" t="n">
        <v>11929</v>
      </c>
      <c r="T31" s="28" t="n">
        <v>11301</v>
      </c>
      <c r="U31" s="29">
        <f>SUM(I31:T31)</f>
        <v/>
      </c>
    </row>
    <row r="32">
      <c r="E32" s="4" t="inlineStr">
        <is>
          <t>Net Income</t>
        </is>
      </c>
      <c r="I32" s="29">
        <f>SUM(I23:I31)</f>
        <v/>
      </c>
      <c r="J32" s="29">
        <f>SUM(J23:J31)</f>
        <v/>
      </c>
      <c r="K32" s="29">
        <f>SUM(K23:K31)</f>
        <v/>
      </c>
      <c r="L32" s="29">
        <f>SUM(L23:L31)</f>
        <v/>
      </c>
      <c r="M32" s="29">
        <f>SUM(M23:M31)</f>
        <v/>
      </c>
      <c r="N32" s="29">
        <f>SUM(N23:N31)</f>
        <v/>
      </c>
      <c r="O32" s="29">
        <f>SUM(O23:O31)</f>
        <v/>
      </c>
      <c r="P32" s="29">
        <f>SUM(P23:P31)</f>
        <v/>
      </c>
      <c r="Q32" s="29">
        <f>SUM(Q23:Q31)</f>
        <v/>
      </c>
      <c r="R32" s="29">
        <f>SUM(R23:R31)</f>
        <v/>
      </c>
      <c r="S32" s="29">
        <f>SUM(S23:S31)</f>
        <v/>
      </c>
      <c r="T32" s="29">
        <f>SUM(T23:T31)</f>
        <v/>
      </c>
      <c r="U32" s="29">
        <f>SUM(U23:U31)</f>
        <v/>
      </c>
    </row>
    <row r="34">
      <c r="A34" s="24" t="inlineStr">
        <is>
          <t>AMDE</t>
        </is>
      </c>
      <c r="B34" s="24" t="inlineStr">
        <is>
          <t>Alpine Manufacturing DE</t>
        </is>
      </c>
      <c r="C34" s="24" t="inlineStr">
        <is>
          <t>EUR</t>
        </is>
      </c>
      <c r="D34" s="24" t="n"/>
      <c r="E34" s="25" t="n"/>
      <c r="F34" s="25" t="n"/>
      <c r="G34" s="25" t="n"/>
      <c r="H34" s="25" t="n"/>
      <c r="I34" s="25" t="n"/>
      <c r="J34" s="25" t="n"/>
      <c r="K34" s="25" t="n"/>
      <c r="L34" s="25" t="n"/>
      <c r="M34" s="25" t="n"/>
      <c r="N34" s="25" t="n"/>
      <c r="O34" s="25" t="n"/>
      <c r="P34" s="25" t="n"/>
      <c r="Q34" s="25" t="n"/>
      <c r="R34" s="25" t="n"/>
      <c r="S34" s="25" t="n"/>
      <c r="T34" s="26" t="n"/>
      <c r="U34" s="24" t="n"/>
    </row>
    <row r="35">
      <c r="A35" s="27" t="inlineStr">
        <is>
          <t>FORECAST_2024F7</t>
        </is>
      </c>
      <c r="B35" s="27" t="inlineStr">
        <is>
          <t>AMDE</t>
        </is>
      </c>
      <c r="C35" s="27" t="inlineStr">
        <is>
          <t>EUR</t>
        </is>
      </c>
      <c r="D35" s="27" t="inlineStr">
        <is>
          <t>4010</t>
        </is>
      </c>
      <c r="E35" s="27" t="inlineStr">
        <is>
          <t>Product Revenue</t>
        </is>
      </c>
      <c r="F35" s="27" t="inlineStr">
        <is>
          <t>Revenue</t>
        </is>
      </c>
      <c r="G35" s="27" t="inlineStr">
        <is>
          <t>PROD</t>
        </is>
      </c>
      <c r="H35" s="27" t="inlineStr">
        <is>
          <t>OPS</t>
        </is>
      </c>
      <c r="I35" s="31" t="n">
        <v>-526713</v>
      </c>
      <c r="J35" s="31" t="n">
        <v>-546780</v>
      </c>
      <c r="K35" s="31" t="n">
        <v>-543584</v>
      </c>
      <c r="L35" s="31" t="n">
        <v>-588793</v>
      </c>
      <c r="M35" s="31" t="n">
        <v>-643277</v>
      </c>
      <c r="N35" s="31" t="n">
        <v>-617252</v>
      </c>
      <c r="O35" s="28" t="n">
        <v>-713314</v>
      </c>
      <c r="P35" s="28" t="n">
        <v>-682300</v>
      </c>
      <c r="Q35" s="28" t="n">
        <v>-651287</v>
      </c>
      <c r="R35" s="28" t="n">
        <v>-620273</v>
      </c>
      <c r="S35" s="28" t="n">
        <v>-589259</v>
      </c>
      <c r="T35" s="28" t="n">
        <v>-558246</v>
      </c>
      <c r="U35" s="29">
        <f>SUM(I35:T35)</f>
        <v/>
      </c>
    </row>
    <row r="36">
      <c r="A36" s="27" t="inlineStr">
        <is>
          <t>FORECAST_2024F7</t>
        </is>
      </c>
      <c r="B36" s="27" t="inlineStr">
        <is>
          <t>AMDE</t>
        </is>
      </c>
      <c r="C36" s="27" t="inlineStr">
        <is>
          <t>EUR</t>
        </is>
      </c>
      <c r="D36" s="27" t="inlineStr">
        <is>
          <t>4020</t>
        </is>
      </c>
      <c r="E36" s="27" t="inlineStr">
        <is>
          <t>Service Revenue</t>
        </is>
      </c>
      <c r="F36" s="27" t="inlineStr">
        <is>
          <t>Revenue</t>
        </is>
      </c>
      <c r="G36" s="27" t="inlineStr">
        <is>
          <t>PROD</t>
        </is>
      </c>
      <c r="H36" s="27" t="inlineStr">
        <is>
          <t>OPS</t>
        </is>
      </c>
      <c r="I36" s="31" t="n">
        <v>-52507</v>
      </c>
      <c r="J36" s="31" t="n">
        <v>-64675</v>
      </c>
      <c r="K36" s="31" t="n">
        <v>-68313</v>
      </c>
      <c r="L36" s="31" t="n">
        <v>-63446</v>
      </c>
      <c r="M36" s="31" t="n">
        <v>-81039</v>
      </c>
      <c r="N36" s="31" t="n">
        <v>-81143</v>
      </c>
      <c r="O36" s="28" t="n">
        <v>-85121</v>
      </c>
      <c r="P36" s="28" t="n">
        <v>-81420</v>
      </c>
      <c r="Q36" s="28" t="n">
        <v>-77719</v>
      </c>
      <c r="R36" s="28" t="n">
        <v>-74018</v>
      </c>
      <c r="S36" s="28" t="n">
        <v>-70317</v>
      </c>
      <c r="T36" s="28" t="n">
        <v>-66616</v>
      </c>
      <c r="U36" s="29">
        <f>SUM(I36:T36)</f>
        <v/>
      </c>
    </row>
    <row r="37">
      <c r="A37" s="27" t="inlineStr">
        <is>
          <t>FORECAST_2024F7</t>
        </is>
      </c>
      <c r="B37" s="27" t="inlineStr">
        <is>
          <t>AMDE</t>
        </is>
      </c>
      <c r="C37" s="27" t="inlineStr">
        <is>
          <t>EUR</t>
        </is>
      </c>
      <c r="D37" s="27" t="inlineStr">
        <is>
          <t>5010</t>
        </is>
      </c>
      <c r="E37" s="27" t="inlineStr">
        <is>
          <t>Cost of Goods Sold</t>
        </is>
      </c>
      <c r="F37" s="27" t="inlineStr">
        <is>
          <t>COGS</t>
        </is>
      </c>
      <c r="G37" s="27" t="inlineStr">
        <is>
          <t>PROD</t>
        </is>
      </c>
      <c r="H37" s="27" t="inlineStr">
        <is>
          <t>OPS</t>
        </is>
      </c>
      <c r="I37" s="31" t="n">
        <v>202846</v>
      </c>
      <c r="J37" s="31" t="n">
        <v>218468</v>
      </c>
      <c r="K37" s="31" t="n">
        <v>211703</v>
      </c>
      <c r="L37" s="31" t="n">
        <v>235356</v>
      </c>
      <c r="M37" s="31" t="n">
        <v>267170</v>
      </c>
      <c r="N37" s="31" t="n">
        <v>258084</v>
      </c>
      <c r="O37" s="28" t="n">
        <v>286020</v>
      </c>
      <c r="P37" s="28" t="n">
        <v>273584</v>
      </c>
      <c r="Q37" s="28" t="n">
        <v>261149</v>
      </c>
      <c r="R37" s="28" t="n">
        <v>248713</v>
      </c>
      <c r="S37" s="28" t="n">
        <v>236277</v>
      </c>
      <c r="T37" s="28" t="n">
        <v>223842</v>
      </c>
      <c r="U37" s="29">
        <f>SUM(I37:T37)</f>
        <v/>
      </c>
    </row>
    <row r="38">
      <c r="A38" s="27" t="inlineStr">
        <is>
          <t>FORECAST_2024F7</t>
        </is>
      </c>
      <c r="B38" s="27" t="inlineStr">
        <is>
          <t>AMDE</t>
        </is>
      </c>
      <c r="C38" s="27" t="inlineStr">
        <is>
          <t>EUR</t>
        </is>
      </c>
      <c r="D38" s="27" t="inlineStr">
        <is>
          <t>6010</t>
        </is>
      </c>
      <c r="E38" s="27" t="inlineStr">
        <is>
          <t>Salaries and Wages</t>
        </is>
      </c>
      <c r="F38" s="27" t="inlineStr">
        <is>
          <t>OpEx</t>
        </is>
      </c>
      <c r="G38" s="27" t="inlineStr">
        <is>
          <t>PROD</t>
        </is>
      </c>
      <c r="H38" s="27" t="inlineStr">
        <is>
          <t>OPS</t>
        </is>
      </c>
      <c r="I38" s="31" t="n">
        <v>118232</v>
      </c>
      <c r="J38" s="31" t="n">
        <v>119153</v>
      </c>
      <c r="K38" s="31" t="n">
        <v>140561</v>
      </c>
      <c r="L38" s="31" t="n">
        <v>147326</v>
      </c>
      <c r="M38" s="31" t="n">
        <v>150201</v>
      </c>
      <c r="N38" s="31" t="n">
        <v>157946</v>
      </c>
      <c r="O38" s="28" t="n">
        <v>171341</v>
      </c>
      <c r="P38" s="28" t="n">
        <v>163891</v>
      </c>
      <c r="Q38" s="28" t="n">
        <v>156442</v>
      </c>
      <c r="R38" s="28" t="n">
        <v>148992</v>
      </c>
      <c r="S38" s="28" t="n">
        <v>141542</v>
      </c>
      <c r="T38" s="28" t="n">
        <v>134093</v>
      </c>
      <c r="U38" s="29">
        <f>SUM(I38:T38)</f>
        <v/>
      </c>
    </row>
    <row r="39">
      <c r="A39" s="27" t="inlineStr">
        <is>
          <t>FORECAST_2024F7</t>
        </is>
      </c>
      <c r="B39" s="27" t="inlineStr">
        <is>
          <t>AMDE</t>
        </is>
      </c>
      <c r="C39" s="27" t="inlineStr">
        <is>
          <t>EUR</t>
        </is>
      </c>
      <c r="D39" s="27" t="inlineStr">
        <is>
          <t>6020</t>
        </is>
      </c>
      <c r="E39" s="27" t="inlineStr">
        <is>
          <t>Rent Expense</t>
        </is>
      </c>
      <c r="F39" s="27" t="inlineStr">
        <is>
          <t>OpEx</t>
        </is>
      </c>
      <c r="G39" s="27" t="inlineStr">
        <is>
          <t>PROD</t>
        </is>
      </c>
      <c r="H39" s="27" t="inlineStr">
        <is>
          <t>OPS</t>
        </is>
      </c>
      <c r="I39" s="31" t="n">
        <v>20073</v>
      </c>
      <c r="J39" s="31" t="n">
        <v>22660</v>
      </c>
      <c r="K39" s="31" t="n">
        <v>23757</v>
      </c>
      <c r="L39" s="31" t="n">
        <v>24500</v>
      </c>
      <c r="M39" s="31" t="n">
        <v>26247</v>
      </c>
      <c r="N39" s="31" t="n">
        <v>24969</v>
      </c>
      <c r="O39" s="28" t="n">
        <v>28881</v>
      </c>
      <c r="P39" s="28" t="n">
        <v>27625</v>
      </c>
      <c r="Q39" s="28" t="n">
        <v>26370</v>
      </c>
      <c r="R39" s="28" t="n">
        <v>25114</v>
      </c>
      <c r="S39" s="28" t="n">
        <v>23858</v>
      </c>
      <c r="T39" s="28" t="n">
        <v>22602</v>
      </c>
      <c r="U39" s="29">
        <f>SUM(I39:T39)</f>
        <v/>
      </c>
    </row>
    <row r="40">
      <c r="A40" s="27" t="inlineStr">
        <is>
          <t>FORECAST_2024F7</t>
        </is>
      </c>
      <c r="B40" s="27" t="inlineStr">
        <is>
          <t>AMDE</t>
        </is>
      </c>
      <c r="C40" s="27" t="inlineStr">
        <is>
          <t>EUR</t>
        </is>
      </c>
      <c r="D40" s="27" t="inlineStr">
        <is>
          <t>6030</t>
        </is>
      </c>
      <c r="E40" s="27" t="inlineStr">
        <is>
          <t>Depreciation Expense</t>
        </is>
      </c>
      <c r="F40" s="27" t="inlineStr">
        <is>
          <t>OpEx</t>
        </is>
      </c>
      <c r="G40" s="27" t="inlineStr">
        <is>
          <t>PROD</t>
        </is>
      </c>
      <c r="H40" s="27" t="inlineStr">
        <is>
          <t>OPS</t>
        </is>
      </c>
      <c r="I40" s="31" t="n">
        <v>15947</v>
      </c>
      <c r="J40" s="31" t="n">
        <v>16604</v>
      </c>
      <c r="K40" s="31" t="n">
        <v>16336</v>
      </c>
      <c r="L40" s="31" t="n">
        <v>17696</v>
      </c>
      <c r="M40" s="31" t="n">
        <v>18525</v>
      </c>
      <c r="N40" s="31" t="n">
        <v>18493</v>
      </c>
      <c r="O40" s="28" t="n">
        <v>21361</v>
      </c>
      <c r="P40" s="28" t="n">
        <v>20432</v>
      </c>
      <c r="Q40" s="28" t="n">
        <v>19503</v>
      </c>
      <c r="R40" s="28" t="n">
        <v>18574</v>
      </c>
      <c r="S40" s="28" t="n">
        <v>17646</v>
      </c>
      <c r="T40" s="28" t="n">
        <v>16717</v>
      </c>
      <c r="U40" s="29">
        <f>SUM(I40:T40)</f>
        <v/>
      </c>
    </row>
    <row r="41">
      <c r="A41" s="27" t="inlineStr">
        <is>
          <t>FORECAST_2024F7</t>
        </is>
      </c>
      <c r="B41" s="27" t="inlineStr">
        <is>
          <t>AMDE</t>
        </is>
      </c>
      <c r="C41" s="27" t="inlineStr">
        <is>
          <t>EUR</t>
        </is>
      </c>
      <c r="D41" s="27" t="inlineStr">
        <is>
          <t>6040</t>
        </is>
      </c>
      <c r="E41" s="27" t="inlineStr">
        <is>
          <t>Marketing Expense</t>
        </is>
      </c>
      <c r="F41" s="27" t="inlineStr">
        <is>
          <t>OpEx</t>
        </is>
      </c>
      <c r="G41" s="27" t="inlineStr">
        <is>
          <t>PROD</t>
        </is>
      </c>
      <c r="H41" s="27" t="inlineStr">
        <is>
          <t>OPS</t>
        </is>
      </c>
      <c r="I41" s="31" t="n">
        <v>10536</v>
      </c>
      <c r="J41" s="31" t="n">
        <v>13720</v>
      </c>
      <c r="K41" s="31" t="n">
        <v>19676</v>
      </c>
      <c r="L41" s="31" t="n">
        <v>19628</v>
      </c>
      <c r="M41" s="31" t="n">
        <v>25148</v>
      </c>
      <c r="N41" s="31" t="n">
        <v>18085</v>
      </c>
      <c r="O41" s="28" t="n">
        <v>21674</v>
      </c>
      <c r="P41" s="28" t="n">
        <v>20732</v>
      </c>
      <c r="Q41" s="28" t="n">
        <v>19789</v>
      </c>
      <c r="R41" s="28" t="n">
        <v>18847</v>
      </c>
      <c r="S41" s="28" t="n">
        <v>17905</v>
      </c>
      <c r="T41" s="28" t="n">
        <v>16962</v>
      </c>
      <c r="U41" s="29">
        <f>SUM(I41:T41)</f>
        <v/>
      </c>
    </row>
    <row r="42">
      <c r="A42" s="27" t="inlineStr">
        <is>
          <t>FORECAST_2024F7</t>
        </is>
      </c>
      <c r="B42" s="27" t="inlineStr">
        <is>
          <t>AMDE</t>
        </is>
      </c>
      <c r="C42" s="27" t="inlineStr">
        <is>
          <t>EUR</t>
        </is>
      </c>
      <c r="D42" s="27" t="inlineStr">
        <is>
          <t>6050</t>
        </is>
      </c>
      <c r="E42" s="27" t="inlineStr">
        <is>
          <t>Travel Expense</t>
        </is>
      </c>
      <c r="F42" s="27" t="inlineStr">
        <is>
          <t>OpEx</t>
        </is>
      </c>
      <c r="G42" s="27" t="inlineStr">
        <is>
          <t>PROD</t>
        </is>
      </c>
      <c r="H42" s="27" t="inlineStr">
        <is>
          <t>OPS</t>
        </is>
      </c>
      <c r="I42" s="31" t="n">
        <v>6018</v>
      </c>
      <c r="J42" s="31" t="n">
        <v>10488</v>
      </c>
      <c r="K42" s="31" t="n">
        <v>6443</v>
      </c>
      <c r="L42" s="31" t="n">
        <v>7436</v>
      </c>
      <c r="M42" s="31" t="n">
        <v>7052</v>
      </c>
      <c r="N42" s="31" t="n">
        <v>10424</v>
      </c>
      <c r="O42" s="28" t="n">
        <v>10293</v>
      </c>
      <c r="P42" s="28" t="n">
        <v>9845</v>
      </c>
      <c r="Q42" s="28" t="n">
        <v>9398</v>
      </c>
      <c r="R42" s="28" t="n">
        <v>8950</v>
      </c>
      <c r="S42" s="28" t="n">
        <v>8503</v>
      </c>
      <c r="T42" s="28" t="n">
        <v>8055</v>
      </c>
      <c r="U42" s="29">
        <f>SUM(I42:T42)</f>
        <v/>
      </c>
    </row>
    <row r="43">
      <c r="A43" s="27" t="inlineStr">
        <is>
          <t>FORECAST_2024F7</t>
        </is>
      </c>
      <c r="B43" s="27" t="inlineStr">
        <is>
          <t>AMDE</t>
        </is>
      </c>
      <c r="C43" s="27" t="inlineStr">
        <is>
          <t>EUR</t>
        </is>
      </c>
      <c r="D43" s="27" t="inlineStr">
        <is>
          <t>6060</t>
        </is>
      </c>
      <c r="E43" s="27" t="inlineStr">
        <is>
          <t>Utilities</t>
        </is>
      </c>
      <c r="F43" s="27" t="inlineStr">
        <is>
          <t>OpEx</t>
        </is>
      </c>
      <c r="G43" s="27" t="inlineStr">
        <is>
          <t>PROD</t>
        </is>
      </c>
      <c r="H43" s="27" t="inlineStr">
        <is>
          <t>OPS</t>
        </is>
      </c>
      <c r="I43" s="31" t="n">
        <v>7711</v>
      </c>
      <c r="J43" s="31" t="n">
        <v>7533</v>
      </c>
      <c r="K43" s="31" t="n">
        <v>8060</v>
      </c>
      <c r="L43" s="31" t="n">
        <v>9131</v>
      </c>
      <c r="M43" s="31" t="n">
        <v>9607</v>
      </c>
      <c r="N43" s="31" t="n">
        <v>9629</v>
      </c>
      <c r="O43" s="28" t="n">
        <v>10667</v>
      </c>
      <c r="P43" s="28" t="n">
        <v>10203</v>
      </c>
      <c r="Q43" s="28" t="n">
        <v>9740</v>
      </c>
      <c r="R43" s="28" t="n">
        <v>9276</v>
      </c>
      <c r="S43" s="28" t="n">
        <v>8812</v>
      </c>
      <c r="T43" s="28" t="n">
        <v>8348</v>
      </c>
      <c r="U43" s="29">
        <f>SUM(I43:T43)</f>
        <v/>
      </c>
    </row>
    <row r="44">
      <c r="E44" s="4" t="inlineStr">
        <is>
          <t>Net Income</t>
        </is>
      </c>
      <c r="I44" s="29">
        <f>SUM(I35:I43)</f>
        <v/>
      </c>
      <c r="J44" s="29">
        <f>SUM(J35:J43)</f>
        <v/>
      </c>
      <c r="K44" s="29">
        <f>SUM(K35:K43)</f>
        <v/>
      </c>
      <c r="L44" s="29">
        <f>SUM(L35:L43)</f>
        <v/>
      </c>
      <c r="M44" s="29">
        <f>SUM(M35:M43)</f>
        <v/>
      </c>
      <c r="N44" s="29">
        <f>SUM(N35:N43)</f>
        <v/>
      </c>
      <c r="O44" s="29">
        <f>SUM(O35:O43)</f>
        <v/>
      </c>
      <c r="P44" s="29">
        <f>SUM(P35:P43)</f>
        <v/>
      </c>
      <c r="Q44" s="29">
        <f>SUM(Q35:Q43)</f>
        <v/>
      </c>
      <c r="R44" s="29">
        <f>SUM(R35:R43)</f>
        <v/>
      </c>
      <c r="S44" s="29">
        <f>SUM(S35:S43)</f>
        <v/>
      </c>
      <c r="T44" s="29">
        <f>SUM(T35:T43)</f>
        <v/>
      </c>
      <c r="U44" s="29">
        <f>SUM(U35:U43)</f>
        <v/>
      </c>
    </row>
  </sheetData>
  <mergeCells count="3">
    <mergeCell ref="D34:T34"/>
    <mergeCell ref="D22:T22"/>
    <mergeCell ref="D10:T10"/>
  </mergeCell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U44"/>
  <sheetViews>
    <sheetView workbookViewId="0">
      <pane xSplit="8" ySplit="9" topLeftCell="I10"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0" customWidth="1" min="3" max="3"/>
    <col width="10" customWidth="1" min="4" max="4"/>
    <col width="22" customWidth="1" min="5" max="5"/>
    <col width="12" customWidth="1" min="6" max="6"/>
    <col width="14" customWidth="1" min="7" max="7"/>
    <col width="14"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4" customWidth="1" min="21" max="21"/>
  </cols>
  <sheetData>
    <row r="1">
      <c r="A1" s="20" t="inlineStr">
        <is>
          <t>Scenario:</t>
        </is>
      </c>
      <c r="B1" s="21" t="inlineStr">
        <is>
          <t>Forecast 2024 - Aug</t>
        </is>
      </c>
    </row>
    <row r="2">
      <c r="A2" s="20" t="inlineStr">
        <is>
          <t>Scenario ID:</t>
        </is>
      </c>
      <c r="B2" s="21" t="inlineStr">
        <is>
          <t>FORECAST_2024F8</t>
        </is>
      </c>
    </row>
    <row r="3">
      <c r="A3" s="20" t="inlineStr">
        <is>
          <t>Type:</t>
        </is>
      </c>
      <c r="B3" s="21" t="inlineStr">
        <is>
          <t>forecast</t>
        </is>
      </c>
    </row>
    <row r="4">
      <c r="A4" s="20" t="inlineStr">
        <is>
          <t>Fiscal Year:</t>
        </is>
      </c>
      <c r="B4" s="21" t="n">
        <v>2024</v>
      </c>
    </row>
    <row r="5">
      <c r="A5" s="20" t="inlineStr">
        <is>
          <t>Layer:</t>
        </is>
      </c>
      <c r="B5" s="21" t="inlineStr">
        <is>
          <t>base</t>
        </is>
      </c>
    </row>
    <row r="6">
      <c r="A6" s="20" t="inlineStr">
        <is>
          <t>Actual months:</t>
        </is>
      </c>
      <c r="B6" s="30" t="inlineStr">
        <is>
          <t>1-7 (yellow = actuals, white = editable forecast)</t>
        </is>
      </c>
    </row>
    <row r="7">
      <c r="A7" s="20" t="inlineStr">
        <is>
          <t>Usage:</t>
        </is>
      </c>
      <c r="B7" s="22" t="inlineStr">
        <is>
          <t>Edit white cells, then press Ctrl+Shift+R or F9 to save to server</t>
        </is>
      </c>
    </row>
    <row r="9">
      <c r="A9" s="23" t="inlineStr">
        <is>
          <t>Scenario ID</t>
        </is>
      </c>
      <c r="B9" s="23" t="inlineStr">
        <is>
          <t>Entity</t>
        </is>
      </c>
      <c r="C9" s="23" t="inlineStr">
        <is>
          <t>Currency</t>
        </is>
      </c>
      <c r="D9" s="23" t="inlineStr">
        <is>
          <t>Account</t>
        </is>
      </c>
      <c r="E9" s="23" t="inlineStr">
        <is>
          <t>Account Name</t>
        </is>
      </c>
      <c r="F9" s="23" t="inlineStr">
        <is>
          <t>Category</t>
        </is>
      </c>
      <c r="G9" s="23" t="inlineStr">
        <is>
          <t>Cost Center</t>
        </is>
      </c>
      <c r="H9" s="23" t="inlineStr">
        <is>
          <t>Department</t>
        </is>
      </c>
      <c r="I9" s="23" t="inlineStr">
        <is>
          <t>Jan</t>
        </is>
      </c>
      <c r="J9" s="23" t="inlineStr">
        <is>
          <t>Feb</t>
        </is>
      </c>
      <c r="K9" s="23" t="inlineStr">
        <is>
          <t>Mar</t>
        </is>
      </c>
      <c r="L9" s="23" t="inlineStr">
        <is>
          <t>Apr</t>
        </is>
      </c>
      <c r="M9" s="23" t="inlineStr">
        <is>
          <t>May</t>
        </is>
      </c>
      <c r="N9" s="23" t="inlineStr">
        <is>
          <t>Jun</t>
        </is>
      </c>
      <c r="O9" s="23" t="inlineStr">
        <is>
          <t>Jul</t>
        </is>
      </c>
      <c r="P9" s="23" t="inlineStr">
        <is>
          <t>Aug</t>
        </is>
      </c>
      <c r="Q9" s="23" t="inlineStr">
        <is>
          <t>Sep</t>
        </is>
      </c>
      <c r="R9" s="23" t="inlineStr">
        <is>
          <t>Oct</t>
        </is>
      </c>
      <c r="S9" s="23" t="inlineStr">
        <is>
          <t>Nov</t>
        </is>
      </c>
      <c r="T9" s="23" t="inlineStr">
        <is>
          <t>Dec</t>
        </is>
      </c>
      <c r="U9" s="23" t="inlineStr">
        <is>
          <t>Annual Total</t>
        </is>
      </c>
    </row>
    <row r="10">
      <c r="A10" s="24" t="inlineStr">
        <is>
          <t>AMHQ</t>
        </is>
      </c>
      <c r="B10" s="24" t="inlineStr">
        <is>
          <t>Alpine Manufacturing HQ</t>
        </is>
      </c>
      <c r="C10" s="24" t="inlineStr">
        <is>
          <t>CHF</t>
        </is>
      </c>
      <c r="D10" s="24" t="n"/>
      <c r="E10" s="25" t="n"/>
      <c r="F10" s="25" t="n"/>
      <c r="G10" s="25" t="n"/>
      <c r="H10" s="25" t="n"/>
      <c r="I10" s="25" t="n"/>
      <c r="J10" s="25" t="n"/>
      <c r="K10" s="25" t="n"/>
      <c r="L10" s="25" t="n"/>
      <c r="M10" s="25" t="n"/>
      <c r="N10" s="25" t="n"/>
      <c r="O10" s="25" t="n"/>
      <c r="P10" s="25" t="n"/>
      <c r="Q10" s="25" t="n"/>
      <c r="R10" s="25" t="n"/>
      <c r="S10" s="25" t="n"/>
      <c r="T10" s="26" t="n"/>
      <c r="U10" s="24" t="n"/>
    </row>
    <row r="11">
      <c r="A11" s="27" t="inlineStr">
        <is>
          <t>FORECAST_2024F8</t>
        </is>
      </c>
      <c r="B11" s="27" t="inlineStr">
        <is>
          <t>AMHQ</t>
        </is>
      </c>
      <c r="C11" s="27" t="inlineStr">
        <is>
          <t>CHF</t>
        </is>
      </c>
      <c r="D11" s="27" t="inlineStr">
        <is>
          <t>4010</t>
        </is>
      </c>
      <c r="E11" s="27" t="inlineStr">
        <is>
          <t>Product Revenue</t>
        </is>
      </c>
      <c r="F11" s="27" t="inlineStr">
        <is>
          <t>Revenue</t>
        </is>
      </c>
      <c r="G11" s="27" t="inlineStr">
        <is>
          <t>HQ</t>
        </is>
      </c>
      <c r="H11" s="27" t="inlineStr">
        <is>
          <t>MGMT</t>
        </is>
      </c>
      <c r="I11" s="31" t="n">
        <v>-408513</v>
      </c>
      <c r="J11" s="31" t="n">
        <v>-447130</v>
      </c>
      <c r="K11" s="31" t="n">
        <v>-479000</v>
      </c>
      <c r="L11" s="31" t="n">
        <v>-508383</v>
      </c>
      <c r="M11" s="31" t="n">
        <v>-523025</v>
      </c>
      <c r="N11" s="31" t="n">
        <v>-562101</v>
      </c>
      <c r="O11" s="31" t="n">
        <v>-592381</v>
      </c>
      <c r="P11" s="28" t="n">
        <v>-573613</v>
      </c>
      <c r="Q11" s="28" t="n">
        <v>-547539</v>
      </c>
      <c r="R11" s="28" t="n">
        <v>-521466</v>
      </c>
      <c r="S11" s="28" t="n">
        <v>-495393</v>
      </c>
      <c r="T11" s="28" t="n">
        <v>-469319</v>
      </c>
      <c r="U11" s="29">
        <f>SUM(I11:T11)</f>
        <v/>
      </c>
    </row>
    <row r="12">
      <c r="A12" s="27" t="inlineStr">
        <is>
          <t>FORECAST_2024F8</t>
        </is>
      </c>
      <c r="B12" s="27" t="inlineStr">
        <is>
          <t>AMHQ</t>
        </is>
      </c>
      <c r="C12" s="27" t="inlineStr">
        <is>
          <t>CHF</t>
        </is>
      </c>
      <c r="D12" s="27" t="inlineStr">
        <is>
          <t>4020</t>
        </is>
      </c>
      <c r="E12" s="27" t="inlineStr">
        <is>
          <t>Service Revenue</t>
        </is>
      </c>
      <c r="F12" s="27" t="inlineStr">
        <is>
          <t>Revenue</t>
        </is>
      </c>
      <c r="G12" s="27" t="inlineStr">
        <is>
          <t>HQ</t>
        </is>
      </c>
      <c r="H12" s="27" t="inlineStr">
        <is>
          <t>MGMT</t>
        </is>
      </c>
      <c r="I12" s="31" t="n">
        <v>-50549</v>
      </c>
      <c r="J12" s="31" t="n">
        <v>-57815</v>
      </c>
      <c r="K12" s="31" t="n">
        <v>-47400</v>
      </c>
      <c r="L12" s="31" t="n">
        <v>-61098</v>
      </c>
      <c r="M12" s="31" t="n">
        <v>-56444</v>
      </c>
      <c r="N12" s="31" t="n">
        <v>-60043</v>
      </c>
      <c r="O12" s="31" t="n">
        <v>-70544</v>
      </c>
      <c r="P12" s="28" t="n">
        <v>-67374</v>
      </c>
      <c r="Q12" s="28" t="n">
        <v>-64311</v>
      </c>
      <c r="R12" s="28" t="n">
        <v>-61249</v>
      </c>
      <c r="S12" s="28" t="n">
        <v>-58187</v>
      </c>
      <c r="T12" s="28" t="n">
        <v>-55124</v>
      </c>
      <c r="U12" s="29">
        <f>SUM(I12:T12)</f>
        <v/>
      </c>
    </row>
    <row r="13">
      <c r="A13" s="27" t="inlineStr">
        <is>
          <t>FORECAST_2024F8</t>
        </is>
      </c>
      <c r="B13" s="27" t="inlineStr">
        <is>
          <t>AMHQ</t>
        </is>
      </c>
      <c r="C13" s="27" t="inlineStr">
        <is>
          <t>CHF</t>
        </is>
      </c>
      <c r="D13" s="27" t="inlineStr">
        <is>
          <t>5010</t>
        </is>
      </c>
      <c r="E13" s="27" t="inlineStr">
        <is>
          <t>Cost of Goods Sold</t>
        </is>
      </c>
      <c r="F13" s="27" t="inlineStr">
        <is>
          <t>COGS</t>
        </is>
      </c>
      <c r="G13" s="27" t="inlineStr">
        <is>
          <t>HQ</t>
        </is>
      </c>
      <c r="H13" s="27" t="inlineStr">
        <is>
          <t>MGMT</t>
        </is>
      </c>
      <c r="I13" s="31" t="n">
        <v>190006</v>
      </c>
      <c r="J13" s="31" t="n">
        <v>175032</v>
      </c>
      <c r="K13" s="31" t="n">
        <v>182657</v>
      </c>
      <c r="L13" s="31" t="n">
        <v>228277</v>
      </c>
      <c r="M13" s="31" t="n">
        <v>214997</v>
      </c>
      <c r="N13" s="31" t="n">
        <v>227515</v>
      </c>
      <c r="O13" s="31" t="n">
        <v>246381</v>
      </c>
      <c r="P13" s="28" t="n">
        <v>233896</v>
      </c>
      <c r="Q13" s="28" t="n">
        <v>223264</v>
      </c>
      <c r="R13" s="28" t="n">
        <v>212633</v>
      </c>
      <c r="S13" s="28" t="n">
        <v>202001</v>
      </c>
      <c r="T13" s="28" t="n">
        <v>191369</v>
      </c>
      <c r="U13" s="29">
        <f>SUM(I13:T13)</f>
        <v/>
      </c>
    </row>
    <row r="14">
      <c r="A14" s="27" t="inlineStr">
        <is>
          <t>FORECAST_2024F8</t>
        </is>
      </c>
      <c r="B14" s="27" t="inlineStr">
        <is>
          <t>AMHQ</t>
        </is>
      </c>
      <c r="C14" s="27" t="inlineStr">
        <is>
          <t>CHF</t>
        </is>
      </c>
      <c r="D14" s="27" t="inlineStr">
        <is>
          <t>6010</t>
        </is>
      </c>
      <c r="E14" s="27" t="inlineStr">
        <is>
          <t>Salaries and Wages</t>
        </is>
      </c>
      <c r="F14" s="27" t="inlineStr">
        <is>
          <t>OpEx</t>
        </is>
      </c>
      <c r="G14" s="27" t="inlineStr">
        <is>
          <t>HQ</t>
        </is>
      </c>
      <c r="H14" s="27" t="inlineStr">
        <is>
          <t>MGMT</t>
        </is>
      </c>
      <c r="I14" s="31" t="n">
        <v>117270</v>
      </c>
      <c r="J14" s="31" t="n">
        <v>104605</v>
      </c>
      <c r="K14" s="31" t="n">
        <v>117768</v>
      </c>
      <c r="L14" s="31" t="n">
        <v>123639</v>
      </c>
      <c r="M14" s="31" t="n">
        <v>138094</v>
      </c>
      <c r="N14" s="31" t="n">
        <v>146146</v>
      </c>
      <c r="O14" s="31" t="n">
        <v>138234</v>
      </c>
      <c r="P14" s="28" t="n">
        <v>140875</v>
      </c>
      <c r="Q14" s="28" t="n">
        <v>134471</v>
      </c>
      <c r="R14" s="28" t="n">
        <v>128068</v>
      </c>
      <c r="S14" s="28" t="n">
        <v>121664</v>
      </c>
      <c r="T14" s="28" t="n">
        <v>115261</v>
      </c>
      <c r="U14" s="29">
        <f>SUM(I14:T14)</f>
        <v/>
      </c>
    </row>
    <row r="15">
      <c r="A15" s="27" t="inlineStr">
        <is>
          <t>FORECAST_2024F8</t>
        </is>
      </c>
      <c r="B15" s="27" t="inlineStr">
        <is>
          <t>AMHQ</t>
        </is>
      </c>
      <c r="C15" s="27" t="inlineStr">
        <is>
          <t>CHF</t>
        </is>
      </c>
      <c r="D15" s="27" t="inlineStr">
        <is>
          <t>6020</t>
        </is>
      </c>
      <c r="E15" s="27" t="inlineStr">
        <is>
          <t>Rent Expense</t>
        </is>
      </c>
      <c r="F15" s="27" t="inlineStr">
        <is>
          <t>OpEx</t>
        </is>
      </c>
      <c r="G15" s="27" t="inlineStr">
        <is>
          <t>HQ</t>
        </is>
      </c>
      <c r="H15" s="27" t="inlineStr">
        <is>
          <t>MGMT</t>
        </is>
      </c>
      <c r="I15" s="31" t="n">
        <v>16084</v>
      </c>
      <c r="J15" s="31" t="n">
        <v>17627</v>
      </c>
      <c r="K15" s="31" t="n">
        <v>18947</v>
      </c>
      <c r="L15" s="31" t="n">
        <v>20197</v>
      </c>
      <c r="M15" s="31" t="n">
        <v>21491</v>
      </c>
      <c r="N15" s="31" t="n">
        <v>21745</v>
      </c>
      <c r="O15" s="31" t="n">
        <v>23798</v>
      </c>
      <c r="P15" s="28" t="n">
        <v>22871</v>
      </c>
      <c r="Q15" s="28" t="n">
        <v>21831</v>
      </c>
      <c r="R15" s="28" t="n">
        <v>20792</v>
      </c>
      <c r="S15" s="28" t="n">
        <v>19752</v>
      </c>
      <c r="T15" s="28" t="n">
        <v>18712</v>
      </c>
      <c r="U15" s="29">
        <f>SUM(I15:T15)</f>
        <v/>
      </c>
    </row>
    <row r="16">
      <c r="A16" s="27" t="inlineStr">
        <is>
          <t>FORECAST_2024F8</t>
        </is>
      </c>
      <c r="B16" s="27" t="inlineStr">
        <is>
          <t>AMHQ</t>
        </is>
      </c>
      <c r="C16" s="27" t="inlineStr">
        <is>
          <t>CHF</t>
        </is>
      </c>
      <c r="D16" s="27" t="inlineStr">
        <is>
          <t>6030</t>
        </is>
      </c>
      <c r="E16" s="27" t="inlineStr">
        <is>
          <t>Depreciation Expense</t>
        </is>
      </c>
      <c r="F16" s="27" t="inlineStr">
        <is>
          <t>OpEx</t>
        </is>
      </c>
      <c r="G16" s="27" t="inlineStr">
        <is>
          <t>HQ</t>
        </is>
      </c>
      <c r="H16" s="27" t="inlineStr">
        <is>
          <t>MGMT</t>
        </is>
      </c>
      <c r="I16" s="31" t="n">
        <v>11902</v>
      </c>
      <c r="J16" s="31" t="n">
        <v>12829</v>
      </c>
      <c r="K16" s="31" t="n">
        <v>14589</v>
      </c>
      <c r="L16" s="31" t="n">
        <v>14369</v>
      </c>
      <c r="M16" s="31" t="n">
        <v>16301</v>
      </c>
      <c r="N16" s="31" t="n">
        <v>15716</v>
      </c>
      <c r="O16" s="31" t="n">
        <v>16734</v>
      </c>
      <c r="P16" s="28" t="n">
        <v>16958</v>
      </c>
      <c r="Q16" s="28" t="n">
        <v>16187</v>
      </c>
      <c r="R16" s="28" t="n">
        <v>15417</v>
      </c>
      <c r="S16" s="28" t="n">
        <v>14646</v>
      </c>
      <c r="T16" s="28" t="n">
        <v>13875</v>
      </c>
      <c r="U16" s="29">
        <f>SUM(I16:T16)</f>
        <v/>
      </c>
    </row>
    <row r="17">
      <c r="A17" s="27" t="inlineStr">
        <is>
          <t>FORECAST_2024F8</t>
        </is>
      </c>
      <c r="B17" s="27" t="inlineStr">
        <is>
          <t>AMHQ</t>
        </is>
      </c>
      <c r="C17" s="27" t="inlineStr">
        <is>
          <t>CHF</t>
        </is>
      </c>
      <c r="D17" s="27" t="inlineStr">
        <is>
          <t>6040</t>
        </is>
      </c>
      <c r="E17" s="27" t="inlineStr">
        <is>
          <t>Marketing Expense</t>
        </is>
      </c>
      <c r="F17" s="27" t="inlineStr">
        <is>
          <t>OpEx</t>
        </is>
      </c>
      <c r="G17" s="27" t="inlineStr">
        <is>
          <t>HQ</t>
        </is>
      </c>
      <c r="H17" s="27" t="inlineStr">
        <is>
          <t>MGMT</t>
        </is>
      </c>
      <c r="I17" s="31" t="n">
        <v>14409</v>
      </c>
      <c r="J17" s="31" t="n">
        <v>15876</v>
      </c>
      <c r="K17" s="31" t="n">
        <v>18309</v>
      </c>
      <c r="L17" s="31" t="n">
        <v>16142</v>
      </c>
      <c r="M17" s="31" t="n">
        <v>18046</v>
      </c>
      <c r="N17" s="31" t="n">
        <v>14756</v>
      </c>
      <c r="O17" s="31" t="n">
        <v>22664</v>
      </c>
      <c r="P17" s="28" t="n">
        <v>18354</v>
      </c>
      <c r="Q17" s="28" t="n">
        <v>17520</v>
      </c>
      <c r="R17" s="28" t="n">
        <v>16685</v>
      </c>
      <c r="S17" s="28" t="n">
        <v>15851</v>
      </c>
      <c r="T17" s="28" t="n">
        <v>15017</v>
      </c>
      <c r="U17" s="29">
        <f>SUM(I17:T17)</f>
        <v/>
      </c>
    </row>
    <row r="18">
      <c r="A18" s="27" t="inlineStr">
        <is>
          <t>FORECAST_2024F8</t>
        </is>
      </c>
      <c r="B18" s="27" t="inlineStr">
        <is>
          <t>AMHQ</t>
        </is>
      </c>
      <c r="C18" s="27" t="inlineStr">
        <is>
          <t>CHF</t>
        </is>
      </c>
      <c r="D18" s="27" t="inlineStr">
        <is>
          <t>6050</t>
        </is>
      </c>
      <c r="E18" s="27" t="inlineStr">
        <is>
          <t>Travel Expense</t>
        </is>
      </c>
      <c r="F18" s="27" t="inlineStr">
        <is>
          <t>OpEx</t>
        </is>
      </c>
      <c r="G18" s="27" t="inlineStr">
        <is>
          <t>HQ</t>
        </is>
      </c>
      <c r="H18" s="27" t="inlineStr">
        <is>
          <t>MGMT</t>
        </is>
      </c>
      <c r="I18" s="31" t="n">
        <v>8499</v>
      </c>
      <c r="J18" s="31" t="n">
        <v>7626</v>
      </c>
      <c r="K18" s="31" t="n">
        <v>7608</v>
      </c>
      <c r="L18" s="31" t="n">
        <v>9009</v>
      </c>
      <c r="M18" s="31" t="n">
        <v>7236</v>
      </c>
      <c r="N18" s="31" t="n">
        <v>8836</v>
      </c>
      <c r="O18" s="31" t="n">
        <v>6453</v>
      </c>
      <c r="P18" s="28" t="n">
        <v>8797</v>
      </c>
      <c r="Q18" s="28" t="n">
        <v>8397</v>
      </c>
      <c r="R18" s="28" t="n">
        <v>7997</v>
      </c>
      <c r="S18" s="28" t="n">
        <v>7597</v>
      </c>
      <c r="T18" s="28" t="n">
        <v>7197</v>
      </c>
      <c r="U18" s="29">
        <f>SUM(I18:T18)</f>
        <v/>
      </c>
    </row>
    <row r="19">
      <c r="A19" s="27" t="inlineStr">
        <is>
          <t>FORECAST_2024F8</t>
        </is>
      </c>
      <c r="B19" s="27" t="inlineStr">
        <is>
          <t>AMHQ</t>
        </is>
      </c>
      <c r="C19" s="27" t="inlineStr">
        <is>
          <t>CHF</t>
        </is>
      </c>
      <c r="D19" s="27" t="inlineStr">
        <is>
          <t>6060</t>
        </is>
      </c>
      <c r="E19" s="27" t="inlineStr">
        <is>
          <t>Utilities</t>
        </is>
      </c>
      <c r="F19" s="27" t="inlineStr">
        <is>
          <t>OpEx</t>
        </is>
      </c>
      <c r="G19" s="27" t="inlineStr">
        <is>
          <t>HQ</t>
        </is>
      </c>
      <c r="H19" s="27" t="inlineStr">
        <is>
          <t>MGMT</t>
        </is>
      </c>
      <c r="I19" s="31" t="n">
        <v>6065</v>
      </c>
      <c r="J19" s="31" t="n">
        <v>6582</v>
      </c>
      <c r="K19" s="31" t="n">
        <v>6676</v>
      </c>
      <c r="L19" s="31" t="n">
        <v>7953</v>
      </c>
      <c r="M19" s="31" t="n">
        <v>8002</v>
      </c>
      <c r="N19" s="31" t="n">
        <v>8436</v>
      </c>
      <c r="O19" s="31" t="n">
        <v>8613</v>
      </c>
      <c r="P19" s="28" t="n">
        <v>8566</v>
      </c>
      <c r="Q19" s="28" t="n">
        <v>8177</v>
      </c>
      <c r="R19" s="28" t="n">
        <v>7787</v>
      </c>
      <c r="S19" s="28" t="n">
        <v>7398</v>
      </c>
      <c r="T19" s="28" t="n">
        <v>7008</v>
      </c>
      <c r="U19" s="29">
        <f>SUM(I19:T19)</f>
        <v/>
      </c>
    </row>
    <row r="20">
      <c r="E20" s="4" t="inlineStr">
        <is>
          <t>Net Income</t>
        </is>
      </c>
      <c r="I20" s="29">
        <f>SUM(I11:I19)</f>
        <v/>
      </c>
      <c r="J20" s="29">
        <f>SUM(J11:J19)</f>
        <v/>
      </c>
      <c r="K20" s="29">
        <f>SUM(K11:K19)</f>
        <v/>
      </c>
      <c r="L20" s="29">
        <f>SUM(L11:L19)</f>
        <v/>
      </c>
      <c r="M20" s="29">
        <f>SUM(M11:M19)</f>
        <v/>
      </c>
      <c r="N20" s="29">
        <f>SUM(N11:N19)</f>
        <v/>
      </c>
      <c r="O20" s="29">
        <f>SUM(O11:O19)</f>
        <v/>
      </c>
      <c r="P20" s="29">
        <f>SUM(P11:P19)</f>
        <v/>
      </c>
      <c r="Q20" s="29">
        <f>SUM(Q11:Q19)</f>
        <v/>
      </c>
      <c r="R20" s="29">
        <f>SUM(R11:R19)</f>
        <v/>
      </c>
      <c r="S20" s="29">
        <f>SUM(S11:S19)</f>
        <v/>
      </c>
      <c r="T20" s="29">
        <f>SUM(T11:T19)</f>
        <v/>
      </c>
      <c r="U20" s="29">
        <f>SUM(U11:U19)</f>
        <v/>
      </c>
    </row>
    <row r="22">
      <c r="A22" s="24" t="inlineStr">
        <is>
          <t>AMUS</t>
        </is>
      </c>
      <c r="B22" s="24" t="inlineStr">
        <is>
          <t>Alpine Manufacturing US</t>
        </is>
      </c>
      <c r="C22" s="24" t="inlineStr">
        <is>
          <t>USD</t>
        </is>
      </c>
      <c r="D22" s="24" t="n"/>
      <c r="E22" s="25" t="n"/>
      <c r="F22" s="25" t="n"/>
      <c r="G22" s="25" t="n"/>
      <c r="H22" s="25" t="n"/>
      <c r="I22" s="25" t="n"/>
      <c r="J22" s="25" t="n"/>
      <c r="K22" s="25" t="n"/>
      <c r="L22" s="25" t="n"/>
      <c r="M22" s="25" t="n"/>
      <c r="N22" s="25" t="n"/>
      <c r="O22" s="25" t="n"/>
      <c r="P22" s="25" t="n"/>
      <c r="Q22" s="25" t="n"/>
      <c r="R22" s="25" t="n"/>
      <c r="S22" s="25" t="n"/>
      <c r="T22" s="26" t="n"/>
      <c r="U22" s="24" t="n"/>
    </row>
    <row r="23">
      <c r="A23" s="27" t="inlineStr">
        <is>
          <t>FORECAST_2024F8</t>
        </is>
      </c>
      <c r="B23" s="27" t="inlineStr">
        <is>
          <t>AMUS</t>
        </is>
      </c>
      <c r="C23" s="27" t="inlineStr">
        <is>
          <t>USD</t>
        </is>
      </c>
      <c r="D23" s="27" t="inlineStr">
        <is>
          <t>4010</t>
        </is>
      </c>
      <c r="E23" s="27" t="inlineStr">
        <is>
          <t>Product Revenue</t>
        </is>
      </c>
      <c r="F23" s="27" t="inlineStr">
        <is>
          <t>Revenue</t>
        </is>
      </c>
      <c r="G23" s="27" t="inlineStr">
        <is>
          <t>SALES</t>
        </is>
      </c>
      <c r="H23" s="27" t="inlineStr">
        <is>
          <t>SALES</t>
        </is>
      </c>
      <c r="I23" s="31" t="n">
        <v>-649904</v>
      </c>
      <c r="J23" s="31" t="n">
        <v>-676472</v>
      </c>
      <c r="K23" s="31" t="n">
        <v>-760546</v>
      </c>
      <c r="L23" s="31" t="n">
        <v>-790584</v>
      </c>
      <c r="M23" s="31" t="n">
        <v>-844355</v>
      </c>
      <c r="N23" s="31" t="n">
        <v>-829727</v>
      </c>
      <c r="O23" s="31" t="n">
        <v>-884090</v>
      </c>
      <c r="P23" s="28" t="n">
        <v>-902289</v>
      </c>
      <c r="Q23" s="28" t="n">
        <v>-861275</v>
      </c>
      <c r="R23" s="28" t="n">
        <v>-820262</v>
      </c>
      <c r="S23" s="28" t="n">
        <v>-779249</v>
      </c>
      <c r="T23" s="28" t="n">
        <v>-738236</v>
      </c>
      <c r="U23" s="29">
        <f>SUM(I23:T23)</f>
        <v/>
      </c>
    </row>
    <row r="24">
      <c r="A24" s="27" t="inlineStr">
        <is>
          <t>FORECAST_2024F8</t>
        </is>
      </c>
      <c r="B24" s="27" t="inlineStr">
        <is>
          <t>AMUS</t>
        </is>
      </c>
      <c r="C24" s="27" t="inlineStr">
        <is>
          <t>USD</t>
        </is>
      </c>
      <c r="D24" s="27" t="inlineStr">
        <is>
          <t>4020</t>
        </is>
      </c>
      <c r="E24" s="27" t="inlineStr">
        <is>
          <t>Service Revenue</t>
        </is>
      </c>
      <c r="F24" s="27" t="inlineStr">
        <is>
          <t>Revenue</t>
        </is>
      </c>
      <c r="G24" s="27" t="inlineStr">
        <is>
          <t>SALES</t>
        </is>
      </c>
      <c r="H24" s="27" t="inlineStr">
        <is>
          <t>SALES</t>
        </is>
      </c>
      <c r="I24" s="31" t="n">
        <v>-95514</v>
      </c>
      <c r="J24" s="31" t="n">
        <v>-104799</v>
      </c>
      <c r="K24" s="31" t="n">
        <v>-89710</v>
      </c>
      <c r="L24" s="31" t="n">
        <v>-108115</v>
      </c>
      <c r="M24" s="31" t="n">
        <v>-106539</v>
      </c>
      <c r="N24" s="31" t="n">
        <v>-119222</v>
      </c>
      <c r="O24" s="31" t="n">
        <v>-122554</v>
      </c>
      <c r="P24" s="28" t="n">
        <v>-115673</v>
      </c>
      <c r="Q24" s="28" t="n">
        <v>-110416</v>
      </c>
      <c r="R24" s="28" t="n">
        <v>-105158</v>
      </c>
      <c r="S24" s="28" t="n">
        <v>-99900</v>
      </c>
      <c r="T24" s="28" t="n">
        <v>-94642</v>
      </c>
      <c r="U24" s="29">
        <f>SUM(I24:T24)</f>
        <v/>
      </c>
    </row>
    <row r="25">
      <c r="A25" s="27" t="inlineStr">
        <is>
          <t>FORECAST_2024F8</t>
        </is>
      </c>
      <c r="B25" s="27" t="inlineStr">
        <is>
          <t>AMUS</t>
        </is>
      </c>
      <c r="C25" s="27" t="inlineStr">
        <is>
          <t>USD</t>
        </is>
      </c>
      <c r="D25" s="27" t="inlineStr">
        <is>
          <t>5010</t>
        </is>
      </c>
      <c r="E25" s="27" t="inlineStr">
        <is>
          <t>Cost of Goods Sold</t>
        </is>
      </c>
      <c r="F25" s="27" t="inlineStr">
        <is>
          <t>COGS</t>
        </is>
      </c>
      <c r="G25" s="27" t="inlineStr">
        <is>
          <t>SALES</t>
        </is>
      </c>
      <c r="H25" s="27" t="inlineStr">
        <is>
          <t>SALES</t>
        </is>
      </c>
      <c r="I25" s="31" t="n">
        <v>281100</v>
      </c>
      <c r="J25" s="31" t="n">
        <v>315174</v>
      </c>
      <c r="K25" s="31" t="n">
        <v>316927</v>
      </c>
      <c r="L25" s="31" t="n">
        <v>305969</v>
      </c>
      <c r="M25" s="31" t="n">
        <v>331511</v>
      </c>
      <c r="N25" s="31" t="n">
        <v>394626</v>
      </c>
      <c r="O25" s="31" t="n">
        <v>351566</v>
      </c>
      <c r="P25" s="28" t="n">
        <v>370548</v>
      </c>
      <c r="Q25" s="28" t="n">
        <v>353705</v>
      </c>
      <c r="R25" s="28" t="n">
        <v>336862</v>
      </c>
      <c r="S25" s="28" t="n">
        <v>320019</v>
      </c>
      <c r="T25" s="28" t="n">
        <v>303176</v>
      </c>
      <c r="U25" s="29">
        <f>SUM(I25:T25)</f>
        <v/>
      </c>
    </row>
    <row r="26">
      <c r="A26" s="27" t="inlineStr">
        <is>
          <t>FORECAST_2024F8</t>
        </is>
      </c>
      <c r="B26" s="27" t="inlineStr">
        <is>
          <t>AMUS</t>
        </is>
      </c>
      <c r="C26" s="27" t="inlineStr">
        <is>
          <t>USD</t>
        </is>
      </c>
      <c r="D26" s="27" t="inlineStr">
        <is>
          <t>6010</t>
        </is>
      </c>
      <c r="E26" s="27" t="inlineStr">
        <is>
          <t>Salaries and Wages</t>
        </is>
      </c>
      <c r="F26" s="27" t="inlineStr">
        <is>
          <t>OpEx</t>
        </is>
      </c>
      <c r="G26" s="27" t="inlineStr">
        <is>
          <t>SALES</t>
        </is>
      </c>
      <c r="H26" s="27" t="inlineStr">
        <is>
          <t>SALES</t>
        </is>
      </c>
      <c r="I26" s="31" t="n">
        <v>148411</v>
      </c>
      <c r="J26" s="31" t="n">
        <v>184972</v>
      </c>
      <c r="K26" s="31" t="n">
        <v>181879</v>
      </c>
      <c r="L26" s="31" t="n">
        <v>186780</v>
      </c>
      <c r="M26" s="31" t="n">
        <v>207833</v>
      </c>
      <c r="N26" s="31" t="n">
        <v>205283</v>
      </c>
      <c r="O26" s="31" t="n">
        <v>230421</v>
      </c>
      <c r="P26" s="28" t="n">
        <v>219772</v>
      </c>
      <c r="Q26" s="28" t="n">
        <v>209782</v>
      </c>
      <c r="R26" s="28" t="n">
        <v>199792</v>
      </c>
      <c r="S26" s="28" t="n">
        <v>189803</v>
      </c>
      <c r="T26" s="28" t="n">
        <v>179813</v>
      </c>
      <c r="U26" s="29">
        <f>SUM(I26:T26)</f>
        <v/>
      </c>
    </row>
    <row r="27">
      <c r="A27" s="27" t="inlineStr">
        <is>
          <t>FORECAST_2024F8</t>
        </is>
      </c>
      <c r="B27" s="27" t="inlineStr">
        <is>
          <t>AMUS</t>
        </is>
      </c>
      <c r="C27" s="27" t="inlineStr">
        <is>
          <t>USD</t>
        </is>
      </c>
      <c r="D27" s="27" t="inlineStr">
        <is>
          <t>6020</t>
        </is>
      </c>
      <c r="E27" s="27" t="inlineStr">
        <is>
          <t>Rent Expense</t>
        </is>
      </c>
      <c r="F27" s="27" t="inlineStr">
        <is>
          <t>OpEx</t>
        </is>
      </c>
      <c r="G27" s="27" t="inlineStr">
        <is>
          <t>SALES</t>
        </is>
      </c>
      <c r="H27" s="27" t="inlineStr">
        <is>
          <t>SALES</t>
        </is>
      </c>
      <c r="I27" s="31" t="n">
        <v>28210</v>
      </c>
      <c r="J27" s="31" t="n">
        <v>28548</v>
      </c>
      <c r="K27" s="31" t="n">
        <v>29953</v>
      </c>
      <c r="L27" s="31" t="n">
        <v>32720</v>
      </c>
      <c r="M27" s="31" t="n">
        <v>33477</v>
      </c>
      <c r="N27" s="31" t="n">
        <v>35364</v>
      </c>
      <c r="O27" s="31" t="n">
        <v>34926</v>
      </c>
      <c r="P27" s="28" t="n">
        <v>36545</v>
      </c>
      <c r="Q27" s="28" t="n">
        <v>34883</v>
      </c>
      <c r="R27" s="28" t="n">
        <v>33222</v>
      </c>
      <c r="S27" s="28" t="n">
        <v>31561</v>
      </c>
      <c r="T27" s="28" t="n">
        <v>29900</v>
      </c>
      <c r="U27" s="29">
        <f>SUM(I27:T27)</f>
        <v/>
      </c>
    </row>
    <row r="28">
      <c r="A28" s="27" t="inlineStr">
        <is>
          <t>FORECAST_2024F8</t>
        </is>
      </c>
      <c r="B28" s="27" t="inlineStr">
        <is>
          <t>AMUS</t>
        </is>
      </c>
      <c r="C28" s="27" t="inlineStr">
        <is>
          <t>USD</t>
        </is>
      </c>
      <c r="D28" s="27" t="inlineStr">
        <is>
          <t>6030</t>
        </is>
      </c>
      <c r="E28" s="27" t="inlineStr">
        <is>
          <t>Depreciation Expense</t>
        </is>
      </c>
      <c r="F28" s="27" t="inlineStr">
        <is>
          <t>OpEx</t>
        </is>
      </c>
      <c r="G28" s="27" t="inlineStr">
        <is>
          <t>SALES</t>
        </is>
      </c>
      <c r="H28" s="27" t="inlineStr">
        <is>
          <t>SALES</t>
        </is>
      </c>
      <c r="I28" s="31" t="n">
        <v>20906</v>
      </c>
      <c r="J28" s="31" t="n">
        <v>22852</v>
      </c>
      <c r="K28" s="31" t="n">
        <v>23741</v>
      </c>
      <c r="L28" s="31" t="n">
        <v>24770</v>
      </c>
      <c r="M28" s="31" t="n">
        <v>24752</v>
      </c>
      <c r="N28" s="31" t="n">
        <v>28061</v>
      </c>
      <c r="O28" s="31" t="n">
        <v>27806</v>
      </c>
      <c r="P28" s="28" t="n">
        <v>27840</v>
      </c>
      <c r="Q28" s="28" t="n">
        <v>26574</v>
      </c>
      <c r="R28" s="28" t="n">
        <v>25309</v>
      </c>
      <c r="S28" s="28" t="n">
        <v>24043</v>
      </c>
      <c r="T28" s="28" t="n">
        <v>22778</v>
      </c>
      <c r="U28" s="29">
        <f>SUM(I28:T28)</f>
        <v/>
      </c>
    </row>
    <row r="29">
      <c r="A29" s="27" t="inlineStr">
        <is>
          <t>FORECAST_2024F8</t>
        </is>
      </c>
      <c r="B29" s="27" t="inlineStr">
        <is>
          <t>AMUS</t>
        </is>
      </c>
      <c r="C29" s="27" t="inlineStr">
        <is>
          <t>USD</t>
        </is>
      </c>
      <c r="D29" s="27" t="inlineStr">
        <is>
          <t>6040</t>
        </is>
      </c>
      <c r="E29" s="27" t="inlineStr">
        <is>
          <t>Marketing Expense</t>
        </is>
      </c>
      <c r="F29" s="27" t="inlineStr">
        <is>
          <t>OpEx</t>
        </is>
      </c>
      <c r="G29" s="27" t="inlineStr">
        <is>
          <t>SALES</t>
        </is>
      </c>
      <c r="H29" s="27" t="inlineStr">
        <is>
          <t>SALES</t>
        </is>
      </c>
      <c r="I29" s="31" t="n">
        <v>18854</v>
      </c>
      <c r="J29" s="31" t="n">
        <v>28363</v>
      </c>
      <c r="K29" s="31" t="n">
        <v>21002</v>
      </c>
      <c r="L29" s="31" t="n">
        <v>24695</v>
      </c>
      <c r="M29" s="31" t="n">
        <v>19535</v>
      </c>
      <c r="N29" s="31" t="n">
        <v>22005</v>
      </c>
      <c r="O29" s="31" t="n">
        <v>31636</v>
      </c>
      <c r="P29" s="28" t="n">
        <v>27306</v>
      </c>
      <c r="Q29" s="28" t="n">
        <v>26064</v>
      </c>
      <c r="R29" s="28" t="n">
        <v>24823</v>
      </c>
      <c r="S29" s="28" t="n">
        <v>23582</v>
      </c>
      <c r="T29" s="28" t="n">
        <v>22341</v>
      </c>
      <c r="U29" s="29">
        <f>SUM(I29:T29)</f>
        <v/>
      </c>
    </row>
    <row r="30">
      <c r="A30" s="27" t="inlineStr">
        <is>
          <t>FORECAST_2024F8</t>
        </is>
      </c>
      <c r="B30" s="27" t="inlineStr">
        <is>
          <t>AMUS</t>
        </is>
      </c>
      <c r="C30" s="27" t="inlineStr">
        <is>
          <t>USD</t>
        </is>
      </c>
      <c r="D30" s="27" t="inlineStr">
        <is>
          <t>6050</t>
        </is>
      </c>
      <c r="E30" s="27" t="inlineStr">
        <is>
          <t>Travel Expense</t>
        </is>
      </c>
      <c r="F30" s="27" t="inlineStr">
        <is>
          <t>OpEx</t>
        </is>
      </c>
      <c r="G30" s="27" t="inlineStr">
        <is>
          <t>SALES</t>
        </is>
      </c>
      <c r="H30" s="27" t="inlineStr">
        <is>
          <t>SALES</t>
        </is>
      </c>
      <c r="I30" s="31" t="n">
        <v>9033</v>
      </c>
      <c r="J30" s="31" t="n">
        <v>11299</v>
      </c>
      <c r="K30" s="31" t="n">
        <v>11619</v>
      </c>
      <c r="L30" s="31" t="n">
        <v>11132</v>
      </c>
      <c r="M30" s="31" t="n">
        <v>13483</v>
      </c>
      <c r="N30" s="31" t="n">
        <v>13561</v>
      </c>
      <c r="O30" s="31" t="n">
        <v>12668</v>
      </c>
      <c r="P30" s="28" t="n">
        <v>13633</v>
      </c>
      <c r="Q30" s="28" t="n">
        <v>13013</v>
      </c>
      <c r="R30" s="28" t="n">
        <v>12393</v>
      </c>
      <c r="S30" s="28" t="n">
        <v>11774</v>
      </c>
      <c r="T30" s="28" t="n">
        <v>11154</v>
      </c>
      <c r="U30" s="29">
        <f>SUM(I30:T30)</f>
        <v/>
      </c>
    </row>
    <row r="31">
      <c r="A31" s="27" t="inlineStr">
        <is>
          <t>FORECAST_2024F8</t>
        </is>
      </c>
      <c r="B31" s="27" t="inlineStr">
        <is>
          <t>AMUS</t>
        </is>
      </c>
      <c r="C31" s="27" t="inlineStr">
        <is>
          <t>USD</t>
        </is>
      </c>
      <c r="D31" s="27" t="inlineStr">
        <is>
          <t>6060</t>
        </is>
      </c>
      <c r="E31" s="27" t="inlineStr">
        <is>
          <t>Utilities</t>
        </is>
      </c>
      <c r="F31" s="27" t="inlineStr">
        <is>
          <t>OpEx</t>
        </is>
      </c>
      <c r="G31" s="27" t="inlineStr">
        <is>
          <t>SALES</t>
        </is>
      </c>
      <c r="H31" s="27" t="inlineStr">
        <is>
          <t>SALES</t>
        </is>
      </c>
      <c r="I31" s="31" t="n">
        <v>10739</v>
      </c>
      <c r="J31" s="31" t="n">
        <v>10743</v>
      </c>
      <c r="K31" s="31" t="n">
        <v>11174</v>
      </c>
      <c r="L31" s="31" t="n">
        <v>11673</v>
      </c>
      <c r="M31" s="31" t="n">
        <v>12691</v>
      </c>
      <c r="N31" s="31" t="n">
        <v>12600</v>
      </c>
      <c r="O31" s="31" t="n">
        <v>14005</v>
      </c>
      <c r="P31" s="28" t="n">
        <v>13698</v>
      </c>
      <c r="Q31" s="28" t="n">
        <v>13075</v>
      </c>
      <c r="R31" s="28" t="n">
        <v>12453</v>
      </c>
      <c r="S31" s="28" t="n">
        <v>11830</v>
      </c>
      <c r="T31" s="28" t="n">
        <v>11207</v>
      </c>
      <c r="U31" s="29">
        <f>SUM(I31:T31)</f>
        <v/>
      </c>
    </row>
    <row r="32">
      <c r="E32" s="4" t="inlineStr">
        <is>
          <t>Net Income</t>
        </is>
      </c>
      <c r="I32" s="29">
        <f>SUM(I23:I31)</f>
        <v/>
      </c>
      <c r="J32" s="29">
        <f>SUM(J23:J31)</f>
        <v/>
      </c>
      <c r="K32" s="29">
        <f>SUM(K23:K31)</f>
        <v/>
      </c>
      <c r="L32" s="29">
        <f>SUM(L23:L31)</f>
        <v/>
      </c>
      <c r="M32" s="29">
        <f>SUM(M23:M31)</f>
        <v/>
      </c>
      <c r="N32" s="29">
        <f>SUM(N23:N31)</f>
        <v/>
      </c>
      <c r="O32" s="29">
        <f>SUM(O23:O31)</f>
        <v/>
      </c>
      <c r="P32" s="29">
        <f>SUM(P23:P31)</f>
        <v/>
      </c>
      <c r="Q32" s="29">
        <f>SUM(Q23:Q31)</f>
        <v/>
      </c>
      <c r="R32" s="29">
        <f>SUM(R23:R31)</f>
        <v/>
      </c>
      <c r="S32" s="29">
        <f>SUM(S23:S31)</f>
        <v/>
      </c>
      <c r="T32" s="29">
        <f>SUM(T23:T31)</f>
        <v/>
      </c>
      <c r="U32" s="29">
        <f>SUM(U23:U31)</f>
        <v/>
      </c>
    </row>
    <row r="34">
      <c r="A34" s="24" t="inlineStr">
        <is>
          <t>AMDE</t>
        </is>
      </c>
      <c r="B34" s="24" t="inlineStr">
        <is>
          <t>Alpine Manufacturing DE</t>
        </is>
      </c>
      <c r="C34" s="24" t="inlineStr">
        <is>
          <t>EUR</t>
        </is>
      </c>
      <c r="D34" s="24" t="n"/>
      <c r="E34" s="25" t="n"/>
      <c r="F34" s="25" t="n"/>
      <c r="G34" s="25" t="n"/>
      <c r="H34" s="25" t="n"/>
      <c r="I34" s="25" t="n"/>
      <c r="J34" s="25" t="n"/>
      <c r="K34" s="25" t="n"/>
      <c r="L34" s="25" t="n"/>
      <c r="M34" s="25" t="n"/>
      <c r="N34" s="25" t="n"/>
      <c r="O34" s="25" t="n"/>
      <c r="P34" s="25" t="n"/>
      <c r="Q34" s="25" t="n"/>
      <c r="R34" s="25" t="n"/>
      <c r="S34" s="25" t="n"/>
      <c r="T34" s="26" t="n"/>
      <c r="U34" s="24" t="n"/>
    </row>
    <row r="35">
      <c r="A35" s="27" t="inlineStr">
        <is>
          <t>FORECAST_2024F8</t>
        </is>
      </c>
      <c r="B35" s="27" t="inlineStr">
        <is>
          <t>AMDE</t>
        </is>
      </c>
      <c r="C35" s="27" t="inlineStr">
        <is>
          <t>EUR</t>
        </is>
      </c>
      <c r="D35" s="27" t="inlineStr">
        <is>
          <t>4010</t>
        </is>
      </c>
      <c r="E35" s="27" t="inlineStr">
        <is>
          <t>Product Revenue</t>
        </is>
      </c>
      <c r="F35" s="27" t="inlineStr">
        <is>
          <t>Revenue</t>
        </is>
      </c>
      <c r="G35" s="27" t="inlineStr">
        <is>
          <t>PROD</t>
        </is>
      </c>
      <c r="H35" s="27" t="inlineStr">
        <is>
          <t>OPS</t>
        </is>
      </c>
      <c r="I35" s="31" t="n">
        <v>-537584</v>
      </c>
      <c r="J35" s="31" t="n">
        <v>-507980</v>
      </c>
      <c r="K35" s="31" t="n">
        <v>-536116</v>
      </c>
      <c r="L35" s="31" t="n">
        <v>-559564</v>
      </c>
      <c r="M35" s="31" t="n">
        <v>-630633</v>
      </c>
      <c r="N35" s="31" t="n">
        <v>-616682</v>
      </c>
      <c r="O35" s="31" t="n">
        <v>-697910</v>
      </c>
      <c r="P35" s="28" t="n">
        <v>-677479</v>
      </c>
      <c r="Q35" s="28" t="n">
        <v>-646685</v>
      </c>
      <c r="R35" s="28" t="n">
        <v>-615890</v>
      </c>
      <c r="S35" s="28" t="n">
        <v>-585096</v>
      </c>
      <c r="T35" s="28" t="n">
        <v>-554301</v>
      </c>
      <c r="U35" s="29">
        <f>SUM(I35:T35)</f>
        <v/>
      </c>
    </row>
    <row r="36">
      <c r="A36" s="27" t="inlineStr">
        <is>
          <t>FORECAST_2024F8</t>
        </is>
      </c>
      <c r="B36" s="27" t="inlineStr">
        <is>
          <t>AMDE</t>
        </is>
      </c>
      <c r="C36" s="27" t="inlineStr">
        <is>
          <t>EUR</t>
        </is>
      </c>
      <c r="D36" s="27" t="inlineStr">
        <is>
          <t>4020</t>
        </is>
      </c>
      <c r="E36" s="27" t="inlineStr">
        <is>
          <t>Service Revenue</t>
        </is>
      </c>
      <c r="F36" s="27" t="inlineStr">
        <is>
          <t>Revenue</t>
        </is>
      </c>
      <c r="G36" s="27" t="inlineStr">
        <is>
          <t>PROD</t>
        </is>
      </c>
      <c r="H36" s="27" t="inlineStr">
        <is>
          <t>OPS</t>
        </is>
      </c>
      <c r="I36" s="31" t="n">
        <v>-64864</v>
      </c>
      <c r="J36" s="31" t="n">
        <v>-64286</v>
      </c>
      <c r="K36" s="31" t="n">
        <v>-71714</v>
      </c>
      <c r="L36" s="31" t="n">
        <v>-69171</v>
      </c>
      <c r="M36" s="31" t="n">
        <v>-75487</v>
      </c>
      <c r="N36" s="31" t="n">
        <v>-78111</v>
      </c>
      <c r="O36" s="31" t="n">
        <v>-94508</v>
      </c>
      <c r="P36" s="28" t="n">
        <v>-83479</v>
      </c>
      <c r="Q36" s="28" t="n">
        <v>-79684</v>
      </c>
      <c r="R36" s="28" t="n">
        <v>-75890</v>
      </c>
      <c r="S36" s="28" t="n">
        <v>-72095</v>
      </c>
      <c r="T36" s="28" t="n">
        <v>-68301</v>
      </c>
      <c r="U36" s="29">
        <f>SUM(I36:T36)</f>
        <v/>
      </c>
    </row>
    <row r="37">
      <c r="A37" s="27" t="inlineStr">
        <is>
          <t>FORECAST_2024F8</t>
        </is>
      </c>
      <c r="B37" s="27" t="inlineStr">
        <is>
          <t>AMDE</t>
        </is>
      </c>
      <c r="C37" s="27" t="inlineStr">
        <is>
          <t>EUR</t>
        </is>
      </c>
      <c r="D37" s="27" t="inlineStr">
        <is>
          <t>5010</t>
        </is>
      </c>
      <c r="E37" s="27" t="inlineStr">
        <is>
          <t>Cost of Goods Sold</t>
        </is>
      </c>
      <c r="F37" s="27" t="inlineStr">
        <is>
          <t>COGS</t>
        </is>
      </c>
      <c r="G37" s="27" t="inlineStr">
        <is>
          <t>PROD</t>
        </is>
      </c>
      <c r="H37" s="27" t="inlineStr">
        <is>
          <t>OPS</t>
        </is>
      </c>
      <c r="I37" s="31" t="n">
        <v>204306</v>
      </c>
      <c r="J37" s="31" t="n">
        <v>212299</v>
      </c>
      <c r="K37" s="31" t="n">
        <v>215205</v>
      </c>
      <c r="L37" s="31" t="n">
        <v>220373</v>
      </c>
      <c r="M37" s="31" t="n">
        <v>267499</v>
      </c>
      <c r="N37" s="31" t="n">
        <v>267662</v>
      </c>
      <c r="O37" s="31" t="n">
        <v>283568</v>
      </c>
      <c r="P37" s="28" t="n">
        <v>273845</v>
      </c>
      <c r="Q37" s="28" t="n">
        <v>261398</v>
      </c>
      <c r="R37" s="28" t="n">
        <v>248950</v>
      </c>
      <c r="S37" s="28" t="n">
        <v>236503</v>
      </c>
      <c r="T37" s="28" t="n">
        <v>224055</v>
      </c>
      <c r="U37" s="29">
        <f>SUM(I37:T37)</f>
        <v/>
      </c>
    </row>
    <row r="38">
      <c r="A38" s="27" t="inlineStr">
        <is>
          <t>FORECAST_2024F8</t>
        </is>
      </c>
      <c r="B38" s="27" t="inlineStr">
        <is>
          <t>AMDE</t>
        </is>
      </c>
      <c r="C38" s="27" t="inlineStr">
        <is>
          <t>EUR</t>
        </is>
      </c>
      <c r="D38" s="27" t="inlineStr">
        <is>
          <t>6010</t>
        </is>
      </c>
      <c r="E38" s="27" t="inlineStr">
        <is>
          <t>Salaries and Wages</t>
        </is>
      </c>
      <c r="F38" s="27" t="inlineStr">
        <is>
          <t>OpEx</t>
        </is>
      </c>
      <c r="G38" s="27" t="inlineStr">
        <is>
          <t>PROD</t>
        </is>
      </c>
      <c r="H38" s="27" t="inlineStr">
        <is>
          <t>OPS</t>
        </is>
      </c>
      <c r="I38" s="31" t="n">
        <v>132875</v>
      </c>
      <c r="J38" s="31" t="n">
        <v>130600</v>
      </c>
      <c r="K38" s="31" t="n">
        <v>147907</v>
      </c>
      <c r="L38" s="31" t="n">
        <v>150455</v>
      </c>
      <c r="M38" s="31" t="n">
        <v>153728</v>
      </c>
      <c r="N38" s="31" t="n">
        <v>164096</v>
      </c>
      <c r="O38" s="31" t="n">
        <v>153933</v>
      </c>
      <c r="P38" s="28" t="n">
        <v>166746</v>
      </c>
      <c r="Q38" s="28" t="n">
        <v>159167</v>
      </c>
      <c r="R38" s="28" t="n">
        <v>151588</v>
      </c>
      <c r="S38" s="28" t="n">
        <v>144008</v>
      </c>
      <c r="T38" s="28" t="n">
        <v>136429</v>
      </c>
      <c r="U38" s="29">
        <f>SUM(I38:T38)</f>
        <v/>
      </c>
    </row>
    <row r="39">
      <c r="A39" s="27" t="inlineStr">
        <is>
          <t>FORECAST_2024F8</t>
        </is>
      </c>
      <c r="B39" s="27" t="inlineStr">
        <is>
          <t>AMDE</t>
        </is>
      </c>
      <c r="C39" s="27" t="inlineStr">
        <is>
          <t>EUR</t>
        </is>
      </c>
      <c r="D39" s="27" t="inlineStr">
        <is>
          <t>6020</t>
        </is>
      </c>
      <c r="E39" s="27" t="inlineStr">
        <is>
          <t>Rent Expense</t>
        </is>
      </c>
      <c r="F39" s="27" t="inlineStr">
        <is>
          <t>OpEx</t>
        </is>
      </c>
      <c r="G39" s="27" t="inlineStr">
        <is>
          <t>PROD</t>
        </is>
      </c>
      <c r="H39" s="27" t="inlineStr">
        <is>
          <t>OPS</t>
        </is>
      </c>
      <c r="I39" s="31" t="n">
        <v>20347</v>
      </c>
      <c r="J39" s="31" t="n">
        <v>21535</v>
      </c>
      <c r="K39" s="31" t="n">
        <v>21876</v>
      </c>
      <c r="L39" s="31" t="n">
        <v>22861</v>
      </c>
      <c r="M39" s="31" t="n">
        <v>26376</v>
      </c>
      <c r="N39" s="31" t="n">
        <v>24634</v>
      </c>
      <c r="O39" s="31" t="n">
        <v>25834</v>
      </c>
      <c r="P39" s="28" t="n">
        <v>27099</v>
      </c>
      <c r="Q39" s="28" t="n">
        <v>25867</v>
      </c>
      <c r="R39" s="28" t="n">
        <v>24635</v>
      </c>
      <c r="S39" s="28" t="n">
        <v>23404</v>
      </c>
      <c r="T39" s="28" t="n">
        <v>22172</v>
      </c>
      <c r="U39" s="29">
        <f>SUM(I39:T39)</f>
        <v/>
      </c>
    </row>
    <row r="40">
      <c r="A40" s="27" t="inlineStr">
        <is>
          <t>FORECAST_2024F8</t>
        </is>
      </c>
      <c r="B40" s="27" t="inlineStr">
        <is>
          <t>AMDE</t>
        </is>
      </c>
      <c r="C40" s="27" t="inlineStr">
        <is>
          <t>EUR</t>
        </is>
      </c>
      <c r="D40" s="27" t="inlineStr">
        <is>
          <t>6030</t>
        </is>
      </c>
      <c r="E40" s="27" t="inlineStr">
        <is>
          <t>Depreciation Expense</t>
        </is>
      </c>
      <c r="F40" s="27" t="inlineStr">
        <is>
          <t>OpEx</t>
        </is>
      </c>
      <c r="G40" s="27" t="inlineStr">
        <is>
          <t>PROD</t>
        </is>
      </c>
      <c r="H40" s="27" t="inlineStr">
        <is>
          <t>OPS</t>
        </is>
      </c>
      <c r="I40" s="31" t="n">
        <v>14348</v>
      </c>
      <c r="J40" s="31" t="n">
        <v>15651</v>
      </c>
      <c r="K40" s="31" t="n">
        <v>16333</v>
      </c>
      <c r="L40" s="31" t="n">
        <v>19154</v>
      </c>
      <c r="M40" s="31" t="n">
        <v>19162</v>
      </c>
      <c r="N40" s="31" t="n">
        <v>19976</v>
      </c>
      <c r="O40" s="31" t="n">
        <v>19304</v>
      </c>
      <c r="P40" s="28" t="n">
        <v>20429</v>
      </c>
      <c r="Q40" s="28" t="n">
        <v>19500</v>
      </c>
      <c r="R40" s="28" t="n">
        <v>18572</v>
      </c>
      <c r="S40" s="28" t="n">
        <v>17643</v>
      </c>
      <c r="T40" s="28" t="n">
        <v>16714</v>
      </c>
      <c r="U40" s="29">
        <f>SUM(I40:T40)</f>
        <v/>
      </c>
    </row>
    <row r="41">
      <c r="A41" s="27" t="inlineStr">
        <is>
          <t>FORECAST_2024F8</t>
        </is>
      </c>
      <c r="B41" s="27" t="inlineStr">
        <is>
          <t>AMDE</t>
        </is>
      </c>
      <c r="C41" s="27" t="inlineStr">
        <is>
          <t>EUR</t>
        </is>
      </c>
      <c r="D41" s="27" t="inlineStr">
        <is>
          <t>6040</t>
        </is>
      </c>
      <c r="E41" s="27" t="inlineStr">
        <is>
          <t>Marketing Expense</t>
        </is>
      </c>
      <c r="F41" s="27" t="inlineStr">
        <is>
          <t>OpEx</t>
        </is>
      </c>
      <c r="G41" s="27" t="inlineStr">
        <is>
          <t>PROD</t>
        </is>
      </c>
      <c r="H41" s="27" t="inlineStr">
        <is>
          <t>OPS</t>
        </is>
      </c>
      <c r="I41" s="31" t="n">
        <v>20360</v>
      </c>
      <c r="J41" s="31" t="n">
        <v>18856</v>
      </c>
      <c r="K41" s="31" t="n">
        <v>20747</v>
      </c>
      <c r="L41" s="31" t="n">
        <v>14818</v>
      </c>
      <c r="M41" s="31" t="n">
        <v>16289</v>
      </c>
      <c r="N41" s="31" t="n">
        <v>18279</v>
      </c>
      <c r="O41" s="31" t="n">
        <v>21807</v>
      </c>
      <c r="P41" s="28" t="n">
        <v>20997</v>
      </c>
      <c r="Q41" s="28" t="n">
        <v>20042</v>
      </c>
      <c r="R41" s="28" t="n">
        <v>19088</v>
      </c>
      <c r="S41" s="28" t="n">
        <v>18133</v>
      </c>
      <c r="T41" s="28" t="n">
        <v>17179</v>
      </c>
      <c r="U41" s="29">
        <f>SUM(I41:T41)</f>
        <v/>
      </c>
    </row>
    <row r="42">
      <c r="A42" s="27" t="inlineStr">
        <is>
          <t>FORECAST_2024F8</t>
        </is>
      </c>
      <c r="B42" s="27" t="inlineStr">
        <is>
          <t>AMDE</t>
        </is>
      </c>
      <c r="C42" s="27" t="inlineStr">
        <is>
          <t>EUR</t>
        </is>
      </c>
      <c r="D42" s="27" t="inlineStr">
        <is>
          <t>6050</t>
        </is>
      </c>
      <c r="E42" s="27" t="inlineStr">
        <is>
          <t>Travel Expense</t>
        </is>
      </c>
      <c r="F42" s="27" t="inlineStr">
        <is>
          <t>OpEx</t>
        </is>
      </c>
      <c r="G42" s="27" t="inlineStr">
        <is>
          <t>PROD</t>
        </is>
      </c>
      <c r="H42" s="27" t="inlineStr">
        <is>
          <t>OPS</t>
        </is>
      </c>
      <c r="I42" s="31" t="n">
        <v>5384</v>
      </c>
      <c r="J42" s="31" t="n">
        <v>8440</v>
      </c>
      <c r="K42" s="31" t="n">
        <v>7996</v>
      </c>
      <c r="L42" s="31" t="n">
        <v>9122</v>
      </c>
      <c r="M42" s="31" t="n">
        <v>12498</v>
      </c>
      <c r="N42" s="31" t="n">
        <v>11303</v>
      </c>
      <c r="O42" s="31" t="n">
        <v>9484</v>
      </c>
      <c r="P42" s="28" t="n">
        <v>10392</v>
      </c>
      <c r="Q42" s="28" t="n">
        <v>9920</v>
      </c>
      <c r="R42" s="28" t="n">
        <v>9447</v>
      </c>
      <c r="S42" s="28" t="n">
        <v>8975</v>
      </c>
      <c r="T42" s="28" t="n">
        <v>8502</v>
      </c>
      <c r="U42" s="29">
        <f>SUM(I42:T42)</f>
        <v/>
      </c>
    </row>
    <row r="43">
      <c r="A43" s="27" t="inlineStr">
        <is>
          <t>FORECAST_2024F8</t>
        </is>
      </c>
      <c r="B43" s="27" t="inlineStr">
        <is>
          <t>AMDE</t>
        </is>
      </c>
      <c r="C43" s="27" t="inlineStr">
        <is>
          <t>EUR</t>
        </is>
      </c>
      <c r="D43" s="27" t="inlineStr">
        <is>
          <t>6060</t>
        </is>
      </c>
      <c r="E43" s="27" t="inlineStr">
        <is>
          <t>Utilities</t>
        </is>
      </c>
      <c r="F43" s="27" t="inlineStr">
        <is>
          <t>OpEx</t>
        </is>
      </c>
      <c r="G43" s="27" t="inlineStr">
        <is>
          <t>PROD</t>
        </is>
      </c>
      <c r="H43" s="27" t="inlineStr">
        <is>
          <t>OPS</t>
        </is>
      </c>
      <c r="I43" s="31" t="n">
        <v>7219</v>
      </c>
      <c r="J43" s="31" t="n">
        <v>7684</v>
      </c>
      <c r="K43" s="31" t="n">
        <v>8522</v>
      </c>
      <c r="L43" s="31" t="n">
        <v>8662</v>
      </c>
      <c r="M43" s="31" t="n">
        <v>9925</v>
      </c>
      <c r="N43" s="31" t="n">
        <v>9599</v>
      </c>
      <c r="O43" s="31" t="n">
        <v>10895</v>
      </c>
      <c r="P43" s="28" t="n">
        <v>10257</v>
      </c>
      <c r="Q43" s="28" t="n">
        <v>9790</v>
      </c>
      <c r="R43" s="28" t="n">
        <v>9324</v>
      </c>
      <c r="S43" s="28" t="n">
        <v>8858</v>
      </c>
      <c r="T43" s="28" t="n">
        <v>8392</v>
      </c>
      <c r="U43" s="29">
        <f>SUM(I43:T43)</f>
        <v/>
      </c>
    </row>
    <row r="44">
      <c r="E44" s="4" t="inlineStr">
        <is>
          <t>Net Income</t>
        </is>
      </c>
      <c r="I44" s="29">
        <f>SUM(I35:I43)</f>
        <v/>
      </c>
      <c r="J44" s="29">
        <f>SUM(J35:J43)</f>
        <v/>
      </c>
      <c r="K44" s="29">
        <f>SUM(K35:K43)</f>
        <v/>
      </c>
      <c r="L44" s="29">
        <f>SUM(L35:L43)</f>
        <v/>
      </c>
      <c r="M44" s="29">
        <f>SUM(M35:M43)</f>
        <v/>
      </c>
      <c r="N44" s="29">
        <f>SUM(N35:N43)</f>
        <v/>
      </c>
      <c r="O44" s="29">
        <f>SUM(O35:O43)</f>
        <v/>
      </c>
      <c r="P44" s="29">
        <f>SUM(P35:P43)</f>
        <v/>
      </c>
      <c r="Q44" s="29">
        <f>SUM(Q35:Q43)</f>
        <v/>
      </c>
      <c r="R44" s="29">
        <f>SUM(R35:R43)</f>
        <v/>
      </c>
      <c r="S44" s="29">
        <f>SUM(S35:S43)</f>
        <v/>
      </c>
      <c r="T44" s="29">
        <f>SUM(T35:T43)</f>
        <v/>
      </c>
      <c r="U44" s="29">
        <f>SUM(U35:U43)</f>
        <v/>
      </c>
    </row>
  </sheetData>
  <mergeCells count="3">
    <mergeCell ref="D34:T34"/>
    <mergeCell ref="D22:T22"/>
    <mergeCell ref="D10:T10"/>
  </mergeCell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U44"/>
  <sheetViews>
    <sheetView workbookViewId="0">
      <pane xSplit="8" ySplit="9" topLeftCell="I10"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0" customWidth="1" min="3" max="3"/>
    <col width="10" customWidth="1" min="4" max="4"/>
    <col width="22" customWidth="1" min="5" max="5"/>
    <col width="12" customWidth="1" min="6" max="6"/>
    <col width="14" customWidth="1" min="7" max="7"/>
    <col width="14"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4" customWidth="1" min="21" max="21"/>
  </cols>
  <sheetData>
    <row r="1">
      <c r="A1" s="20" t="inlineStr">
        <is>
          <t>Scenario:</t>
        </is>
      </c>
      <c r="B1" s="21" t="inlineStr">
        <is>
          <t>Forecast 2024 - Sep</t>
        </is>
      </c>
    </row>
    <row r="2">
      <c r="A2" s="20" t="inlineStr">
        <is>
          <t>Scenario ID:</t>
        </is>
      </c>
      <c r="B2" s="21" t="inlineStr">
        <is>
          <t>FORECAST_2024F9</t>
        </is>
      </c>
    </row>
    <row r="3">
      <c r="A3" s="20" t="inlineStr">
        <is>
          <t>Type:</t>
        </is>
      </c>
      <c r="B3" s="21" t="inlineStr">
        <is>
          <t>forecast</t>
        </is>
      </c>
    </row>
    <row r="4">
      <c r="A4" s="20" t="inlineStr">
        <is>
          <t>Fiscal Year:</t>
        </is>
      </c>
      <c r="B4" s="21" t="n">
        <v>2024</v>
      </c>
    </row>
    <row r="5">
      <c r="A5" s="20" t="inlineStr">
        <is>
          <t>Layer:</t>
        </is>
      </c>
      <c r="B5" s="21" t="inlineStr">
        <is>
          <t>base</t>
        </is>
      </c>
    </row>
    <row r="6">
      <c r="A6" s="20" t="inlineStr">
        <is>
          <t>Actual months:</t>
        </is>
      </c>
      <c r="B6" s="30" t="inlineStr">
        <is>
          <t>1-8 (yellow = actuals, white = editable forecast)</t>
        </is>
      </c>
    </row>
    <row r="7">
      <c r="A7" s="20" t="inlineStr">
        <is>
          <t>Usage:</t>
        </is>
      </c>
      <c r="B7" s="22" t="inlineStr">
        <is>
          <t>Edit white cells, then press Ctrl+Shift+R or F9 to save to server</t>
        </is>
      </c>
    </row>
    <row r="9">
      <c r="A9" s="23" t="inlineStr">
        <is>
          <t>Scenario ID</t>
        </is>
      </c>
      <c r="B9" s="23" t="inlineStr">
        <is>
          <t>Entity</t>
        </is>
      </c>
      <c r="C9" s="23" t="inlineStr">
        <is>
          <t>Currency</t>
        </is>
      </c>
      <c r="D9" s="23" t="inlineStr">
        <is>
          <t>Account</t>
        </is>
      </c>
      <c r="E9" s="23" t="inlineStr">
        <is>
          <t>Account Name</t>
        </is>
      </c>
      <c r="F9" s="23" t="inlineStr">
        <is>
          <t>Category</t>
        </is>
      </c>
      <c r="G9" s="23" t="inlineStr">
        <is>
          <t>Cost Center</t>
        </is>
      </c>
      <c r="H9" s="23" t="inlineStr">
        <is>
          <t>Department</t>
        </is>
      </c>
      <c r="I9" s="23" t="inlineStr">
        <is>
          <t>Jan</t>
        </is>
      </c>
      <c r="J9" s="23" t="inlineStr">
        <is>
          <t>Feb</t>
        </is>
      </c>
      <c r="K9" s="23" t="inlineStr">
        <is>
          <t>Mar</t>
        </is>
      </c>
      <c r="L9" s="23" t="inlineStr">
        <is>
          <t>Apr</t>
        </is>
      </c>
      <c r="M9" s="23" t="inlineStr">
        <is>
          <t>May</t>
        </is>
      </c>
      <c r="N9" s="23" t="inlineStr">
        <is>
          <t>Jun</t>
        </is>
      </c>
      <c r="O9" s="23" t="inlineStr">
        <is>
          <t>Jul</t>
        </is>
      </c>
      <c r="P9" s="23" t="inlineStr">
        <is>
          <t>Aug</t>
        </is>
      </c>
      <c r="Q9" s="23" t="inlineStr">
        <is>
          <t>Sep</t>
        </is>
      </c>
      <c r="R9" s="23" t="inlineStr">
        <is>
          <t>Oct</t>
        </is>
      </c>
      <c r="S9" s="23" t="inlineStr">
        <is>
          <t>Nov</t>
        </is>
      </c>
      <c r="T9" s="23" t="inlineStr">
        <is>
          <t>Dec</t>
        </is>
      </c>
      <c r="U9" s="23" t="inlineStr">
        <is>
          <t>Annual Total</t>
        </is>
      </c>
    </row>
    <row r="10">
      <c r="A10" s="24" t="inlineStr">
        <is>
          <t>AMHQ</t>
        </is>
      </c>
      <c r="B10" s="24" t="inlineStr">
        <is>
          <t>Alpine Manufacturing HQ</t>
        </is>
      </c>
      <c r="C10" s="24" t="inlineStr">
        <is>
          <t>CHF</t>
        </is>
      </c>
      <c r="D10" s="24" t="n"/>
      <c r="E10" s="25" t="n"/>
      <c r="F10" s="25" t="n"/>
      <c r="G10" s="25" t="n"/>
      <c r="H10" s="25" t="n"/>
      <c r="I10" s="25" t="n"/>
      <c r="J10" s="25" t="n"/>
      <c r="K10" s="25" t="n"/>
      <c r="L10" s="25" t="n"/>
      <c r="M10" s="25" t="n"/>
      <c r="N10" s="25" t="n"/>
      <c r="O10" s="25" t="n"/>
      <c r="P10" s="25" t="n"/>
      <c r="Q10" s="25" t="n"/>
      <c r="R10" s="25" t="n"/>
      <c r="S10" s="25" t="n"/>
      <c r="T10" s="26" t="n"/>
      <c r="U10" s="24" t="n"/>
    </row>
    <row r="11">
      <c r="A11" s="27" t="inlineStr">
        <is>
          <t>FORECAST_2024F9</t>
        </is>
      </c>
      <c r="B11" s="27" t="inlineStr">
        <is>
          <t>AMHQ</t>
        </is>
      </c>
      <c r="C11" s="27" t="inlineStr">
        <is>
          <t>CHF</t>
        </is>
      </c>
      <c r="D11" s="27" t="inlineStr">
        <is>
          <t>4010</t>
        </is>
      </c>
      <c r="E11" s="27" t="inlineStr">
        <is>
          <t>Product Revenue</t>
        </is>
      </c>
      <c r="F11" s="27" t="inlineStr">
        <is>
          <t>Revenue</t>
        </is>
      </c>
      <c r="G11" s="27" t="inlineStr">
        <is>
          <t>HQ</t>
        </is>
      </c>
      <c r="H11" s="27" t="inlineStr">
        <is>
          <t>MGMT</t>
        </is>
      </c>
      <c r="I11" s="31" t="n">
        <v>-402260</v>
      </c>
      <c r="J11" s="31" t="n">
        <v>-418953</v>
      </c>
      <c r="K11" s="31" t="n">
        <v>-485277</v>
      </c>
      <c r="L11" s="31" t="n">
        <v>-513143</v>
      </c>
      <c r="M11" s="31" t="n">
        <v>-511468</v>
      </c>
      <c r="N11" s="31" t="n">
        <v>-539394</v>
      </c>
      <c r="O11" s="31" t="n">
        <v>-547209</v>
      </c>
      <c r="P11" s="31" t="n">
        <v>-561671</v>
      </c>
      <c r="Q11" s="28" t="n">
        <v>-541422</v>
      </c>
      <c r="R11" s="28" t="n">
        <v>-515640</v>
      </c>
      <c r="S11" s="28" t="n">
        <v>-489858</v>
      </c>
      <c r="T11" s="28" t="n">
        <v>-464076</v>
      </c>
      <c r="U11" s="29">
        <f>SUM(I11:T11)</f>
        <v/>
      </c>
    </row>
    <row r="12">
      <c r="A12" s="27" t="inlineStr">
        <is>
          <t>FORECAST_2024F9</t>
        </is>
      </c>
      <c r="B12" s="27" t="inlineStr">
        <is>
          <t>AMHQ</t>
        </is>
      </c>
      <c r="C12" s="27" t="inlineStr">
        <is>
          <t>CHF</t>
        </is>
      </c>
      <c r="D12" s="27" t="inlineStr">
        <is>
          <t>4020</t>
        </is>
      </c>
      <c r="E12" s="27" t="inlineStr">
        <is>
          <t>Service Revenue</t>
        </is>
      </c>
      <c r="F12" s="27" t="inlineStr">
        <is>
          <t>Revenue</t>
        </is>
      </c>
      <c r="G12" s="27" t="inlineStr">
        <is>
          <t>HQ</t>
        </is>
      </c>
      <c r="H12" s="27" t="inlineStr">
        <is>
          <t>MGMT</t>
        </is>
      </c>
      <c r="I12" s="31" t="n">
        <v>-52371</v>
      </c>
      <c r="J12" s="31" t="n">
        <v>-54309</v>
      </c>
      <c r="K12" s="31" t="n">
        <v>-58918</v>
      </c>
      <c r="L12" s="31" t="n">
        <v>-59987</v>
      </c>
      <c r="M12" s="31" t="n">
        <v>-56907</v>
      </c>
      <c r="N12" s="31" t="n">
        <v>-68984</v>
      </c>
      <c r="O12" s="31" t="n">
        <v>-79712</v>
      </c>
      <c r="P12" s="31" t="n">
        <v>-73045</v>
      </c>
      <c r="Q12" s="28" t="n">
        <v>-66701</v>
      </c>
      <c r="R12" s="28" t="n">
        <v>-63525</v>
      </c>
      <c r="S12" s="28" t="n">
        <v>-60349</v>
      </c>
      <c r="T12" s="28" t="n">
        <v>-57172</v>
      </c>
      <c r="U12" s="29">
        <f>SUM(I12:T12)</f>
        <v/>
      </c>
    </row>
    <row r="13">
      <c r="A13" s="27" t="inlineStr">
        <is>
          <t>FORECAST_2024F9</t>
        </is>
      </c>
      <c r="B13" s="27" t="inlineStr">
        <is>
          <t>AMHQ</t>
        </is>
      </c>
      <c r="C13" s="27" t="inlineStr">
        <is>
          <t>CHF</t>
        </is>
      </c>
      <c r="D13" s="27" t="inlineStr">
        <is>
          <t>5010</t>
        </is>
      </c>
      <c r="E13" s="27" t="inlineStr">
        <is>
          <t>Cost of Goods Sold</t>
        </is>
      </c>
      <c r="F13" s="27" t="inlineStr">
        <is>
          <t>COGS</t>
        </is>
      </c>
      <c r="G13" s="27" t="inlineStr">
        <is>
          <t>HQ</t>
        </is>
      </c>
      <c r="H13" s="27" t="inlineStr">
        <is>
          <t>MGMT</t>
        </is>
      </c>
      <c r="I13" s="31" t="n">
        <v>170393</v>
      </c>
      <c r="J13" s="31" t="n">
        <v>182273</v>
      </c>
      <c r="K13" s="31" t="n">
        <v>174071</v>
      </c>
      <c r="L13" s="31" t="n">
        <v>215167</v>
      </c>
      <c r="M13" s="31" t="n">
        <v>193883</v>
      </c>
      <c r="N13" s="31" t="n">
        <v>197884</v>
      </c>
      <c r="O13" s="31" t="n">
        <v>248374</v>
      </c>
      <c r="P13" s="31" t="n">
        <v>229801</v>
      </c>
      <c r="Q13" s="28" t="n">
        <v>217871</v>
      </c>
      <c r="R13" s="28" t="n">
        <v>207496</v>
      </c>
      <c r="S13" s="28" t="n">
        <v>197121</v>
      </c>
      <c r="T13" s="28" t="n">
        <v>186747</v>
      </c>
      <c r="U13" s="29">
        <f>SUM(I13:T13)</f>
        <v/>
      </c>
    </row>
    <row r="14">
      <c r="A14" s="27" t="inlineStr">
        <is>
          <t>FORECAST_2024F9</t>
        </is>
      </c>
      <c r="B14" s="27" t="inlineStr">
        <is>
          <t>AMHQ</t>
        </is>
      </c>
      <c r="C14" s="27" t="inlineStr">
        <is>
          <t>CHF</t>
        </is>
      </c>
      <c r="D14" s="27" t="inlineStr">
        <is>
          <t>6010</t>
        </is>
      </c>
      <c r="E14" s="27" t="inlineStr">
        <is>
          <t>Salaries and Wages</t>
        </is>
      </c>
      <c r="F14" s="27" t="inlineStr">
        <is>
          <t>OpEx</t>
        </is>
      </c>
      <c r="G14" s="27" t="inlineStr">
        <is>
          <t>HQ</t>
        </is>
      </c>
      <c r="H14" s="27" t="inlineStr">
        <is>
          <t>MGMT</t>
        </is>
      </c>
      <c r="I14" s="31" t="n">
        <v>105710</v>
      </c>
      <c r="J14" s="31" t="n">
        <v>104306</v>
      </c>
      <c r="K14" s="31" t="n">
        <v>112800</v>
      </c>
      <c r="L14" s="31" t="n">
        <v>110194</v>
      </c>
      <c r="M14" s="31" t="n">
        <v>116346</v>
      </c>
      <c r="N14" s="31" t="n">
        <v>136091</v>
      </c>
      <c r="O14" s="31" t="n">
        <v>143757</v>
      </c>
      <c r="P14" s="31" t="n">
        <v>134171</v>
      </c>
      <c r="Q14" s="28" t="n">
        <v>130480</v>
      </c>
      <c r="R14" s="28" t="n">
        <v>124267</v>
      </c>
      <c r="S14" s="28" t="n">
        <v>118054</v>
      </c>
      <c r="T14" s="28" t="n">
        <v>111840</v>
      </c>
      <c r="U14" s="29">
        <f>SUM(I14:T14)</f>
        <v/>
      </c>
    </row>
    <row r="15">
      <c r="A15" s="27" t="inlineStr">
        <is>
          <t>FORECAST_2024F9</t>
        </is>
      </c>
      <c r="B15" s="27" t="inlineStr">
        <is>
          <t>AMHQ</t>
        </is>
      </c>
      <c r="C15" s="27" t="inlineStr">
        <is>
          <t>CHF</t>
        </is>
      </c>
      <c r="D15" s="27" t="inlineStr">
        <is>
          <t>6020</t>
        </is>
      </c>
      <c r="E15" s="27" t="inlineStr">
        <is>
          <t>Rent Expense</t>
        </is>
      </c>
      <c r="F15" s="27" t="inlineStr">
        <is>
          <t>OpEx</t>
        </is>
      </c>
      <c r="G15" s="27" t="inlineStr">
        <is>
          <t>HQ</t>
        </is>
      </c>
      <c r="H15" s="27" t="inlineStr">
        <is>
          <t>MGMT</t>
        </is>
      </c>
      <c r="I15" s="31" t="n">
        <v>18102</v>
      </c>
      <c r="J15" s="31" t="n">
        <v>17436</v>
      </c>
      <c r="K15" s="31" t="n">
        <v>19282</v>
      </c>
      <c r="L15" s="31" t="n">
        <v>19144</v>
      </c>
      <c r="M15" s="31" t="n">
        <v>22263</v>
      </c>
      <c r="N15" s="31" t="n">
        <v>22230</v>
      </c>
      <c r="O15" s="31" t="n">
        <v>22230</v>
      </c>
      <c r="P15" s="31" t="n">
        <v>21713</v>
      </c>
      <c r="Q15" s="28" t="n">
        <v>21865</v>
      </c>
      <c r="R15" s="28" t="n">
        <v>20824</v>
      </c>
      <c r="S15" s="28" t="n">
        <v>19783</v>
      </c>
      <c r="T15" s="28" t="n">
        <v>18742</v>
      </c>
      <c r="U15" s="29">
        <f>SUM(I15:T15)</f>
        <v/>
      </c>
    </row>
    <row r="16">
      <c r="A16" s="27" t="inlineStr">
        <is>
          <t>FORECAST_2024F9</t>
        </is>
      </c>
      <c r="B16" s="27" t="inlineStr">
        <is>
          <t>AMHQ</t>
        </is>
      </c>
      <c r="C16" s="27" t="inlineStr">
        <is>
          <t>CHF</t>
        </is>
      </c>
      <c r="D16" s="27" t="inlineStr">
        <is>
          <t>6030</t>
        </is>
      </c>
      <c r="E16" s="27" t="inlineStr">
        <is>
          <t>Depreciation Expense</t>
        </is>
      </c>
      <c r="F16" s="27" t="inlineStr">
        <is>
          <t>OpEx</t>
        </is>
      </c>
      <c r="G16" s="27" t="inlineStr">
        <is>
          <t>HQ</t>
        </is>
      </c>
      <c r="H16" s="27" t="inlineStr">
        <is>
          <t>MGMT</t>
        </is>
      </c>
      <c r="I16" s="31" t="n">
        <v>13290</v>
      </c>
      <c r="J16" s="31" t="n">
        <v>14363</v>
      </c>
      <c r="K16" s="31" t="n">
        <v>15000</v>
      </c>
      <c r="L16" s="31" t="n">
        <v>15657</v>
      </c>
      <c r="M16" s="31" t="n">
        <v>15915</v>
      </c>
      <c r="N16" s="31" t="n">
        <v>16948</v>
      </c>
      <c r="O16" s="31" t="n">
        <v>18375</v>
      </c>
      <c r="P16" s="31" t="n">
        <v>16645</v>
      </c>
      <c r="Q16" s="28" t="n">
        <v>16684</v>
      </c>
      <c r="R16" s="28" t="n">
        <v>15889</v>
      </c>
      <c r="S16" s="28" t="n">
        <v>15095</v>
      </c>
      <c r="T16" s="28" t="n">
        <v>14300</v>
      </c>
      <c r="U16" s="29">
        <f>SUM(I16:T16)</f>
        <v/>
      </c>
    </row>
    <row r="17">
      <c r="A17" s="27" t="inlineStr">
        <is>
          <t>FORECAST_2024F9</t>
        </is>
      </c>
      <c r="B17" s="27" t="inlineStr">
        <is>
          <t>AMHQ</t>
        </is>
      </c>
      <c r="C17" s="27" t="inlineStr">
        <is>
          <t>CHF</t>
        </is>
      </c>
      <c r="D17" s="27" t="inlineStr">
        <is>
          <t>6040</t>
        </is>
      </c>
      <c r="E17" s="27" t="inlineStr">
        <is>
          <t>Marketing Expense</t>
        </is>
      </c>
      <c r="F17" s="27" t="inlineStr">
        <is>
          <t>OpEx</t>
        </is>
      </c>
      <c r="G17" s="27" t="inlineStr">
        <is>
          <t>HQ</t>
        </is>
      </c>
      <c r="H17" s="27" t="inlineStr">
        <is>
          <t>MGMT</t>
        </is>
      </c>
      <c r="I17" s="31" t="n">
        <v>13413</v>
      </c>
      <c r="J17" s="31" t="n">
        <v>9381</v>
      </c>
      <c r="K17" s="31" t="n">
        <v>14580</v>
      </c>
      <c r="L17" s="31" t="n">
        <v>17929</v>
      </c>
      <c r="M17" s="31" t="n">
        <v>13292</v>
      </c>
      <c r="N17" s="31" t="n">
        <v>17745</v>
      </c>
      <c r="O17" s="31" t="n">
        <v>19623</v>
      </c>
      <c r="P17" s="31" t="n">
        <v>11599</v>
      </c>
      <c r="Q17" s="28" t="n">
        <v>16124</v>
      </c>
      <c r="R17" s="28" t="n">
        <v>15356</v>
      </c>
      <c r="S17" s="28" t="n">
        <v>14589</v>
      </c>
      <c r="T17" s="28" t="n">
        <v>13821</v>
      </c>
      <c r="U17" s="29">
        <f>SUM(I17:T17)</f>
        <v/>
      </c>
    </row>
    <row r="18">
      <c r="A18" s="27" t="inlineStr">
        <is>
          <t>FORECAST_2024F9</t>
        </is>
      </c>
      <c r="B18" s="27" t="inlineStr">
        <is>
          <t>AMHQ</t>
        </is>
      </c>
      <c r="C18" s="27" t="inlineStr">
        <is>
          <t>CHF</t>
        </is>
      </c>
      <c r="D18" s="27" t="inlineStr">
        <is>
          <t>6050</t>
        </is>
      </c>
      <c r="E18" s="27" t="inlineStr">
        <is>
          <t>Travel Expense</t>
        </is>
      </c>
      <c r="F18" s="27" t="inlineStr">
        <is>
          <t>OpEx</t>
        </is>
      </c>
      <c r="G18" s="27" t="inlineStr">
        <is>
          <t>HQ</t>
        </is>
      </c>
      <c r="H18" s="27" t="inlineStr">
        <is>
          <t>MGMT</t>
        </is>
      </c>
      <c r="I18" s="31" t="n">
        <v>7600</v>
      </c>
      <c r="J18" s="31" t="n">
        <v>7132</v>
      </c>
      <c r="K18" s="31" t="n">
        <v>7896</v>
      </c>
      <c r="L18" s="31" t="n">
        <v>6348</v>
      </c>
      <c r="M18" s="31" t="n">
        <v>6287</v>
      </c>
      <c r="N18" s="31" t="n">
        <v>6463</v>
      </c>
      <c r="O18" s="31" t="n">
        <v>10433</v>
      </c>
      <c r="P18" s="31" t="n">
        <v>9374</v>
      </c>
      <c r="Q18" s="28" t="n">
        <v>8240</v>
      </c>
      <c r="R18" s="28" t="n">
        <v>7848</v>
      </c>
      <c r="S18" s="28" t="n">
        <v>7455</v>
      </c>
      <c r="T18" s="28" t="n">
        <v>7063</v>
      </c>
      <c r="U18" s="29">
        <f>SUM(I18:T18)</f>
        <v/>
      </c>
    </row>
    <row r="19">
      <c r="A19" s="27" t="inlineStr">
        <is>
          <t>FORECAST_2024F9</t>
        </is>
      </c>
      <c r="B19" s="27" t="inlineStr">
        <is>
          <t>AMHQ</t>
        </is>
      </c>
      <c r="C19" s="27" t="inlineStr">
        <is>
          <t>CHF</t>
        </is>
      </c>
      <c r="D19" s="27" t="inlineStr">
        <is>
          <t>6060</t>
        </is>
      </c>
      <c r="E19" s="27" t="inlineStr">
        <is>
          <t>Utilities</t>
        </is>
      </c>
      <c r="F19" s="27" t="inlineStr">
        <is>
          <t>OpEx</t>
        </is>
      </c>
      <c r="G19" s="27" t="inlineStr">
        <is>
          <t>HQ</t>
        </is>
      </c>
      <c r="H19" s="27" t="inlineStr">
        <is>
          <t>MGMT</t>
        </is>
      </c>
      <c r="I19" s="31" t="n">
        <v>6729</v>
      </c>
      <c r="J19" s="31" t="n">
        <v>7098</v>
      </c>
      <c r="K19" s="31" t="n">
        <v>7115</v>
      </c>
      <c r="L19" s="31" t="n">
        <v>8008</v>
      </c>
      <c r="M19" s="31" t="n">
        <v>8333</v>
      </c>
      <c r="N19" s="31" t="n">
        <v>7996</v>
      </c>
      <c r="O19" s="31" t="n">
        <v>8289</v>
      </c>
      <c r="P19" s="31" t="n">
        <v>8338</v>
      </c>
      <c r="Q19" s="28" t="n">
        <v>8264</v>
      </c>
      <c r="R19" s="28" t="n">
        <v>7871</v>
      </c>
      <c r="S19" s="28" t="n">
        <v>7477</v>
      </c>
      <c r="T19" s="28" t="n">
        <v>7084</v>
      </c>
      <c r="U19" s="29">
        <f>SUM(I19:T19)</f>
        <v/>
      </c>
    </row>
    <row r="20">
      <c r="E20" s="4" t="inlineStr">
        <is>
          <t>Net Income</t>
        </is>
      </c>
      <c r="I20" s="29">
        <f>SUM(I11:I19)</f>
        <v/>
      </c>
      <c r="J20" s="29">
        <f>SUM(J11:J19)</f>
        <v/>
      </c>
      <c r="K20" s="29">
        <f>SUM(K11:K19)</f>
        <v/>
      </c>
      <c r="L20" s="29">
        <f>SUM(L11:L19)</f>
        <v/>
      </c>
      <c r="M20" s="29">
        <f>SUM(M11:M19)</f>
        <v/>
      </c>
      <c r="N20" s="29">
        <f>SUM(N11:N19)</f>
        <v/>
      </c>
      <c r="O20" s="29">
        <f>SUM(O11:O19)</f>
        <v/>
      </c>
      <c r="P20" s="29">
        <f>SUM(P11:P19)</f>
        <v/>
      </c>
      <c r="Q20" s="29">
        <f>SUM(Q11:Q19)</f>
        <v/>
      </c>
      <c r="R20" s="29">
        <f>SUM(R11:R19)</f>
        <v/>
      </c>
      <c r="S20" s="29">
        <f>SUM(S11:S19)</f>
        <v/>
      </c>
      <c r="T20" s="29">
        <f>SUM(T11:T19)</f>
        <v/>
      </c>
      <c r="U20" s="29">
        <f>SUM(U11:U19)</f>
        <v/>
      </c>
    </row>
    <row r="22">
      <c r="A22" s="24" t="inlineStr">
        <is>
          <t>AMUS</t>
        </is>
      </c>
      <c r="B22" s="24" t="inlineStr">
        <is>
          <t>Alpine Manufacturing US</t>
        </is>
      </c>
      <c r="C22" s="24" t="inlineStr">
        <is>
          <t>USD</t>
        </is>
      </c>
      <c r="D22" s="24" t="n"/>
      <c r="E22" s="25" t="n"/>
      <c r="F22" s="25" t="n"/>
      <c r="G22" s="25" t="n"/>
      <c r="H22" s="25" t="n"/>
      <c r="I22" s="25" t="n"/>
      <c r="J22" s="25" t="n"/>
      <c r="K22" s="25" t="n"/>
      <c r="L22" s="25" t="n"/>
      <c r="M22" s="25" t="n"/>
      <c r="N22" s="25" t="n"/>
      <c r="O22" s="25" t="n"/>
      <c r="P22" s="25" t="n"/>
      <c r="Q22" s="25" t="n"/>
      <c r="R22" s="25" t="n"/>
      <c r="S22" s="25" t="n"/>
      <c r="T22" s="26" t="n"/>
      <c r="U22" s="24" t="n"/>
    </row>
    <row r="23">
      <c r="A23" s="27" t="inlineStr">
        <is>
          <t>FORECAST_2024F9</t>
        </is>
      </c>
      <c r="B23" s="27" t="inlineStr">
        <is>
          <t>AMUS</t>
        </is>
      </c>
      <c r="C23" s="27" t="inlineStr">
        <is>
          <t>USD</t>
        </is>
      </c>
      <c r="D23" s="27" t="inlineStr">
        <is>
          <t>4010</t>
        </is>
      </c>
      <c r="E23" s="27" t="inlineStr">
        <is>
          <t>Product Revenue</t>
        </is>
      </c>
      <c r="F23" s="27" t="inlineStr">
        <is>
          <t>Revenue</t>
        </is>
      </c>
      <c r="G23" s="27" t="inlineStr">
        <is>
          <t>SALES</t>
        </is>
      </c>
      <c r="H23" s="27" t="inlineStr">
        <is>
          <t>SALES</t>
        </is>
      </c>
      <c r="I23" s="31" t="n">
        <v>-680235</v>
      </c>
      <c r="J23" s="31" t="n">
        <v>-709286</v>
      </c>
      <c r="K23" s="31" t="n">
        <v>-779826</v>
      </c>
      <c r="L23" s="31" t="n">
        <v>-763577</v>
      </c>
      <c r="M23" s="31" t="n">
        <v>-896037</v>
      </c>
      <c r="N23" s="31" t="n">
        <v>-904423</v>
      </c>
      <c r="O23" s="31" t="n">
        <v>-914857</v>
      </c>
      <c r="P23" s="31" t="n">
        <v>-903310</v>
      </c>
      <c r="Q23" s="28" t="n">
        <v>-878237</v>
      </c>
      <c r="R23" s="28" t="n">
        <v>-836416</v>
      </c>
      <c r="S23" s="28" t="n">
        <v>-794595</v>
      </c>
      <c r="T23" s="28" t="n">
        <v>-752775</v>
      </c>
      <c r="U23" s="29">
        <f>SUM(I23:T23)</f>
        <v/>
      </c>
    </row>
    <row r="24">
      <c r="A24" s="27" t="inlineStr">
        <is>
          <t>FORECAST_2024F9</t>
        </is>
      </c>
      <c r="B24" s="27" t="inlineStr">
        <is>
          <t>AMUS</t>
        </is>
      </c>
      <c r="C24" s="27" t="inlineStr">
        <is>
          <t>USD</t>
        </is>
      </c>
      <c r="D24" s="27" t="inlineStr">
        <is>
          <t>4020</t>
        </is>
      </c>
      <c r="E24" s="27" t="inlineStr">
        <is>
          <t>Service Revenue</t>
        </is>
      </c>
      <c r="F24" s="27" t="inlineStr">
        <is>
          <t>Revenue</t>
        </is>
      </c>
      <c r="G24" s="27" t="inlineStr">
        <is>
          <t>SALES</t>
        </is>
      </c>
      <c r="H24" s="27" t="inlineStr">
        <is>
          <t>SALES</t>
        </is>
      </c>
      <c r="I24" s="31" t="n">
        <v>-76248</v>
      </c>
      <c r="J24" s="31" t="n">
        <v>-79365</v>
      </c>
      <c r="K24" s="31" t="n">
        <v>-94258</v>
      </c>
      <c r="L24" s="31" t="n">
        <v>-94159</v>
      </c>
      <c r="M24" s="31" t="n">
        <v>-103185</v>
      </c>
      <c r="N24" s="31" t="n">
        <v>-115961</v>
      </c>
      <c r="O24" s="31" t="n">
        <v>-95577</v>
      </c>
      <c r="P24" s="31" t="n">
        <v>-102680</v>
      </c>
      <c r="Q24" s="28" t="n">
        <v>-103784</v>
      </c>
      <c r="R24" s="28" t="n">
        <v>-98842</v>
      </c>
      <c r="S24" s="28" t="n">
        <v>-93899</v>
      </c>
      <c r="T24" s="28" t="n">
        <v>-88957</v>
      </c>
      <c r="U24" s="29">
        <f>SUM(I24:T24)</f>
        <v/>
      </c>
    </row>
    <row r="25">
      <c r="A25" s="27" t="inlineStr">
        <is>
          <t>FORECAST_2024F9</t>
        </is>
      </c>
      <c r="B25" s="27" t="inlineStr">
        <is>
          <t>AMUS</t>
        </is>
      </c>
      <c r="C25" s="27" t="inlineStr">
        <is>
          <t>USD</t>
        </is>
      </c>
      <c r="D25" s="27" t="inlineStr">
        <is>
          <t>5010</t>
        </is>
      </c>
      <c r="E25" s="27" t="inlineStr">
        <is>
          <t>Cost of Goods Sold</t>
        </is>
      </c>
      <c r="F25" s="27" t="inlineStr">
        <is>
          <t>COGS</t>
        </is>
      </c>
      <c r="G25" s="27" t="inlineStr">
        <is>
          <t>SALES</t>
        </is>
      </c>
      <c r="H25" s="27" t="inlineStr">
        <is>
          <t>SALES</t>
        </is>
      </c>
      <c r="I25" s="31" t="n">
        <v>276980</v>
      </c>
      <c r="J25" s="31" t="n">
        <v>281818</v>
      </c>
      <c r="K25" s="31" t="n">
        <v>350255</v>
      </c>
      <c r="L25" s="31" t="n">
        <v>339392</v>
      </c>
      <c r="M25" s="31" t="n">
        <v>347676</v>
      </c>
      <c r="N25" s="31" t="n">
        <v>367551</v>
      </c>
      <c r="O25" s="31" t="n">
        <v>382203</v>
      </c>
      <c r="P25" s="31" t="n">
        <v>354125</v>
      </c>
      <c r="Q25" s="28" t="n">
        <v>356440</v>
      </c>
      <c r="R25" s="28" t="n">
        <v>339466</v>
      </c>
      <c r="S25" s="28" t="n">
        <v>322493</v>
      </c>
      <c r="T25" s="28" t="n">
        <v>305520</v>
      </c>
      <c r="U25" s="29">
        <f>SUM(I25:T25)</f>
        <v/>
      </c>
    </row>
    <row r="26">
      <c r="A26" s="27" t="inlineStr">
        <is>
          <t>FORECAST_2024F9</t>
        </is>
      </c>
      <c r="B26" s="27" t="inlineStr">
        <is>
          <t>AMUS</t>
        </is>
      </c>
      <c r="C26" s="27" t="inlineStr">
        <is>
          <t>USD</t>
        </is>
      </c>
      <c r="D26" s="27" t="inlineStr">
        <is>
          <t>6010</t>
        </is>
      </c>
      <c r="E26" s="27" t="inlineStr">
        <is>
          <t>Salaries and Wages</t>
        </is>
      </c>
      <c r="F26" s="27" t="inlineStr">
        <is>
          <t>OpEx</t>
        </is>
      </c>
      <c r="G26" s="27" t="inlineStr">
        <is>
          <t>SALES</t>
        </is>
      </c>
      <c r="H26" s="27" t="inlineStr">
        <is>
          <t>SALES</t>
        </is>
      </c>
      <c r="I26" s="31" t="n">
        <v>148193</v>
      </c>
      <c r="J26" s="31" t="n">
        <v>195990</v>
      </c>
      <c r="K26" s="31" t="n">
        <v>180009</v>
      </c>
      <c r="L26" s="31" t="n">
        <v>192117</v>
      </c>
      <c r="M26" s="31" t="n">
        <v>210081</v>
      </c>
      <c r="N26" s="31" t="n">
        <v>220489</v>
      </c>
      <c r="O26" s="31" t="n">
        <v>243973</v>
      </c>
      <c r="P26" s="31" t="n">
        <v>206468</v>
      </c>
      <c r="Q26" s="28" t="n">
        <v>212394</v>
      </c>
      <c r="R26" s="28" t="n">
        <v>202280</v>
      </c>
      <c r="S26" s="28" t="n">
        <v>192166</v>
      </c>
      <c r="T26" s="28" t="n">
        <v>182052</v>
      </c>
      <c r="U26" s="29">
        <f>SUM(I26:T26)</f>
        <v/>
      </c>
    </row>
    <row r="27">
      <c r="A27" s="27" t="inlineStr">
        <is>
          <t>FORECAST_2024F9</t>
        </is>
      </c>
      <c r="B27" s="27" t="inlineStr">
        <is>
          <t>AMUS</t>
        </is>
      </c>
      <c r="C27" s="27" t="inlineStr">
        <is>
          <t>USD</t>
        </is>
      </c>
      <c r="D27" s="27" t="inlineStr">
        <is>
          <t>6020</t>
        </is>
      </c>
      <c r="E27" s="27" t="inlineStr">
        <is>
          <t>Rent Expense</t>
        </is>
      </c>
      <c r="F27" s="27" t="inlineStr">
        <is>
          <t>OpEx</t>
        </is>
      </c>
      <c r="G27" s="27" t="inlineStr">
        <is>
          <t>SALES</t>
        </is>
      </c>
      <c r="H27" s="27" t="inlineStr">
        <is>
          <t>SALES</t>
        </is>
      </c>
      <c r="I27" s="31" t="n">
        <v>25567</v>
      </c>
      <c r="J27" s="31" t="n">
        <v>27437</v>
      </c>
      <c r="K27" s="31" t="n">
        <v>29243</v>
      </c>
      <c r="L27" s="31" t="n">
        <v>31179</v>
      </c>
      <c r="M27" s="31" t="n">
        <v>32618</v>
      </c>
      <c r="N27" s="31" t="n">
        <v>34054</v>
      </c>
      <c r="O27" s="31" t="n">
        <v>37545</v>
      </c>
      <c r="P27" s="31" t="n">
        <v>34072</v>
      </c>
      <c r="Q27" s="28" t="n">
        <v>34458</v>
      </c>
      <c r="R27" s="28" t="n">
        <v>32818</v>
      </c>
      <c r="S27" s="28" t="n">
        <v>31177</v>
      </c>
      <c r="T27" s="28" t="n">
        <v>29536</v>
      </c>
      <c r="U27" s="29">
        <f>SUM(I27:T27)</f>
        <v/>
      </c>
    </row>
    <row r="28">
      <c r="A28" s="27" t="inlineStr">
        <is>
          <t>FORECAST_2024F9</t>
        </is>
      </c>
      <c r="B28" s="27" t="inlineStr">
        <is>
          <t>AMUS</t>
        </is>
      </c>
      <c r="C28" s="27" t="inlineStr">
        <is>
          <t>USD</t>
        </is>
      </c>
      <c r="D28" s="27" t="inlineStr">
        <is>
          <t>6030</t>
        </is>
      </c>
      <c r="E28" s="27" t="inlineStr">
        <is>
          <t>Depreciation Expense</t>
        </is>
      </c>
      <c r="F28" s="27" t="inlineStr">
        <is>
          <t>OpEx</t>
        </is>
      </c>
      <c r="G28" s="27" t="inlineStr">
        <is>
          <t>SALES</t>
        </is>
      </c>
      <c r="H28" s="27" t="inlineStr">
        <is>
          <t>SALES</t>
        </is>
      </c>
      <c r="I28" s="31" t="n">
        <v>21729</v>
      </c>
      <c r="J28" s="31" t="n">
        <v>21339</v>
      </c>
      <c r="K28" s="31" t="n">
        <v>21790</v>
      </c>
      <c r="L28" s="31" t="n">
        <v>22397</v>
      </c>
      <c r="M28" s="31" t="n">
        <v>26003</v>
      </c>
      <c r="N28" s="31" t="n">
        <v>26998</v>
      </c>
      <c r="O28" s="31" t="n">
        <v>29301</v>
      </c>
      <c r="P28" s="31" t="n">
        <v>27141</v>
      </c>
      <c r="Q28" s="28" t="n">
        <v>26357</v>
      </c>
      <c r="R28" s="28" t="n">
        <v>25101</v>
      </c>
      <c r="S28" s="28" t="n">
        <v>23846</v>
      </c>
      <c r="T28" s="28" t="n">
        <v>22591</v>
      </c>
      <c r="U28" s="29">
        <f>SUM(I28:T28)</f>
        <v/>
      </c>
    </row>
    <row r="29">
      <c r="A29" s="27" t="inlineStr">
        <is>
          <t>FORECAST_2024F9</t>
        </is>
      </c>
      <c r="B29" s="27" t="inlineStr">
        <is>
          <t>AMUS</t>
        </is>
      </c>
      <c r="C29" s="27" t="inlineStr">
        <is>
          <t>USD</t>
        </is>
      </c>
      <c r="D29" s="27" t="inlineStr">
        <is>
          <t>6040</t>
        </is>
      </c>
      <c r="E29" s="27" t="inlineStr">
        <is>
          <t>Marketing Expense</t>
        </is>
      </c>
      <c r="F29" s="27" t="inlineStr">
        <is>
          <t>OpEx</t>
        </is>
      </c>
      <c r="G29" s="27" t="inlineStr">
        <is>
          <t>SALES</t>
        </is>
      </c>
      <c r="H29" s="27" t="inlineStr">
        <is>
          <t>SALES</t>
        </is>
      </c>
      <c r="I29" s="31" t="n">
        <v>22175</v>
      </c>
      <c r="J29" s="31" t="n">
        <v>18783</v>
      </c>
      <c r="K29" s="31" t="n">
        <v>17076</v>
      </c>
      <c r="L29" s="31" t="n">
        <v>17869</v>
      </c>
      <c r="M29" s="31" t="n">
        <v>32362</v>
      </c>
      <c r="N29" s="31" t="n">
        <v>21368</v>
      </c>
      <c r="O29" s="31" t="n">
        <v>29022</v>
      </c>
      <c r="P29" s="31" t="n">
        <v>30687</v>
      </c>
      <c r="Q29" s="28" t="n">
        <v>25880</v>
      </c>
      <c r="R29" s="28" t="n">
        <v>24647</v>
      </c>
      <c r="S29" s="28" t="n">
        <v>23415</v>
      </c>
      <c r="T29" s="28" t="n">
        <v>22183</v>
      </c>
      <c r="U29" s="29">
        <f>SUM(I29:T29)</f>
        <v/>
      </c>
    </row>
    <row r="30">
      <c r="A30" s="27" t="inlineStr">
        <is>
          <t>FORECAST_2024F9</t>
        </is>
      </c>
      <c r="B30" s="27" t="inlineStr">
        <is>
          <t>AMUS</t>
        </is>
      </c>
      <c r="C30" s="27" t="inlineStr">
        <is>
          <t>USD</t>
        </is>
      </c>
      <c r="D30" s="27" t="inlineStr">
        <is>
          <t>6050</t>
        </is>
      </c>
      <c r="E30" s="27" t="inlineStr">
        <is>
          <t>Travel Expense</t>
        </is>
      </c>
      <c r="F30" s="27" t="inlineStr">
        <is>
          <t>OpEx</t>
        </is>
      </c>
      <c r="G30" s="27" t="inlineStr">
        <is>
          <t>SALES</t>
        </is>
      </c>
      <c r="H30" s="27" t="inlineStr">
        <is>
          <t>SALES</t>
        </is>
      </c>
      <c r="I30" s="31" t="n">
        <v>13289</v>
      </c>
      <c r="J30" s="31" t="n">
        <v>8709</v>
      </c>
      <c r="K30" s="31" t="n">
        <v>12565</v>
      </c>
      <c r="L30" s="31" t="n">
        <v>12749</v>
      </c>
      <c r="M30" s="31" t="n">
        <v>13817</v>
      </c>
      <c r="N30" s="31" t="n">
        <v>11539</v>
      </c>
      <c r="O30" s="31" t="n">
        <v>16695</v>
      </c>
      <c r="P30" s="31" t="n">
        <v>11921</v>
      </c>
      <c r="Q30" s="28" t="n">
        <v>13368</v>
      </c>
      <c r="R30" s="28" t="n">
        <v>12732</v>
      </c>
      <c r="S30" s="28" t="n">
        <v>12095</v>
      </c>
      <c r="T30" s="28" t="n">
        <v>11458</v>
      </c>
      <c r="U30" s="29">
        <f>SUM(I30:T30)</f>
        <v/>
      </c>
    </row>
    <row r="31">
      <c r="A31" s="27" t="inlineStr">
        <is>
          <t>FORECAST_2024F9</t>
        </is>
      </c>
      <c r="B31" s="27" t="inlineStr">
        <is>
          <t>AMUS</t>
        </is>
      </c>
      <c r="C31" s="27" t="inlineStr">
        <is>
          <t>USD</t>
        </is>
      </c>
      <c r="D31" s="27" t="inlineStr">
        <is>
          <t>6060</t>
        </is>
      </c>
      <c r="E31" s="27" t="inlineStr">
        <is>
          <t>Utilities</t>
        </is>
      </c>
      <c r="F31" s="27" t="inlineStr">
        <is>
          <t>OpEx</t>
        </is>
      </c>
      <c r="G31" s="27" t="inlineStr">
        <is>
          <t>SALES</t>
        </is>
      </c>
      <c r="H31" s="27" t="inlineStr">
        <is>
          <t>SALES</t>
        </is>
      </c>
      <c r="I31" s="31" t="n">
        <v>10802</v>
      </c>
      <c r="J31" s="31" t="n">
        <v>11475</v>
      </c>
      <c r="K31" s="31" t="n">
        <v>11363</v>
      </c>
      <c r="L31" s="31" t="n">
        <v>11175</v>
      </c>
      <c r="M31" s="31" t="n">
        <v>12477</v>
      </c>
      <c r="N31" s="31" t="n">
        <v>12817</v>
      </c>
      <c r="O31" s="31" t="n">
        <v>13280</v>
      </c>
      <c r="P31" s="31" t="n">
        <v>12289</v>
      </c>
      <c r="Q31" s="28" t="n">
        <v>13005</v>
      </c>
      <c r="R31" s="28" t="n">
        <v>12386</v>
      </c>
      <c r="S31" s="28" t="n">
        <v>11766</v>
      </c>
      <c r="T31" s="28" t="n">
        <v>11147</v>
      </c>
      <c r="U31" s="29">
        <f>SUM(I31:T31)</f>
        <v/>
      </c>
    </row>
    <row r="32">
      <c r="E32" s="4" t="inlineStr">
        <is>
          <t>Net Income</t>
        </is>
      </c>
      <c r="I32" s="29">
        <f>SUM(I23:I31)</f>
        <v/>
      </c>
      <c r="J32" s="29">
        <f>SUM(J23:J31)</f>
        <v/>
      </c>
      <c r="K32" s="29">
        <f>SUM(K23:K31)</f>
        <v/>
      </c>
      <c r="L32" s="29">
        <f>SUM(L23:L31)</f>
        <v/>
      </c>
      <c r="M32" s="29">
        <f>SUM(M23:M31)</f>
        <v/>
      </c>
      <c r="N32" s="29">
        <f>SUM(N23:N31)</f>
        <v/>
      </c>
      <c r="O32" s="29">
        <f>SUM(O23:O31)</f>
        <v/>
      </c>
      <c r="P32" s="29">
        <f>SUM(P23:P31)</f>
        <v/>
      </c>
      <c r="Q32" s="29">
        <f>SUM(Q23:Q31)</f>
        <v/>
      </c>
      <c r="R32" s="29">
        <f>SUM(R23:R31)</f>
        <v/>
      </c>
      <c r="S32" s="29">
        <f>SUM(S23:S31)</f>
        <v/>
      </c>
      <c r="T32" s="29">
        <f>SUM(T23:T31)</f>
        <v/>
      </c>
      <c r="U32" s="29">
        <f>SUM(U23:U31)</f>
        <v/>
      </c>
    </row>
    <row r="34">
      <c r="A34" s="24" t="inlineStr">
        <is>
          <t>AMDE</t>
        </is>
      </c>
      <c r="B34" s="24" t="inlineStr">
        <is>
          <t>Alpine Manufacturing DE</t>
        </is>
      </c>
      <c r="C34" s="24" t="inlineStr">
        <is>
          <t>EUR</t>
        </is>
      </c>
      <c r="D34" s="24" t="n"/>
      <c r="E34" s="25" t="n"/>
      <c r="F34" s="25" t="n"/>
      <c r="G34" s="25" t="n"/>
      <c r="H34" s="25" t="n"/>
      <c r="I34" s="25" t="n"/>
      <c r="J34" s="25" t="n"/>
      <c r="K34" s="25" t="n"/>
      <c r="L34" s="25" t="n"/>
      <c r="M34" s="25" t="n"/>
      <c r="N34" s="25" t="n"/>
      <c r="O34" s="25" t="n"/>
      <c r="P34" s="25" t="n"/>
      <c r="Q34" s="25" t="n"/>
      <c r="R34" s="25" t="n"/>
      <c r="S34" s="25" t="n"/>
      <c r="T34" s="26" t="n"/>
      <c r="U34" s="24" t="n"/>
    </row>
    <row r="35">
      <c r="A35" s="27" t="inlineStr">
        <is>
          <t>FORECAST_2024F9</t>
        </is>
      </c>
      <c r="B35" s="27" t="inlineStr">
        <is>
          <t>AMDE</t>
        </is>
      </c>
      <c r="C35" s="27" t="inlineStr">
        <is>
          <t>EUR</t>
        </is>
      </c>
      <c r="D35" s="27" t="inlineStr">
        <is>
          <t>4010</t>
        </is>
      </c>
      <c r="E35" s="27" t="inlineStr">
        <is>
          <t>Product Revenue</t>
        </is>
      </c>
      <c r="F35" s="27" t="inlineStr">
        <is>
          <t>Revenue</t>
        </is>
      </c>
      <c r="G35" s="27" t="inlineStr">
        <is>
          <t>PROD</t>
        </is>
      </c>
      <c r="H35" s="27" t="inlineStr">
        <is>
          <t>OPS</t>
        </is>
      </c>
      <c r="I35" s="31" t="n">
        <v>-485957</v>
      </c>
      <c r="J35" s="31" t="n">
        <v>-557926</v>
      </c>
      <c r="K35" s="31" t="n">
        <v>-561199</v>
      </c>
      <c r="L35" s="31" t="n">
        <v>-589782</v>
      </c>
      <c r="M35" s="31" t="n">
        <v>-609094</v>
      </c>
      <c r="N35" s="31" t="n">
        <v>-652814</v>
      </c>
      <c r="O35" s="31" t="n">
        <v>-664841</v>
      </c>
      <c r="P35" s="31" t="n">
        <v>-684443</v>
      </c>
      <c r="Q35" s="28" t="n">
        <v>-651703</v>
      </c>
      <c r="R35" s="28" t="n">
        <v>-620670</v>
      </c>
      <c r="S35" s="28" t="n">
        <v>-589636</v>
      </c>
      <c r="T35" s="28" t="n">
        <v>-558603</v>
      </c>
      <c r="U35" s="29">
        <f>SUM(I35:T35)</f>
        <v/>
      </c>
    </row>
    <row r="36">
      <c r="A36" s="27" t="inlineStr">
        <is>
          <t>FORECAST_2024F9</t>
        </is>
      </c>
      <c r="B36" s="27" t="inlineStr">
        <is>
          <t>AMDE</t>
        </is>
      </c>
      <c r="C36" s="27" t="inlineStr">
        <is>
          <t>EUR</t>
        </is>
      </c>
      <c r="D36" s="27" t="inlineStr">
        <is>
          <t>4020</t>
        </is>
      </c>
      <c r="E36" s="27" t="inlineStr">
        <is>
          <t>Service Revenue</t>
        </is>
      </c>
      <c r="F36" s="27" t="inlineStr">
        <is>
          <t>Revenue</t>
        </is>
      </c>
      <c r="G36" s="27" t="inlineStr">
        <is>
          <t>PROD</t>
        </is>
      </c>
      <c r="H36" s="27" t="inlineStr">
        <is>
          <t>OPS</t>
        </is>
      </c>
      <c r="I36" s="31" t="n">
        <v>-69795</v>
      </c>
      <c r="J36" s="31" t="n">
        <v>-71551</v>
      </c>
      <c r="K36" s="31" t="n">
        <v>-60774</v>
      </c>
      <c r="L36" s="31" t="n">
        <v>-76259</v>
      </c>
      <c r="M36" s="31" t="n">
        <v>-76182</v>
      </c>
      <c r="N36" s="31" t="n">
        <v>-63604</v>
      </c>
      <c r="O36" s="31" t="n">
        <v>-78483</v>
      </c>
      <c r="P36" s="31" t="n">
        <v>-65679</v>
      </c>
      <c r="Q36" s="28" t="n">
        <v>-77271</v>
      </c>
      <c r="R36" s="28" t="n">
        <v>-73591</v>
      </c>
      <c r="S36" s="28" t="n">
        <v>-69911</v>
      </c>
      <c r="T36" s="28" t="n">
        <v>-66232</v>
      </c>
      <c r="U36" s="29">
        <f>SUM(I36:T36)</f>
        <v/>
      </c>
    </row>
    <row r="37">
      <c r="A37" s="27" t="inlineStr">
        <is>
          <t>FORECAST_2024F9</t>
        </is>
      </c>
      <c r="B37" s="27" t="inlineStr">
        <is>
          <t>AMDE</t>
        </is>
      </c>
      <c r="C37" s="27" t="inlineStr">
        <is>
          <t>EUR</t>
        </is>
      </c>
      <c r="D37" s="27" t="inlineStr">
        <is>
          <t>5010</t>
        </is>
      </c>
      <c r="E37" s="27" t="inlineStr">
        <is>
          <t>Cost of Goods Sold</t>
        </is>
      </c>
      <c r="F37" s="27" t="inlineStr">
        <is>
          <t>COGS</t>
        </is>
      </c>
      <c r="G37" s="27" t="inlineStr">
        <is>
          <t>PROD</t>
        </is>
      </c>
      <c r="H37" s="27" t="inlineStr">
        <is>
          <t>OPS</t>
        </is>
      </c>
      <c r="I37" s="31" t="n">
        <v>233742</v>
      </c>
      <c r="J37" s="31" t="n">
        <v>229668</v>
      </c>
      <c r="K37" s="31" t="n">
        <v>239615</v>
      </c>
      <c r="L37" s="31" t="n">
        <v>244561</v>
      </c>
      <c r="M37" s="31" t="n">
        <v>251441</v>
      </c>
      <c r="N37" s="31" t="n">
        <v>257330</v>
      </c>
      <c r="O37" s="31" t="n">
        <v>310188</v>
      </c>
      <c r="P37" s="31" t="n">
        <v>267377</v>
      </c>
      <c r="Q37" s="28" t="n">
        <v>267908</v>
      </c>
      <c r="R37" s="28" t="n">
        <v>255150</v>
      </c>
      <c r="S37" s="28" t="n">
        <v>242393</v>
      </c>
      <c r="T37" s="28" t="n">
        <v>229635</v>
      </c>
      <c r="U37" s="29">
        <f>SUM(I37:T37)</f>
        <v/>
      </c>
    </row>
    <row r="38">
      <c r="A38" s="27" t="inlineStr">
        <is>
          <t>FORECAST_2024F9</t>
        </is>
      </c>
      <c r="B38" s="27" t="inlineStr">
        <is>
          <t>AMDE</t>
        </is>
      </c>
      <c r="C38" s="27" t="inlineStr">
        <is>
          <t>EUR</t>
        </is>
      </c>
      <c r="D38" s="27" t="inlineStr">
        <is>
          <t>6010</t>
        </is>
      </c>
      <c r="E38" s="27" t="inlineStr">
        <is>
          <t>Salaries and Wages</t>
        </is>
      </c>
      <c r="F38" s="27" t="inlineStr">
        <is>
          <t>OpEx</t>
        </is>
      </c>
      <c r="G38" s="27" t="inlineStr">
        <is>
          <t>PROD</t>
        </is>
      </c>
      <c r="H38" s="27" t="inlineStr">
        <is>
          <t>OPS</t>
        </is>
      </c>
      <c r="I38" s="31" t="n">
        <v>132717</v>
      </c>
      <c r="J38" s="31" t="n">
        <v>134724</v>
      </c>
      <c r="K38" s="31" t="n">
        <v>133030</v>
      </c>
      <c r="L38" s="31" t="n">
        <v>141268</v>
      </c>
      <c r="M38" s="31" t="n">
        <v>164221</v>
      </c>
      <c r="N38" s="31" t="n">
        <v>158763</v>
      </c>
      <c r="O38" s="31" t="n">
        <v>169602</v>
      </c>
      <c r="P38" s="31" t="n">
        <v>164059</v>
      </c>
      <c r="Q38" s="28" t="n">
        <v>159321</v>
      </c>
      <c r="R38" s="28" t="n">
        <v>151734</v>
      </c>
      <c r="S38" s="28" t="n">
        <v>144147</v>
      </c>
      <c r="T38" s="28" t="n">
        <v>136560</v>
      </c>
      <c r="U38" s="29">
        <f>SUM(I38:T38)</f>
        <v/>
      </c>
    </row>
    <row r="39">
      <c r="A39" s="27" t="inlineStr">
        <is>
          <t>FORECAST_2024F9</t>
        </is>
      </c>
      <c r="B39" s="27" t="inlineStr">
        <is>
          <t>AMDE</t>
        </is>
      </c>
      <c r="C39" s="27" t="inlineStr">
        <is>
          <t>EUR</t>
        </is>
      </c>
      <c r="D39" s="27" t="inlineStr">
        <is>
          <t>6020</t>
        </is>
      </c>
      <c r="E39" s="27" t="inlineStr">
        <is>
          <t>Rent Expense</t>
        </is>
      </c>
      <c r="F39" s="27" t="inlineStr">
        <is>
          <t>OpEx</t>
        </is>
      </c>
      <c r="G39" s="27" t="inlineStr">
        <is>
          <t>PROD</t>
        </is>
      </c>
      <c r="H39" s="27" t="inlineStr">
        <is>
          <t>OPS</t>
        </is>
      </c>
      <c r="I39" s="31" t="n">
        <v>19091</v>
      </c>
      <c r="J39" s="31" t="n">
        <v>22457</v>
      </c>
      <c r="K39" s="31" t="n">
        <v>22721</v>
      </c>
      <c r="L39" s="31" t="n">
        <v>24323</v>
      </c>
      <c r="M39" s="31" t="n">
        <v>24746</v>
      </c>
      <c r="N39" s="31" t="n">
        <v>24882</v>
      </c>
      <c r="O39" s="31" t="n">
        <v>26277</v>
      </c>
      <c r="P39" s="31" t="n">
        <v>24889</v>
      </c>
      <c r="Q39" s="28" t="n">
        <v>25883</v>
      </c>
      <c r="R39" s="28" t="n">
        <v>24650</v>
      </c>
      <c r="S39" s="28" t="n">
        <v>23417</v>
      </c>
      <c r="T39" s="28" t="n">
        <v>22185</v>
      </c>
      <c r="U39" s="29">
        <f>SUM(I39:T39)</f>
        <v/>
      </c>
    </row>
    <row r="40">
      <c r="A40" s="27" t="inlineStr">
        <is>
          <t>FORECAST_2024F9</t>
        </is>
      </c>
      <c r="B40" s="27" t="inlineStr">
        <is>
          <t>AMDE</t>
        </is>
      </c>
      <c r="C40" s="27" t="inlineStr">
        <is>
          <t>EUR</t>
        </is>
      </c>
      <c r="D40" s="27" t="inlineStr">
        <is>
          <t>6030</t>
        </is>
      </c>
      <c r="E40" s="27" t="inlineStr">
        <is>
          <t>Depreciation Expense</t>
        </is>
      </c>
      <c r="F40" s="27" t="inlineStr">
        <is>
          <t>OpEx</t>
        </is>
      </c>
      <c r="G40" s="27" t="inlineStr">
        <is>
          <t>PROD</t>
        </is>
      </c>
      <c r="H40" s="27" t="inlineStr">
        <is>
          <t>OPS</t>
        </is>
      </c>
      <c r="I40" s="31" t="n">
        <v>14357</v>
      </c>
      <c r="J40" s="31" t="n">
        <v>16527</v>
      </c>
      <c r="K40" s="31" t="n">
        <v>17581</v>
      </c>
      <c r="L40" s="31" t="n">
        <v>18734</v>
      </c>
      <c r="M40" s="31" t="n">
        <v>17909</v>
      </c>
      <c r="N40" s="31" t="n">
        <v>19058</v>
      </c>
      <c r="O40" s="31" t="n">
        <v>22095</v>
      </c>
      <c r="P40" s="31" t="n">
        <v>20599</v>
      </c>
      <c r="Q40" s="28" t="n">
        <v>19724</v>
      </c>
      <c r="R40" s="28" t="n">
        <v>18785</v>
      </c>
      <c r="S40" s="28" t="n">
        <v>17846</v>
      </c>
      <c r="T40" s="28" t="n">
        <v>16906</v>
      </c>
      <c r="U40" s="29">
        <f>SUM(I40:T40)</f>
        <v/>
      </c>
    </row>
    <row r="41">
      <c r="A41" s="27" t="inlineStr">
        <is>
          <t>FORECAST_2024F9</t>
        </is>
      </c>
      <c r="B41" s="27" t="inlineStr">
        <is>
          <t>AMDE</t>
        </is>
      </c>
      <c r="C41" s="27" t="inlineStr">
        <is>
          <t>EUR</t>
        </is>
      </c>
      <c r="D41" s="27" t="inlineStr">
        <is>
          <t>6040</t>
        </is>
      </c>
      <c r="E41" s="27" t="inlineStr">
        <is>
          <t>Marketing Expense</t>
        </is>
      </c>
      <c r="F41" s="27" t="inlineStr">
        <is>
          <t>OpEx</t>
        </is>
      </c>
      <c r="G41" s="27" t="inlineStr">
        <is>
          <t>PROD</t>
        </is>
      </c>
      <c r="H41" s="27" t="inlineStr">
        <is>
          <t>OPS</t>
        </is>
      </c>
      <c r="I41" s="31" t="n">
        <v>14220</v>
      </c>
      <c r="J41" s="31" t="n">
        <v>19456</v>
      </c>
      <c r="K41" s="31" t="n">
        <v>16353</v>
      </c>
      <c r="L41" s="31" t="n">
        <v>19779</v>
      </c>
      <c r="M41" s="31" t="n">
        <v>14302</v>
      </c>
      <c r="N41" s="31" t="n">
        <v>22380</v>
      </c>
      <c r="O41" s="31" t="n">
        <v>24477</v>
      </c>
      <c r="P41" s="31" t="n">
        <v>21710</v>
      </c>
      <c r="Q41" s="28" t="n">
        <v>20101</v>
      </c>
      <c r="R41" s="28" t="n">
        <v>19144</v>
      </c>
      <c r="S41" s="28" t="n">
        <v>18187</v>
      </c>
      <c r="T41" s="28" t="n">
        <v>17230</v>
      </c>
      <c r="U41" s="29">
        <f>SUM(I41:T41)</f>
        <v/>
      </c>
    </row>
    <row r="42">
      <c r="A42" s="27" t="inlineStr">
        <is>
          <t>FORECAST_2024F9</t>
        </is>
      </c>
      <c r="B42" s="27" t="inlineStr">
        <is>
          <t>AMDE</t>
        </is>
      </c>
      <c r="C42" s="27" t="inlineStr">
        <is>
          <t>EUR</t>
        </is>
      </c>
      <c r="D42" s="27" t="inlineStr">
        <is>
          <t>6050</t>
        </is>
      </c>
      <c r="E42" s="27" t="inlineStr">
        <is>
          <t>Travel Expense</t>
        </is>
      </c>
      <c r="F42" s="27" t="inlineStr">
        <is>
          <t>OpEx</t>
        </is>
      </c>
      <c r="G42" s="27" t="inlineStr">
        <is>
          <t>PROD</t>
        </is>
      </c>
      <c r="H42" s="27" t="inlineStr">
        <is>
          <t>OPS</t>
        </is>
      </c>
      <c r="I42" s="31" t="n">
        <v>4966</v>
      </c>
      <c r="J42" s="31" t="n">
        <v>10069</v>
      </c>
      <c r="K42" s="31" t="n">
        <v>9450</v>
      </c>
      <c r="L42" s="31" t="n">
        <v>9438</v>
      </c>
      <c r="M42" s="31" t="n">
        <v>9450</v>
      </c>
      <c r="N42" s="31" t="n">
        <v>10236</v>
      </c>
      <c r="O42" s="31" t="n">
        <v>9270</v>
      </c>
      <c r="P42" s="31" t="n">
        <v>7473</v>
      </c>
      <c r="Q42" s="28" t="n">
        <v>9662</v>
      </c>
      <c r="R42" s="28" t="n">
        <v>9202</v>
      </c>
      <c r="S42" s="28" t="n">
        <v>8742</v>
      </c>
      <c r="T42" s="28" t="n">
        <v>8282</v>
      </c>
      <c r="U42" s="29">
        <f>SUM(I42:T42)</f>
        <v/>
      </c>
    </row>
    <row r="43">
      <c r="A43" s="27" t="inlineStr">
        <is>
          <t>FORECAST_2024F9</t>
        </is>
      </c>
      <c r="B43" s="27" t="inlineStr">
        <is>
          <t>AMDE</t>
        </is>
      </c>
      <c r="C43" s="27" t="inlineStr">
        <is>
          <t>EUR</t>
        </is>
      </c>
      <c r="D43" s="27" t="inlineStr">
        <is>
          <t>6060</t>
        </is>
      </c>
      <c r="E43" s="27" t="inlineStr">
        <is>
          <t>Utilities</t>
        </is>
      </c>
      <c r="F43" s="27" t="inlineStr">
        <is>
          <t>OpEx</t>
        </is>
      </c>
      <c r="G43" s="27" t="inlineStr">
        <is>
          <t>PROD</t>
        </is>
      </c>
      <c r="H43" s="27" t="inlineStr">
        <is>
          <t>OPS</t>
        </is>
      </c>
      <c r="I43" s="31" t="n">
        <v>7726</v>
      </c>
      <c r="J43" s="31" t="n">
        <v>8481</v>
      </c>
      <c r="K43" s="31" t="n">
        <v>8739</v>
      </c>
      <c r="L43" s="31" t="n">
        <v>9032</v>
      </c>
      <c r="M43" s="31" t="n">
        <v>9716</v>
      </c>
      <c r="N43" s="31" t="n">
        <v>9561</v>
      </c>
      <c r="O43" s="31" t="n">
        <v>10156</v>
      </c>
      <c r="P43" s="31" t="n">
        <v>10046</v>
      </c>
      <c r="Q43" s="28" t="n">
        <v>9864</v>
      </c>
      <c r="R43" s="28" t="n">
        <v>9394</v>
      </c>
      <c r="S43" s="28" t="n">
        <v>8924</v>
      </c>
      <c r="T43" s="28" t="n">
        <v>8454</v>
      </c>
      <c r="U43" s="29">
        <f>SUM(I43:T43)</f>
        <v/>
      </c>
    </row>
    <row r="44">
      <c r="E44" s="4" t="inlineStr">
        <is>
          <t>Net Income</t>
        </is>
      </c>
      <c r="I44" s="29">
        <f>SUM(I35:I43)</f>
        <v/>
      </c>
      <c r="J44" s="29">
        <f>SUM(J35:J43)</f>
        <v/>
      </c>
      <c r="K44" s="29">
        <f>SUM(K35:K43)</f>
        <v/>
      </c>
      <c r="L44" s="29">
        <f>SUM(L35:L43)</f>
        <v/>
      </c>
      <c r="M44" s="29">
        <f>SUM(M35:M43)</f>
        <v/>
      </c>
      <c r="N44" s="29">
        <f>SUM(N35:N43)</f>
        <v/>
      </c>
      <c r="O44" s="29">
        <f>SUM(O35:O43)</f>
        <v/>
      </c>
      <c r="P44" s="29">
        <f>SUM(P35:P43)</f>
        <v/>
      </c>
      <c r="Q44" s="29">
        <f>SUM(Q35:Q43)</f>
        <v/>
      </c>
      <c r="R44" s="29">
        <f>SUM(R35:R43)</f>
        <v/>
      </c>
      <c r="S44" s="29">
        <f>SUM(S35:S43)</f>
        <v/>
      </c>
      <c r="T44" s="29">
        <f>SUM(T35:T43)</f>
        <v/>
      </c>
      <c r="U44" s="29">
        <f>SUM(U35:U43)</f>
        <v/>
      </c>
    </row>
  </sheetData>
  <mergeCells count="3">
    <mergeCell ref="D34:T34"/>
    <mergeCell ref="D22:T22"/>
    <mergeCell ref="D10:T10"/>
  </mergeCell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U44"/>
  <sheetViews>
    <sheetView workbookViewId="0">
      <pane xSplit="8" ySplit="9" topLeftCell="I10"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0" customWidth="1" min="3" max="3"/>
    <col width="10" customWidth="1" min="4" max="4"/>
    <col width="22" customWidth="1" min="5" max="5"/>
    <col width="12" customWidth="1" min="6" max="6"/>
    <col width="14" customWidth="1" min="7" max="7"/>
    <col width="14"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4" customWidth="1" min="21" max="21"/>
  </cols>
  <sheetData>
    <row r="1">
      <c r="A1" s="20" t="inlineStr">
        <is>
          <t>Scenario:</t>
        </is>
      </c>
      <c r="B1" s="21" t="inlineStr">
        <is>
          <t>Forecast 2024 - Oct</t>
        </is>
      </c>
    </row>
    <row r="2">
      <c r="A2" s="20" t="inlineStr">
        <is>
          <t>Scenario ID:</t>
        </is>
      </c>
      <c r="B2" s="21" t="inlineStr">
        <is>
          <t>FORECAST_2024F10</t>
        </is>
      </c>
    </row>
    <row r="3">
      <c r="A3" s="20" t="inlineStr">
        <is>
          <t>Type:</t>
        </is>
      </c>
      <c r="B3" s="21" t="inlineStr">
        <is>
          <t>forecast</t>
        </is>
      </c>
    </row>
    <row r="4">
      <c r="A4" s="20" t="inlineStr">
        <is>
          <t>Fiscal Year:</t>
        </is>
      </c>
      <c r="B4" s="21" t="n">
        <v>2024</v>
      </c>
    </row>
    <row r="5">
      <c r="A5" s="20" t="inlineStr">
        <is>
          <t>Layer:</t>
        </is>
      </c>
      <c r="B5" s="21" t="inlineStr">
        <is>
          <t>base</t>
        </is>
      </c>
    </row>
    <row r="6">
      <c r="A6" s="20" t="inlineStr">
        <is>
          <t>Actual months:</t>
        </is>
      </c>
      <c r="B6" s="30" t="inlineStr">
        <is>
          <t>1-9 (yellow = actuals, white = editable forecast)</t>
        </is>
      </c>
    </row>
    <row r="7">
      <c r="A7" s="20" t="inlineStr">
        <is>
          <t>Usage:</t>
        </is>
      </c>
      <c r="B7" s="22" t="inlineStr">
        <is>
          <t>Edit white cells, then press Ctrl+Shift+R or F9 to save to server</t>
        </is>
      </c>
    </row>
    <row r="9">
      <c r="A9" s="23" t="inlineStr">
        <is>
          <t>Scenario ID</t>
        </is>
      </c>
      <c r="B9" s="23" t="inlineStr">
        <is>
          <t>Entity</t>
        </is>
      </c>
      <c r="C9" s="23" t="inlineStr">
        <is>
          <t>Currency</t>
        </is>
      </c>
      <c r="D9" s="23" t="inlineStr">
        <is>
          <t>Account</t>
        </is>
      </c>
      <c r="E9" s="23" t="inlineStr">
        <is>
          <t>Account Name</t>
        </is>
      </c>
      <c r="F9" s="23" t="inlineStr">
        <is>
          <t>Category</t>
        </is>
      </c>
      <c r="G9" s="23" t="inlineStr">
        <is>
          <t>Cost Center</t>
        </is>
      </c>
      <c r="H9" s="23" t="inlineStr">
        <is>
          <t>Department</t>
        </is>
      </c>
      <c r="I9" s="23" t="inlineStr">
        <is>
          <t>Jan</t>
        </is>
      </c>
      <c r="J9" s="23" t="inlineStr">
        <is>
          <t>Feb</t>
        </is>
      </c>
      <c r="K9" s="23" t="inlineStr">
        <is>
          <t>Mar</t>
        </is>
      </c>
      <c r="L9" s="23" t="inlineStr">
        <is>
          <t>Apr</t>
        </is>
      </c>
      <c r="M9" s="23" t="inlineStr">
        <is>
          <t>May</t>
        </is>
      </c>
      <c r="N9" s="23" t="inlineStr">
        <is>
          <t>Jun</t>
        </is>
      </c>
      <c r="O9" s="23" t="inlineStr">
        <is>
          <t>Jul</t>
        </is>
      </c>
      <c r="P9" s="23" t="inlineStr">
        <is>
          <t>Aug</t>
        </is>
      </c>
      <c r="Q9" s="23" t="inlineStr">
        <is>
          <t>Sep</t>
        </is>
      </c>
      <c r="R9" s="23" t="inlineStr">
        <is>
          <t>Oct</t>
        </is>
      </c>
      <c r="S9" s="23" t="inlineStr">
        <is>
          <t>Nov</t>
        </is>
      </c>
      <c r="T9" s="23" t="inlineStr">
        <is>
          <t>Dec</t>
        </is>
      </c>
      <c r="U9" s="23" t="inlineStr">
        <is>
          <t>Annual Total</t>
        </is>
      </c>
    </row>
    <row r="10">
      <c r="A10" s="24" t="inlineStr">
        <is>
          <t>AMHQ</t>
        </is>
      </c>
      <c r="B10" s="24" t="inlineStr">
        <is>
          <t>Alpine Manufacturing HQ</t>
        </is>
      </c>
      <c r="C10" s="24" t="inlineStr">
        <is>
          <t>CHF</t>
        </is>
      </c>
      <c r="D10" s="24" t="n"/>
      <c r="E10" s="25" t="n"/>
      <c r="F10" s="25" t="n"/>
      <c r="G10" s="25" t="n"/>
      <c r="H10" s="25" t="n"/>
      <c r="I10" s="25" t="n"/>
      <c r="J10" s="25" t="n"/>
      <c r="K10" s="25" t="n"/>
      <c r="L10" s="25" t="n"/>
      <c r="M10" s="25" t="n"/>
      <c r="N10" s="25" t="n"/>
      <c r="O10" s="25" t="n"/>
      <c r="P10" s="25" t="n"/>
      <c r="Q10" s="25" t="n"/>
      <c r="R10" s="25" t="n"/>
      <c r="S10" s="25" t="n"/>
      <c r="T10" s="26" t="n"/>
      <c r="U10" s="24" t="n"/>
    </row>
    <row r="11">
      <c r="A11" s="27" t="inlineStr">
        <is>
          <t>FORECAST_2024F10</t>
        </is>
      </c>
      <c r="B11" s="27" t="inlineStr">
        <is>
          <t>AMHQ</t>
        </is>
      </c>
      <c r="C11" s="27" t="inlineStr">
        <is>
          <t>CHF</t>
        </is>
      </c>
      <c r="D11" s="27" t="inlineStr">
        <is>
          <t>4010</t>
        </is>
      </c>
      <c r="E11" s="27" t="inlineStr">
        <is>
          <t>Product Revenue</t>
        </is>
      </c>
      <c r="F11" s="27" t="inlineStr">
        <is>
          <t>Revenue</t>
        </is>
      </c>
      <c r="G11" s="27" t="inlineStr">
        <is>
          <t>HQ</t>
        </is>
      </c>
      <c r="H11" s="27" t="inlineStr">
        <is>
          <t>MGMT</t>
        </is>
      </c>
      <c r="I11" s="31" t="n">
        <v>-448191</v>
      </c>
      <c r="J11" s="31" t="n">
        <v>-423537</v>
      </c>
      <c r="K11" s="31" t="n">
        <v>-495017</v>
      </c>
      <c r="L11" s="31" t="n">
        <v>-469249</v>
      </c>
      <c r="M11" s="31" t="n">
        <v>-529264</v>
      </c>
      <c r="N11" s="31" t="n">
        <v>-583744</v>
      </c>
      <c r="O11" s="31" t="n">
        <v>-568234</v>
      </c>
      <c r="P11" s="31" t="n">
        <v>-539918</v>
      </c>
      <c r="Q11" s="31" t="n">
        <v>-540319</v>
      </c>
      <c r="R11" s="28" t="n">
        <v>-521228</v>
      </c>
      <c r="S11" s="28" t="n">
        <v>-495166</v>
      </c>
      <c r="T11" s="28" t="n">
        <v>-469105</v>
      </c>
      <c r="U11" s="29">
        <f>SUM(I11:T11)</f>
        <v/>
      </c>
    </row>
    <row r="12">
      <c r="A12" s="27" t="inlineStr">
        <is>
          <t>FORECAST_2024F10</t>
        </is>
      </c>
      <c r="B12" s="27" t="inlineStr">
        <is>
          <t>AMHQ</t>
        </is>
      </c>
      <c r="C12" s="27" t="inlineStr">
        <is>
          <t>CHF</t>
        </is>
      </c>
      <c r="D12" s="27" t="inlineStr">
        <is>
          <t>4020</t>
        </is>
      </c>
      <c r="E12" s="27" t="inlineStr">
        <is>
          <t>Service Revenue</t>
        </is>
      </c>
      <c r="F12" s="27" t="inlineStr">
        <is>
          <t>Revenue</t>
        </is>
      </c>
      <c r="G12" s="27" t="inlineStr">
        <is>
          <t>HQ</t>
        </is>
      </c>
      <c r="H12" s="27" t="inlineStr">
        <is>
          <t>MGMT</t>
        </is>
      </c>
      <c r="I12" s="31" t="n">
        <v>-44799</v>
      </c>
      <c r="J12" s="31" t="n">
        <v>-66167</v>
      </c>
      <c r="K12" s="31" t="n">
        <v>-57821</v>
      </c>
      <c r="L12" s="31" t="n">
        <v>-54027</v>
      </c>
      <c r="M12" s="31" t="n">
        <v>-57935</v>
      </c>
      <c r="N12" s="31" t="n">
        <v>-59969</v>
      </c>
      <c r="O12" s="31" t="n">
        <v>-69388</v>
      </c>
      <c r="P12" s="31" t="n">
        <v>-65236</v>
      </c>
      <c r="Q12" s="31" t="n">
        <v>-60897</v>
      </c>
      <c r="R12" s="28" t="n">
        <v>-61702</v>
      </c>
      <c r="S12" s="28" t="n">
        <v>-58617</v>
      </c>
      <c r="T12" s="28" t="n">
        <v>-55532</v>
      </c>
      <c r="U12" s="29">
        <f>SUM(I12:T12)</f>
        <v/>
      </c>
    </row>
    <row r="13">
      <c r="A13" s="27" t="inlineStr">
        <is>
          <t>FORECAST_2024F10</t>
        </is>
      </c>
      <c r="B13" s="27" t="inlineStr">
        <is>
          <t>AMHQ</t>
        </is>
      </c>
      <c r="C13" s="27" t="inlineStr">
        <is>
          <t>CHF</t>
        </is>
      </c>
      <c r="D13" s="27" t="inlineStr">
        <is>
          <t>5010</t>
        </is>
      </c>
      <c r="E13" s="27" t="inlineStr">
        <is>
          <t>Cost of Goods Sold</t>
        </is>
      </c>
      <c r="F13" s="27" t="inlineStr">
        <is>
          <t>COGS</t>
        </is>
      </c>
      <c r="G13" s="27" t="inlineStr">
        <is>
          <t>HQ</t>
        </is>
      </c>
      <c r="H13" s="27" t="inlineStr">
        <is>
          <t>MGMT</t>
        </is>
      </c>
      <c r="I13" s="31" t="n">
        <v>178012</v>
      </c>
      <c r="J13" s="31" t="n">
        <v>179072</v>
      </c>
      <c r="K13" s="31" t="n">
        <v>203354</v>
      </c>
      <c r="L13" s="31" t="n">
        <v>196213</v>
      </c>
      <c r="M13" s="31" t="n">
        <v>220943</v>
      </c>
      <c r="N13" s="31" t="n">
        <v>236321</v>
      </c>
      <c r="O13" s="31" t="n">
        <v>227877</v>
      </c>
      <c r="P13" s="31" t="n">
        <v>248474</v>
      </c>
      <c r="Q13" s="31" t="n">
        <v>221880</v>
      </c>
      <c r="R13" s="28" t="n">
        <v>212488</v>
      </c>
      <c r="S13" s="28" t="n">
        <v>201864</v>
      </c>
      <c r="T13" s="28" t="n">
        <v>191239</v>
      </c>
      <c r="U13" s="29">
        <f>SUM(I13:T13)</f>
        <v/>
      </c>
    </row>
    <row r="14">
      <c r="A14" s="27" t="inlineStr">
        <is>
          <t>FORECAST_2024F10</t>
        </is>
      </c>
      <c r="B14" s="27" t="inlineStr">
        <is>
          <t>AMHQ</t>
        </is>
      </c>
      <c r="C14" s="27" t="inlineStr">
        <is>
          <t>CHF</t>
        </is>
      </c>
      <c r="D14" s="27" t="inlineStr">
        <is>
          <t>6010</t>
        </is>
      </c>
      <c r="E14" s="27" t="inlineStr">
        <is>
          <t>Salaries and Wages</t>
        </is>
      </c>
      <c r="F14" s="27" t="inlineStr">
        <is>
          <t>OpEx</t>
        </is>
      </c>
      <c r="G14" s="27" t="inlineStr">
        <is>
          <t>HQ</t>
        </is>
      </c>
      <c r="H14" s="27" t="inlineStr">
        <is>
          <t>MGMT</t>
        </is>
      </c>
      <c r="I14" s="31" t="n">
        <v>108616</v>
      </c>
      <c r="J14" s="31" t="n">
        <v>103518</v>
      </c>
      <c r="K14" s="31" t="n">
        <v>115015</v>
      </c>
      <c r="L14" s="31" t="n">
        <v>130995</v>
      </c>
      <c r="M14" s="31" t="n">
        <v>125409</v>
      </c>
      <c r="N14" s="31" t="n">
        <v>142895</v>
      </c>
      <c r="O14" s="31" t="n">
        <v>126476</v>
      </c>
      <c r="P14" s="31" t="n">
        <v>126181</v>
      </c>
      <c r="Q14" s="31" t="n">
        <v>127501</v>
      </c>
      <c r="R14" s="28" t="n">
        <v>125270</v>
      </c>
      <c r="S14" s="28" t="n">
        <v>119006</v>
      </c>
      <c r="T14" s="28" t="n">
        <v>112743</v>
      </c>
      <c r="U14" s="29">
        <f>SUM(I14:T14)</f>
        <v/>
      </c>
    </row>
    <row r="15">
      <c r="A15" s="27" t="inlineStr">
        <is>
          <t>FORECAST_2024F10</t>
        </is>
      </c>
      <c r="B15" s="27" t="inlineStr">
        <is>
          <t>AMHQ</t>
        </is>
      </c>
      <c r="C15" s="27" t="inlineStr">
        <is>
          <t>CHF</t>
        </is>
      </c>
      <c r="D15" s="27" t="inlineStr">
        <is>
          <t>6020</t>
        </is>
      </c>
      <c r="E15" s="27" t="inlineStr">
        <is>
          <t>Rent Expense</t>
        </is>
      </c>
      <c r="F15" s="27" t="inlineStr">
        <is>
          <t>OpEx</t>
        </is>
      </c>
      <c r="G15" s="27" t="inlineStr">
        <is>
          <t>HQ</t>
        </is>
      </c>
      <c r="H15" s="27" t="inlineStr">
        <is>
          <t>MGMT</t>
        </is>
      </c>
      <c r="I15" s="31" t="n">
        <v>17532</v>
      </c>
      <c r="J15" s="31" t="n">
        <v>18738</v>
      </c>
      <c r="K15" s="31" t="n">
        <v>18129</v>
      </c>
      <c r="L15" s="31" t="n">
        <v>20911</v>
      </c>
      <c r="M15" s="31" t="n">
        <v>21557</v>
      </c>
      <c r="N15" s="31" t="n">
        <v>22234</v>
      </c>
      <c r="O15" s="31" t="n">
        <v>24312</v>
      </c>
      <c r="P15" s="31" t="n">
        <v>22293</v>
      </c>
      <c r="Q15" s="31" t="n">
        <v>20413</v>
      </c>
      <c r="R15" s="28" t="n">
        <v>20970</v>
      </c>
      <c r="S15" s="28" t="n">
        <v>19921</v>
      </c>
      <c r="T15" s="28" t="n">
        <v>18873</v>
      </c>
      <c r="U15" s="29">
        <f>SUM(I15:T15)</f>
        <v/>
      </c>
    </row>
    <row r="16">
      <c r="A16" s="27" t="inlineStr">
        <is>
          <t>FORECAST_2024F10</t>
        </is>
      </c>
      <c r="B16" s="27" t="inlineStr">
        <is>
          <t>AMHQ</t>
        </is>
      </c>
      <c r="C16" s="27" t="inlineStr">
        <is>
          <t>CHF</t>
        </is>
      </c>
      <c r="D16" s="27" t="inlineStr">
        <is>
          <t>6030</t>
        </is>
      </c>
      <c r="E16" s="27" t="inlineStr">
        <is>
          <t>Depreciation Expense</t>
        </is>
      </c>
      <c r="F16" s="27" t="inlineStr">
        <is>
          <t>OpEx</t>
        </is>
      </c>
      <c r="G16" s="27" t="inlineStr">
        <is>
          <t>HQ</t>
        </is>
      </c>
      <c r="H16" s="27" t="inlineStr">
        <is>
          <t>MGMT</t>
        </is>
      </c>
      <c r="I16" s="31" t="n">
        <v>11957</v>
      </c>
      <c r="J16" s="31" t="n">
        <v>14011</v>
      </c>
      <c r="K16" s="31" t="n">
        <v>13946</v>
      </c>
      <c r="L16" s="31" t="n">
        <v>15665</v>
      </c>
      <c r="M16" s="31" t="n">
        <v>15565</v>
      </c>
      <c r="N16" s="31" t="n">
        <v>17349</v>
      </c>
      <c r="O16" s="31" t="n">
        <v>18143</v>
      </c>
      <c r="P16" s="31" t="n">
        <v>15868</v>
      </c>
      <c r="Q16" s="31" t="n">
        <v>16086</v>
      </c>
      <c r="R16" s="28" t="n">
        <v>15673</v>
      </c>
      <c r="S16" s="28" t="n">
        <v>14889</v>
      </c>
      <c r="T16" s="28" t="n">
        <v>14105</v>
      </c>
      <c r="U16" s="29">
        <f>SUM(I16:T16)</f>
        <v/>
      </c>
    </row>
    <row r="17">
      <c r="A17" s="27" t="inlineStr">
        <is>
          <t>FORECAST_2024F10</t>
        </is>
      </c>
      <c r="B17" s="27" t="inlineStr">
        <is>
          <t>AMHQ</t>
        </is>
      </c>
      <c r="C17" s="27" t="inlineStr">
        <is>
          <t>CHF</t>
        </is>
      </c>
      <c r="D17" s="27" t="inlineStr">
        <is>
          <t>6040</t>
        </is>
      </c>
      <c r="E17" s="27" t="inlineStr">
        <is>
          <t>Marketing Expense</t>
        </is>
      </c>
      <c r="F17" s="27" t="inlineStr">
        <is>
          <t>OpEx</t>
        </is>
      </c>
      <c r="G17" s="27" t="inlineStr">
        <is>
          <t>HQ</t>
        </is>
      </c>
      <c r="H17" s="27" t="inlineStr">
        <is>
          <t>MGMT</t>
        </is>
      </c>
      <c r="I17" s="31" t="n">
        <v>10908</v>
      </c>
      <c r="J17" s="31" t="n">
        <v>12969</v>
      </c>
      <c r="K17" s="31" t="n">
        <v>13572</v>
      </c>
      <c r="L17" s="31" t="n">
        <v>10094</v>
      </c>
      <c r="M17" s="31" t="n">
        <v>15099</v>
      </c>
      <c r="N17" s="31" t="n">
        <v>17412</v>
      </c>
      <c r="O17" s="31" t="n">
        <v>14063</v>
      </c>
      <c r="P17" s="31" t="n">
        <v>14886</v>
      </c>
      <c r="Q17" s="31" t="n">
        <v>10781</v>
      </c>
      <c r="R17" s="28" t="n">
        <v>14645</v>
      </c>
      <c r="S17" s="28" t="n">
        <v>13913</v>
      </c>
      <c r="T17" s="28" t="n">
        <v>13181</v>
      </c>
      <c r="U17" s="29">
        <f>SUM(I17:T17)</f>
        <v/>
      </c>
    </row>
    <row r="18">
      <c r="A18" s="27" t="inlineStr">
        <is>
          <t>FORECAST_2024F10</t>
        </is>
      </c>
      <c r="B18" s="27" t="inlineStr">
        <is>
          <t>AMHQ</t>
        </is>
      </c>
      <c r="C18" s="27" t="inlineStr">
        <is>
          <t>CHF</t>
        </is>
      </c>
      <c r="D18" s="27" t="inlineStr">
        <is>
          <t>6050</t>
        </is>
      </c>
      <c r="E18" s="27" t="inlineStr">
        <is>
          <t>Travel Expense</t>
        </is>
      </c>
      <c r="F18" s="27" t="inlineStr">
        <is>
          <t>OpEx</t>
        </is>
      </c>
      <c r="G18" s="27" t="inlineStr">
        <is>
          <t>HQ</t>
        </is>
      </c>
      <c r="H18" s="27" t="inlineStr">
        <is>
          <t>MGMT</t>
        </is>
      </c>
      <c r="I18" s="31" t="n">
        <v>4573</v>
      </c>
      <c r="J18" s="31" t="n">
        <v>6750</v>
      </c>
      <c r="K18" s="31" t="n">
        <v>5802</v>
      </c>
      <c r="L18" s="31" t="n">
        <v>8819</v>
      </c>
      <c r="M18" s="31" t="n">
        <v>5426</v>
      </c>
      <c r="N18" s="31" t="n">
        <v>7560</v>
      </c>
      <c r="O18" s="31" t="n">
        <v>6637</v>
      </c>
      <c r="P18" s="31" t="n">
        <v>8017</v>
      </c>
      <c r="Q18" s="31" t="n">
        <v>6786</v>
      </c>
      <c r="R18" s="28" t="n">
        <v>7348</v>
      </c>
      <c r="S18" s="28" t="n">
        <v>6981</v>
      </c>
      <c r="T18" s="28" t="n">
        <v>6614</v>
      </c>
      <c r="U18" s="29">
        <f>SUM(I18:T18)</f>
        <v/>
      </c>
    </row>
    <row r="19">
      <c r="A19" s="27" t="inlineStr">
        <is>
          <t>FORECAST_2024F10</t>
        </is>
      </c>
      <c r="B19" s="27" t="inlineStr">
        <is>
          <t>AMHQ</t>
        </is>
      </c>
      <c r="C19" s="27" t="inlineStr">
        <is>
          <t>CHF</t>
        </is>
      </c>
      <c r="D19" s="27" t="inlineStr">
        <is>
          <t>6060</t>
        </is>
      </c>
      <c r="E19" s="27" t="inlineStr">
        <is>
          <t>Utilities</t>
        </is>
      </c>
      <c r="F19" s="27" t="inlineStr">
        <is>
          <t>OpEx</t>
        </is>
      </c>
      <c r="G19" s="27" t="inlineStr">
        <is>
          <t>HQ</t>
        </is>
      </c>
      <c r="H19" s="27" t="inlineStr">
        <is>
          <t>MGMT</t>
        </is>
      </c>
      <c r="I19" s="31" t="n">
        <v>6323</v>
      </c>
      <c r="J19" s="31" t="n">
        <v>6415</v>
      </c>
      <c r="K19" s="31" t="n">
        <v>6671</v>
      </c>
      <c r="L19" s="31" t="n">
        <v>7834</v>
      </c>
      <c r="M19" s="31" t="n">
        <v>7543</v>
      </c>
      <c r="N19" s="31" t="n">
        <v>8104</v>
      </c>
      <c r="O19" s="31" t="n">
        <v>8936</v>
      </c>
      <c r="P19" s="31" t="n">
        <v>8657</v>
      </c>
      <c r="Q19" s="31" t="n">
        <v>7447</v>
      </c>
      <c r="R19" s="28" t="n">
        <v>7762</v>
      </c>
      <c r="S19" s="28" t="n">
        <v>7373</v>
      </c>
      <c r="T19" s="28" t="n">
        <v>6985</v>
      </c>
      <c r="U19" s="29">
        <f>SUM(I19:T19)</f>
        <v/>
      </c>
    </row>
    <row r="20">
      <c r="E20" s="4" t="inlineStr">
        <is>
          <t>Net Income</t>
        </is>
      </c>
      <c r="I20" s="29">
        <f>SUM(I11:I19)</f>
        <v/>
      </c>
      <c r="J20" s="29">
        <f>SUM(J11:J19)</f>
        <v/>
      </c>
      <c r="K20" s="29">
        <f>SUM(K11:K19)</f>
        <v/>
      </c>
      <c r="L20" s="29">
        <f>SUM(L11:L19)</f>
        <v/>
      </c>
      <c r="M20" s="29">
        <f>SUM(M11:M19)</f>
        <v/>
      </c>
      <c r="N20" s="29">
        <f>SUM(N11:N19)</f>
        <v/>
      </c>
      <c r="O20" s="29">
        <f>SUM(O11:O19)</f>
        <v/>
      </c>
      <c r="P20" s="29">
        <f>SUM(P11:P19)</f>
        <v/>
      </c>
      <c r="Q20" s="29">
        <f>SUM(Q11:Q19)</f>
        <v/>
      </c>
      <c r="R20" s="29">
        <f>SUM(R11:R19)</f>
        <v/>
      </c>
      <c r="S20" s="29">
        <f>SUM(S11:S19)</f>
        <v/>
      </c>
      <c r="T20" s="29">
        <f>SUM(T11:T19)</f>
        <v/>
      </c>
      <c r="U20" s="29">
        <f>SUM(U11:U19)</f>
        <v/>
      </c>
    </row>
    <row r="22">
      <c r="A22" s="24" t="inlineStr">
        <is>
          <t>AMUS</t>
        </is>
      </c>
      <c r="B22" s="24" t="inlineStr">
        <is>
          <t>Alpine Manufacturing US</t>
        </is>
      </c>
      <c r="C22" s="24" t="inlineStr">
        <is>
          <t>USD</t>
        </is>
      </c>
      <c r="D22" s="24" t="n"/>
      <c r="E22" s="25" t="n"/>
      <c r="F22" s="25" t="n"/>
      <c r="G22" s="25" t="n"/>
      <c r="H22" s="25" t="n"/>
      <c r="I22" s="25" t="n"/>
      <c r="J22" s="25" t="n"/>
      <c r="K22" s="25" t="n"/>
      <c r="L22" s="25" t="n"/>
      <c r="M22" s="25" t="n"/>
      <c r="N22" s="25" t="n"/>
      <c r="O22" s="25" t="n"/>
      <c r="P22" s="25" t="n"/>
      <c r="Q22" s="25" t="n"/>
      <c r="R22" s="25" t="n"/>
      <c r="S22" s="25" t="n"/>
      <c r="T22" s="26" t="n"/>
      <c r="U22" s="24" t="n"/>
    </row>
    <row r="23">
      <c r="A23" s="27" t="inlineStr">
        <is>
          <t>FORECAST_2024F10</t>
        </is>
      </c>
      <c r="B23" s="27" t="inlineStr">
        <is>
          <t>AMUS</t>
        </is>
      </c>
      <c r="C23" s="27" t="inlineStr">
        <is>
          <t>USD</t>
        </is>
      </c>
      <c r="D23" s="27" t="inlineStr">
        <is>
          <t>4010</t>
        </is>
      </c>
      <c r="E23" s="27" t="inlineStr">
        <is>
          <t>Product Revenue</t>
        </is>
      </c>
      <c r="F23" s="27" t="inlineStr">
        <is>
          <t>Revenue</t>
        </is>
      </c>
      <c r="G23" s="27" t="inlineStr">
        <is>
          <t>SALES</t>
        </is>
      </c>
      <c r="H23" s="27" t="inlineStr">
        <is>
          <t>SALES</t>
        </is>
      </c>
      <c r="I23" s="31" t="n">
        <v>-715105</v>
      </c>
      <c r="J23" s="31" t="n">
        <v>-752269</v>
      </c>
      <c r="K23" s="31" t="n">
        <v>-708261</v>
      </c>
      <c r="L23" s="31" t="n">
        <v>-821705</v>
      </c>
      <c r="M23" s="31" t="n">
        <v>-794286</v>
      </c>
      <c r="N23" s="31" t="n">
        <v>-873847</v>
      </c>
      <c r="O23" s="31" t="n">
        <v>-858529</v>
      </c>
      <c r="P23" s="31" t="n">
        <v>-844149</v>
      </c>
      <c r="Q23" s="31" t="n">
        <v>-844469</v>
      </c>
      <c r="R23" s="28" t="n">
        <v>-826132</v>
      </c>
      <c r="S23" s="28" t="n">
        <v>-784825</v>
      </c>
      <c r="T23" s="28" t="n">
        <v>-743519</v>
      </c>
      <c r="U23" s="29">
        <f>SUM(I23:T23)</f>
        <v/>
      </c>
    </row>
    <row r="24">
      <c r="A24" s="27" t="inlineStr">
        <is>
          <t>FORECAST_2024F10</t>
        </is>
      </c>
      <c r="B24" s="27" t="inlineStr">
        <is>
          <t>AMUS</t>
        </is>
      </c>
      <c r="C24" s="27" t="inlineStr">
        <is>
          <t>USD</t>
        </is>
      </c>
      <c r="D24" s="27" t="inlineStr">
        <is>
          <t>4020</t>
        </is>
      </c>
      <c r="E24" s="27" t="inlineStr">
        <is>
          <t>Service Revenue</t>
        </is>
      </c>
      <c r="F24" s="27" t="inlineStr">
        <is>
          <t>Revenue</t>
        </is>
      </c>
      <c r="G24" s="27" t="inlineStr">
        <is>
          <t>SALES</t>
        </is>
      </c>
      <c r="H24" s="27" t="inlineStr">
        <is>
          <t>SALES</t>
        </is>
      </c>
      <c r="I24" s="31" t="n">
        <v>-87645</v>
      </c>
      <c r="J24" s="31" t="n">
        <v>-87498</v>
      </c>
      <c r="K24" s="31" t="n">
        <v>-87403</v>
      </c>
      <c r="L24" s="31" t="n">
        <v>-83254</v>
      </c>
      <c r="M24" s="31" t="n">
        <v>-89225</v>
      </c>
      <c r="N24" s="31" t="n">
        <v>-114195</v>
      </c>
      <c r="O24" s="31" t="n">
        <v>-108831</v>
      </c>
      <c r="P24" s="31" t="n">
        <v>-94681</v>
      </c>
      <c r="Q24" s="31" t="n">
        <v>-109023</v>
      </c>
      <c r="R24" s="28" t="n">
        <v>-98930</v>
      </c>
      <c r="S24" s="28" t="n">
        <v>-93983</v>
      </c>
      <c r="T24" s="28" t="n">
        <v>-89037</v>
      </c>
      <c r="U24" s="29">
        <f>SUM(I24:T24)</f>
        <v/>
      </c>
    </row>
    <row r="25">
      <c r="A25" s="27" t="inlineStr">
        <is>
          <t>FORECAST_2024F10</t>
        </is>
      </c>
      <c r="B25" s="27" t="inlineStr">
        <is>
          <t>AMUS</t>
        </is>
      </c>
      <c r="C25" s="27" t="inlineStr">
        <is>
          <t>USD</t>
        </is>
      </c>
      <c r="D25" s="27" t="inlineStr">
        <is>
          <t>5010</t>
        </is>
      </c>
      <c r="E25" s="27" t="inlineStr">
        <is>
          <t>Cost of Goods Sold</t>
        </is>
      </c>
      <c r="F25" s="27" t="inlineStr">
        <is>
          <t>COGS</t>
        </is>
      </c>
      <c r="G25" s="27" t="inlineStr">
        <is>
          <t>SALES</t>
        </is>
      </c>
      <c r="H25" s="27" t="inlineStr">
        <is>
          <t>SALES</t>
        </is>
      </c>
      <c r="I25" s="31" t="n">
        <v>293264</v>
      </c>
      <c r="J25" s="31" t="n">
        <v>271126</v>
      </c>
      <c r="K25" s="31" t="n">
        <v>329112</v>
      </c>
      <c r="L25" s="31" t="n">
        <v>313629</v>
      </c>
      <c r="M25" s="31" t="n">
        <v>363735</v>
      </c>
      <c r="N25" s="31" t="n">
        <v>324185</v>
      </c>
      <c r="O25" s="31" t="n">
        <v>369528</v>
      </c>
      <c r="P25" s="31" t="n">
        <v>337575</v>
      </c>
      <c r="Q25" s="31" t="n">
        <v>329708</v>
      </c>
      <c r="R25" s="28" t="n">
        <v>333011</v>
      </c>
      <c r="S25" s="28" t="n">
        <v>316360</v>
      </c>
      <c r="T25" s="28" t="n">
        <v>299709</v>
      </c>
      <c r="U25" s="29">
        <f>SUM(I25:T25)</f>
        <v/>
      </c>
    </row>
    <row r="26">
      <c r="A26" s="27" t="inlineStr">
        <is>
          <t>FORECAST_2024F10</t>
        </is>
      </c>
      <c r="B26" s="27" t="inlineStr">
        <is>
          <t>AMUS</t>
        </is>
      </c>
      <c r="C26" s="27" t="inlineStr">
        <is>
          <t>USD</t>
        </is>
      </c>
      <c r="D26" s="27" t="inlineStr">
        <is>
          <t>6010</t>
        </is>
      </c>
      <c r="E26" s="27" t="inlineStr">
        <is>
          <t>Salaries and Wages</t>
        </is>
      </c>
      <c r="F26" s="27" t="inlineStr">
        <is>
          <t>OpEx</t>
        </is>
      </c>
      <c r="G26" s="27" t="inlineStr">
        <is>
          <t>SALES</t>
        </is>
      </c>
      <c r="H26" s="27" t="inlineStr">
        <is>
          <t>SALES</t>
        </is>
      </c>
      <c r="I26" s="31" t="n">
        <v>183818</v>
      </c>
      <c r="J26" s="31" t="n">
        <v>173564</v>
      </c>
      <c r="K26" s="31" t="n">
        <v>182581</v>
      </c>
      <c r="L26" s="31" t="n">
        <v>195510</v>
      </c>
      <c r="M26" s="31" t="n">
        <v>199705</v>
      </c>
      <c r="N26" s="31" t="n">
        <v>224003</v>
      </c>
      <c r="O26" s="31" t="n">
        <v>232467</v>
      </c>
      <c r="P26" s="31" t="n">
        <v>200779</v>
      </c>
      <c r="Q26" s="31" t="n">
        <v>207076</v>
      </c>
      <c r="R26" s="28" t="n">
        <v>202013</v>
      </c>
      <c r="S26" s="28" t="n">
        <v>191912</v>
      </c>
      <c r="T26" s="28" t="n">
        <v>181812</v>
      </c>
      <c r="U26" s="29">
        <f>SUM(I26:T26)</f>
        <v/>
      </c>
    </row>
    <row r="27">
      <c r="A27" s="27" t="inlineStr">
        <is>
          <t>FORECAST_2024F10</t>
        </is>
      </c>
      <c r="B27" s="27" t="inlineStr">
        <is>
          <t>AMUS</t>
        </is>
      </c>
      <c r="C27" s="27" t="inlineStr">
        <is>
          <t>USD</t>
        </is>
      </c>
      <c r="D27" s="27" t="inlineStr">
        <is>
          <t>6020</t>
        </is>
      </c>
      <c r="E27" s="27" t="inlineStr">
        <is>
          <t>Rent Expense</t>
        </is>
      </c>
      <c r="F27" s="27" t="inlineStr">
        <is>
          <t>OpEx</t>
        </is>
      </c>
      <c r="G27" s="27" t="inlineStr">
        <is>
          <t>SALES</t>
        </is>
      </c>
      <c r="H27" s="27" t="inlineStr">
        <is>
          <t>SALES</t>
        </is>
      </c>
      <c r="I27" s="31" t="n">
        <v>28342</v>
      </c>
      <c r="J27" s="31" t="n">
        <v>30261</v>
      </c>
      <c r="K27" s="31" t="n">
        <v>29587</v>
      </c>
      <c r="L27" s="31" t="n">
        <v>32919</v>
      </c>
      <c r="M27" s="31" t="n">
        <v>33711</v>
      </c>
      <c r="N27" s="31" t="n">
        <v>33402</v>
      </c>
      <c r="O27" s="31" t="n">
        <v>39353</v>
      </c>
      <c r="P27" s="31" t="n">
        <v>37544</v>
      </c>
      <c r="Q27" s="31" t="n">
        <v>31930</v>
      </c>
      <c r="R27" s="28" t="n">
        <v>33512</v>
      </c>
      <c r="S27" s="28" t="n">
        <v>31836</v>
      </c>
      <c r="T27" s="28" t="n">
        <v>30161</v>
      </c>
      <c r="U27" s="29">
        <f>SUM(I27:T27)</f>
        <v/>
      </c>
    </row>
    <row r="28">
      <c r="A28" s="27" t="inlineStr">
        <is>
          <t>FORECAST_2024F10</t>
        </is>
      </c>
      <c r="B28" s="27" t="inlineStr">
        <is>
          <t>AMUS</t>
        </is>
      </c>
      <c r="C28" s="27" t="inlineStr">
        <is>
          <t>USD</t>
        </is>
      </c>
      <c r="D28" s="27" t="inlineStr">
        <is>
          <t>6030</t>
        </is>
      </c>
      <c r="E28" s="27" t="inlineStr">
        <is>
          <t>Depreciation Expense</t>
        </is>
      </c>
      <c r="F28" s="27" t="inlineStr">
        <is>
          <t>OpEx</t>
        </is>
      </c>
      <c r="G28" s="27" t="inlineStr">
        <is>
          <t>SALES</t>
        </is>
      </c>
      <c r="H28" s="27" t="inlineStr">
        <is>
          <t>SALES</t>
        </is>
      </c>
      <c r="I28" s="31" t="n">
        <v>20563</v>
      </c>
      <c r="J28" s="31" t="n">
        <v>22956</v>
      </c>
      <c r="K28" s="31" t="n">
        <v>21581</v>
      </c>
      <c r="L28" s="31" t="n">
        <v>23387</v>
      </c>
      <c r="M28" s="31" t="n">
        <v>26539</v>
      </c>
      <c r="N28" s="31" t="n">
        <v>27239</v>
      </c>
      <c r="O28" s="31" t="n">
        <v>28625</v>
      </c>
      <c r="P28" s="31" t="n">
        <v>27804</v>
      </c>
      <c r="Q28" s="31" t="n">
        <v>24896</v>
      </c>
      <c r="R28" s="28" t="n">
        <v>25178</v>
      </c>
      <c r="S28" s="28" t="n">
        <v>23919</v>
      </c>
      <c r="T28" s="28" t="n">
        <v>22660</v>
      </c>
      <c r="U28" s="29">
        <f>SUM(I28:T28)</f>
        <v/>
      </c>
    </row>
    <row r="29">
      <c r="A29" s="27" t="inlineStr">
        <is>
          <t>FORECAST_2024F10</t>
        </is>
      </c>
      <c r="B29" s="27" t="inlineStr">
        <is>
          <t>AMUS</t>
        </is>
      </c>
      <c r="C29" s="27" t="inlineStr">
        <is>
          <t>USD</t>
        </is>
      </c>
      <c r="D29" s="27" t="inlineStr">
        <is>
          <t>6040</t>
        </is>
      </c>
      <c r="E29" s="27" t="inlineStr">
        <is>
          <t>Marketing Expense</t>
        </is>
      </c>
      <c r="F29" s="27" t="inlineStr">
        <is>
          <t>OpEx</t>
        </is>
      </c>
      <c r="G29" s="27" t="inlineStr">
        <is>
          <t>SALES</t>
        </is>
      </c>
      <c r="H29" s="27" t="inlineStr">
        <is>
          <t>SALES</t>
        </is>
      </c>
      <c r="I29" s="31" t="n">
        <v>27742</v>
      </c>
      <c r="J29" s="31" t="n">
        <v>24807</v>
      </c>
      <c r="K29" s="31" t="n">
        <v>17016</v>
      </c>
      <c r="L29" s="31" t="n">
        <v>26739</v>
      </c>
      <c r="M29" s="31" t="n">
        <v>25467</v>
      </c>
      <c r="N29" s="31" t="n">
        <v>20869</v>
      </c>
      <c r="O29" s="31" t="n">
        <v>25666</v>
      </c>
      <c r="P29" s="31" t="n">
        <v>26672</v>
      </c>
      <c r="Q29" s="31" t="n">
        <v>26967</v>
      </c>
      <c r="R29" s="28" t="n">
        <v>25088</v>
      </c>
      <c r="S29" s="28" t="n">
        <v>23833</v>
      </c>
      <c r="T29" s="28" t="n">
        <v>22579</v>
      </c>
      <c r="U29" s="29">
        <f>SUM(I29:T29)</f>
        <v/>
      </c>
    </row>
    <row r="30">
      <c r="A30" s="27" t="inlineStr">
        <is>
          <t>FORECAST_2024F10</t>
        </is>
      </c>
      <c r="B30" s="27" t="inlineStr">
        <is>
          <t>AMUS</t>
        </is>
      </c>
      <c r="C30" s="27" t="inlineStr">
        <is>
          <t>USD</t>
        </is>
      </c>
      <c r="D30" s="27" t="inlineStr">
        <is>
          <t>6050</t>
        </is>
      </c>
      <c r="E30" s="27" t="inlineStr">
        <is>
          <t>Travel Expense</t>
        </is>
      </c>
      <c r="F30" s="27" t="inlineStr">
        <is>
          <t>OpEx</t>
        </is>
      </c>
      <c r="G30" s="27" t="inlineStr">
        <is>
          <t>SALES</t>
        </is>
      </c>
      <c r="H30" s="27" t="inlineStr">
        <is>
          <t>SALES</t>
        </is>
      </c>
      <c r="I30" s="31" t="n">
        <v>11213</v>
      </c>
      <c r="J30" s="31" t="n">
        <v>8522</v>
      </c>
      <c r="K30" s="31" t="n">
        <v>13080</v>
      </c>
      <c r="L30" s="31" t="n">
        <v>15023</v>
      </c>
      <c r="M30" s="31" t="n">
        <v>15204</v>
      </c>
      <c r="N30" s="31" t="n">
        <v>17547</v>
      </c>
      <c r="O30" s="31" t="n">
        <v>12171</v>
      </c>
      <c r="P30" s="31" t="n">
        <v>10906</v>
      </c>
      <c r="Q30" s="31" t="n">
        <v>8634</v>
      </c>
      <c r="R30" s="28" t="n">
        <v>12616</v>
      </c>
      <c r="S30" s="28" t="n">
        <v>11985</v>
      </c>
      <c r="T30" s="28" t="n">
        <v>11354</v>
      </c>
      <c r="U30" s="29">
        <f>SUM(I30:T30)</f>
        <v/>
      </c>
    </row>
    <row r="31">
      <c r="A31" s="27" t="inlineStr">
        <is>
          <t>FORECAST_2024F10</t>
        </is>
      </c>
      <c r="B31" s="27" t="inlineStr">
        <is>
          <t>AMUS</t>
        </is>
      </c>
      <c r="C31" s="27" t="inlineStr">
        <is>
          <t>USD</t>
        </is>
      </c>
      <c r="D31" s="27" t="inlineStr">
        <is>
          <t>6060</t>
        </is>
      </c>
      <c r="E31" s="27" t="inlineStr">
        <is>
          <t>Utilities</t>
        </is>
      </c>
      <c r="F31" s="27" t="inlineStr">
        <is>
          <t>OpEx</t>
        </is>
      </c>
      <c r="G31" s="27" t="inlineStr">
        <is>
          <t>SALES</t>
        </is>
      </c>
      <c r="H31" s="27" t="inlineStr">
        <is>
          <t>SALES</t>
        </is>
      </c>
      <c r="I31" s="31" t="n">
        <v>10236</v>
      </c>
      <c r="J31" s="31" t="n">
        <v>11368</v>
      </c>
      <c r="K31" s="31" t="n">
        <v>11857</v>
      </c>
      <c r="L31" s="31" t="n">
        <v>12034</v>
      </c>
      <c r="M31" s="31" t="n">
        <v>12514</v>
      </c>
      <c r="N31" s="31" t="n">
        <v>13804</v>
      </c>
      <c r="O31" s="31" t="n">
        <v>12915</v>
      </c>
      <c r="P31" s="31" t="n">
        <v>14116</v>
      </c>
      <c r="Q31" s="31" t="n">
        <v>12632</v>
      </c>
      <c r="R31" s="28" t="n">
        <v>12571</v>
      </c>
      <c r="S31" s="28" t="n">
        <v>11943</v>
      </c>
      <c r="T31" s="28" t="n">
        <v>11314</v>
      </c>
      <c r="U31" s="29">
        <f>SUM(I31:T31)</f>
        <v/>
      </c>
    </row>
    <row r="32">
      <c r="E32" s="4" t="inlineStr">
        <is>
          <t>Net Income</t>
        </is>
      </c>
      <c r="I32" s="29">
        <f>SUM(I23:I31)</f>
        <v/>
      </c>
      <c r="J32" s="29">
        <f>SUM(J23:J31)</f>
        <v/>
      </c>
      <c r="K32" s="29">
        <f>SUM(K23:K31)</f>
        <v/>
      </c>
      <c r="L32" s="29">
        <f>SUM(L23:L31)</f>
        <v/>
      </c>
      <c r="M32" s="29">
        <f>SUM(M23:M31)</f>
        <v/>
      </c>
      <c r="N32" s="29">
        <f>SUM(N23:N31)</f>
        <v/>
      </c>
      <c r="O32" s="29">
        <f>SUM(O23:O31)</f>
        <v/>
      </c>
      <c r="P32" s="29">
        <f>SUM(P23:P31)</f>
        <v/>
      </c>
      <c r="Q32" s="29">
        <f>SUM(Q23:Q31)</f>
        <v/>
      </c>
      <c r="R32" s="29">
        <f>SUM(R23:R31)</f>
        <v/>
      </c>
      <c r="S32" s="29">
        <f>SUM(S23:S31)</f>
        <v/>
      </c>
      <c r="T32" s="29">
        <f>SUM(T23:T31)</f>
        <v/>
      </c>
      <c r="U32" s="29">
        <f>SUM(U23:U31)</f>
        <v/>
      </c>
    </row>
    <row r="34">
      <c r="A34" s="24" t="inlineStr">
        <is>
          <t>AMDE</t>
        </is>
      </c>
      <c r="B34" s="24" t="inlineStr">
        <is>
          <t>Alpine Manufacturing DE</t>
        </is>
      </c>
      <c r="C34" s="24" t="inlineStr">
        <is>
          <t>EUR</t>
        </is>
      </c>
      <c r="D34" s="24" t="n"/>
      <c r="E34" s="25" t="n"/>
      <c r="F34" s="25" t="n"/>
      <c r="G34" s="25" t="n"/>
      <c r="H34" s="25" t="n"/>
      <c r="I34" s="25" t="n"/>
      <c r="J34" s="25" t="n"/>
      <c r="K34" s="25" t="n"/>
      <c r="L34" s="25" t="n"/>
      <c r="M34" s="25" t="n"/>
      <c r="N34" s="25" t="n"/>
      <c r="O34" s="25" t="n"/>
      <c r="P34" s="25" t="n"/>
      <c r="Q34" s="25" t="n"/>
      <c r="R34" s="25" t="n"/>
      <c r="S34" s="25" t="n"/>
      <c r="T34" s="26" t="n"/>
      <c r="U34" s="24" t="n"/>
    </row>
    <row r="35">
      <c r="A35" s="27" t="inlineStr">
        <is>
          <t>FORECAST_2024F10</t>
        </is>
      </c>
      <c r="B35" s="27" t="inlineStr">
        <is>
          <t>AMDE</t>
        </is>
      </c>
      <c r="C35" s="27" t="inlineStr">
        <is>
          <t>EUR</t>
        </is>
      </c>
      <c r="D35" s="27" t="inlineStr">
        <is>
          <t>4010</t>
        </is>
      </c>
      <c r="E35" s="27" t="inlineStr">
        <is>
          <t>Product Revenue</t>
        </is>
      </c>
      <c r="F35" s="27" t="inlineStr">
        <is>
          <t>Revenue</t>
        </is>
      </c>
      <c r="G35" s="27" t="inlineStr">
        <is>
          <t>PROD</t>
        </is>
      </c>
      <c r="H35" s="27" t="inlineStr">
        <is>
          <t>OPS</t>
        </is>
      </c>
      <c r="I35" s="31" t="n">
        <v>-511151</v>
      </c>
      <c r="J35" s="31" t="n">
        <v>-549877</v>
      </c>
      <c r="K35" s="31" t="n">
        <v>-534033</v>
      </c>
      <c r="L35" s="31" t="n">
        <v>-582459</v>
      </c>
      <c r="M35" s="31" t="n">
        <v>-621007</v>
      </c>
      <c r="N35" s="31" t="n">
        <v>-641940</v>
      </c>
      <c r="O35" s="31" t="n">
        <v>-721648</v>
      </c>
      <c r="P35" s="31" t="n">
        <v>-656428</v>
      </c>
      <c r="Q35" s="31" t="n">
        <v>-623161</v>
      </c>
      <c r="R35" s="28" t="n">
        <v>-621360</v>
      </c>
      <c r="S35" s="28" t="n">
        <v>-590292</v>
      </c>
      <c r="T35" s="28" t="n">
        <v>-559224</v>
      </c>
      <c r="U35" s="29">
        <f>SUM(I35:T35)</f>
        <v/>
      </c>
    </row>
    <row r="36">
      <c r="A36" s="27" t="inlineStr">
        <is>
          <t>FORECAST_2024F10</t>
        </is>
      </c>
      <c r="B36" s="27" t="inlineStr">
        <is>
          <t>AMDE</t>
        </is>
      </c>
      <c r="C36" s="27" t="inlineStr">
        <is>
          <t>EUR</t>
        </is>
      </c>
      <c r="D36" s="27" t="inlineStr">
        <is>
          <t>4020</t>
        </is>
      </c>
      <c r="E36" s="27" t="inlineStr">
        <is>
          <t>Service Revenue</t>
        </is>
      </c>
      <c r="F36" s="27" t="inlineStr">
        <is>
          <t>Revenue</t>
        </is>
      </c>
      <c r="G36" s="27" t="inlineStr">
        <is>
          <t>PROD</t>
        </is>
      </c>
      <c r="H36" s="27" t="inlineStr">
        <is>
          <t>OPS</t>
        </is>
      </c>
      <c r="I36" s="31" t="n">
        <v>-64527</v>
      </c>
      <c r="J36" s="31" t="n">
        <v>-69138</v>
      </c>
      <c r="K36" s="31" t="n">
        <v>-70706</v>
      </c>
      <c r="L36" s="31" t="n">
        <v>-81408</v>
      </c>
      <c r="M36" s="31" t="n">
        <v>-69672</v>
      </c>
      <c r="N36" s="31" t="n">
        <v>-70236</v>
      </c>
      <c r="O36" s="31" t="n">
        <v>-89789</v>
      </c>
      <c r="P36" s="31" t="n">
        <v>-74748</v>
      </c>
      <c r="Q36" s="31" t="n">
        <v>-77617</v>
      </c>
      <c r="R36" s="28" t="n">
        <v>-75374</v>
      </c>
      <c r="S36" s="28" t="n">
        <v>-71605</v>
      </c>
      <c r="T36" s="28" t="n">
        <v>-67836</v>
      </c>
      <c r="U36" s="29">
        <f>SUM(I36:T36)</f>
        <v/>
      </c>
    </row>
    <row r="37">
      <c r="A37" s="27" t="inlineStr">
        <is>
          <t>FORECAST_2024F10</t>
        </is>
      </c>
      <c r="B37" s="27" t="inlineStr">
        <is>
          <t>AMDE</t>
        </is>
      </c>
      <c r="C37" s="27" t="inlineStr">
        <is>
          <t>EUR</t>
        </is>
      </c>
      <c r="D37" s="27" t="inlineStr">
        <is>
          <t>5010</t>
        </is>
      </c>
      <c r="E37" s="27" t="inlineStr">
        <is>
          <t>Cost of Goods Sold</t>
        </is>
      </c>
      <c r="F37" s="27" t="inlineStr">
        <is>
          <t>COGS</t>
        </is>
      </c>
      <c r="G37" s="27" t="inlineStr">
        <is>
          <t>PROD</t>
        </is>
      </c>
      <c r="H37" s="27" t="inlineStr">
        <is>
          <t>OPS</t>
        </is>
      </c>
      <c r="I37" s="31" t="n">
        <v>205802</v>
      </c>
      <c r="J37" s="31" t="n">
        <v>227084</v>
      </c>
      <c r="K37" s="31" t="n">
        <v>249487</v>
      </c>
      <c r="L37" s="31" t="n">
        <v>237596</v>
      </c>
      <c r="M37" s="31" t="n">
        <v>284168</v>
      </c>
      <c r="N37" s="31" t="n">
        <v>279456</v>
      </c>
      <c r="O37" s="31" t="n">
        <v>283562</v>
      </c>
      <c r="P37" s="31" t="n">
        <v>266453</v>
      </c>
      <c r="Q37" s="31" t="n">
        <v>248272</v>
      </c>
      <c r="R37" s="28" t="n">
        <v>254292</v>
      </c>
      <c r="S37" s="28" t="n">
        <v>241578</v>
      </c>
      <c r="T37" s="28" t="n">
        <v>228863</v>
      </c>
      <c r="U37" s="29">
        <f>SUM(I37:T37)</f>
        <v/>
      </c>
    </row>
    <row r="38">
      <c r="A38" s="27" t="inlineStr">
        <is>
          <t>FORECAST_2024F10</t>
        </is>
      </c>
      <c r="B38" s="27" t="inlineStr">
        <is>
          <t>AMDE</t>
        </is>
      </c>
      <c r="C38" s="27" t="inlineStr">
        <is>
          <t>EUR</t>
        </is>
      </c>
      <c r="D38" s="27" t="inlineStr">
        <is>
          <t>6010</t>
        </is>
      </c>
      <c r="E38" s="27" t="inlineStr">
        <is>
          <t>Salaries and Wages</t>
        </is>
      </c>
      <c r="F38" s="27" t="inlineStr">
        <is>
          <t>OpEx</t>
        </is>
      </c>
      <c r="G38" s="27" t="inlineStr">
        <is>
          <t>PROD</t>
        </is>
      </c>
      <c r="H38" s="27" t="inlineStr">
        <is>
          <t>OPS</t>
        </is>
      </c>
      <c r="I38" s="31" t="n">
        <v>123251</v>
      </c>
      <c r="J38" s="31" t="n">
        <v>137258</v>
      </c>
      <c r="K38" s="31" t="n">
        <v>131997</v>
      </c>
      <c r="L38" s="31" t="n">
        <v>149905</v>
      </c>
      <c r="M38" s="31" t="n">
        <v>155805</v>
      </c>
      <c r="N38" s="31" t="n">
        <v>151442</v>
      </c>
      <c r="O38" s="31" t="n">
        <v>166060</v>
      </c>
      <c r="P38" s="31" t="n">
        <v>165158</v>
      </c>
      <c r="Q38" s="31" t="n">
        <v>161790</v>
      </c>
      <c r="R38" s="28" t="n">
        <v>151129</v>
      </c>
      <c r="S38" s="28" t="n">
        <v>143573</v>
      </c>
      <c r="T38" s="28" t="n">
        <v>136016</v>
      </c>
      <c r="U38" s="29">
        <f>SUM(I38:T38)</f>
        <v/>
      </c>
    </row>
    <row r="39">
      <c r="A39" s="27" t="inlineStr">
        <is>
          <t>FORECAST_2024F10</t>
        </is>
      </c>
      <c r="B39" s="27" t="inlineStr">
        <is>
          <t>AMDE</t>
        </is>
      </c>
      <c r="C39" s="27" t="inlineStr">
        <is>
          <t>EUR</t>
        </is>
      </c>
      <c r="D39" s="27" t="inlineStr">
        <is>
          <t>6020</t>
        </is>
      </c>
      <c r="E39" s="27" t="inlineStr">
        <is>
          <t>Rent Expense</t>
        </is>
      </c>
      <c r="F39" s="27" t="inlineStr">
        <is>
          <t>OpEx</t>
        </is>
      </c>
      <c r="G39" s="27" t="inlineStr">
        <is>
          <t>PROD</t>
        </is>
      </c>
      <c r="H39" s="27" t="inlineStr">
        <is>
          <t>OPS</t>
        </is>
      </c>
      <c r="I39" s="31" t="n">
        <v>21365</v>
      </c>
      <c r="J39" s="31" t="n">
        <v>20990</v>
      </c>
      <c r="K39" s="31" t="n">
        <v>24141</v>
      </c>
      <c r="L39" s="31" t="n">
        <v>22484</v>
      </c>
      <c r="M39" s="31" t="n">
        <v>24907</v>
      </c>
      <c r="N39" s="31" t="n">
        <v>25210</v>
      </c>
      <c r="O39" s="31" t="n">
        <v>28264</v>
      </c>
      <c r="P39" s="31" t="n">
        <v>26810</v>
      </c>
      <c r="Q39" s="31" t="n">
        <v>25875</v>
      </c>
      <c r="R39" s="28" t="n">
        <v>24984</v>
      </c>
      <c r="S39" s="28" t="n">
        <v>23735</v>
      </c>
      <c r="T39" s="28" t="n">
        <v>22485</v>
      </c>
      <c r="U39" s="29">
        <f>SUM(I39:T39)</f>
        <v/>
      </c>
    </row>
    <row r="40">
      <c r="A40" s="27" t="inlineStr">
        <is>
          <t>FORECAST_2024F10</t>
        </is>
      </c>
      <c r="B40" s="27" t="inlineStr">
        <is>
          <t>AMDE</t>
        </is>
      </c>
      <c r="C40" s="27" t="inlineStr">
        <is>
          <t>EUR</t>
        </is>
      </c>
      <c r="D40" s="27" t="inlineStr">
        <is>
          <t>6030</t>
        </is>
      </c>
      <c r="E40" s="27" t="inlineStr">
        <is>
          <t>Depreciation Expense</t>
        </is>
      </c>
      <c r="F40" s="27" t="inlineStr">
        <is>
          <t>OpEx</t>
        </is>
      </c>
      <c r="G40" s="27" t="inlineStr">
        <is>
          <t>PROD</t>
        </is>
      </c>
      <c r="H40" s="27" t="inlineStr">
        <is>
          <t>OPS</t>
        </is>
      </c>
      <c r="I40" s="31" t="n">
        <v>15204</v>
      </c>
      <c r="J40" s="31" t="n">
        <v>16379</v>
      </c>
      <c r="K40" s="31" t="n">
        <v>18132</v>
      </c>
      <c r="L40" s="31" t="n">
        <v>16974</v>
      </c>
      <c r="M40" s="31" t="n">
        <v>18368</v>
      </c>
      <c r="N40" s="31" t="n">
        <v>19435</v>
      </c>
      <c r="O40" s="31" t="n">
        <v>20349</v>
      </c>
      <c r="P40" s="31" t="n">
        <v>18601</v>
      </c>
      <c r="Q40" s="31" t="n">
        <v>18707</v>
      </c>
      <c r="R40" s="28" t="n">
        <v>18580</v>
      </c>
      <c r="S40" s="28" t="n">
        <v>17651</v>
      </c>
      <c r="T40" s="28" t="n">
        <v>16722</v>
      </c>
      <c r="U40" s="29">
        <f>SUM(I40:T40)</f>
        <v/>
      </c>
    </row>
    <row r="41">
      <c r="A41" s="27" t="inlineStr">
        <is>
          <t>FORECAST_2024F10</t>
        </is>
      </c>
      <c r="B41" s="27" t="inlineStr">
        <is>
          <t>AMDE</t>
        </is>
      </c>
      <c r="C41" s="27" t="inlineStr">
        <is>
          <t>EUR</t>
        </is>
      </c>
      <c r="D41" s="27" t="inlineStr">
        <is>
          <t>6040</t>
        </is>
      </c>
      <c r="E41" s="27" t="inlineStr">
        <is>
          <t>Marketing Expense</t>
        </is>
      </c>
      <c r="F41" s="27" t="inlineStr">
        <is>
          <t>OpEx</t>
        </is>
      </c>
      <c r="G41" s="27" t="inlineStr">
        <is>
          <t>PROD</t>
        </is>
      </c>
      <c r="H41" s="27" t="inlineStr">
        <is>
          <t>OPS</t>
        </is>
      </c>
      <c r="I41" s="31" t="n">
        <v>13353</v>
      </c>
      <c r="J41" s="31" t="n">
        <v>16528</v>
      </c>
      <c r="K41" s="31" t="n">
        <v>18881</v>
      </c>
      <c r="L41" s="31" t="n">
        <v>19621</v>
      </c>
      <c r="M41" s="31" t="n">
        <v>25490</v>
      </c>
      <c r="N41" s="31" t="n">
        <v>22239</v>
      </c>
      <c r="O41" s="31" t="n">
        <v>29075</v>
      </c>
      <c r="P41" s="31" t="n">
        <v>20604</v>
      </c>
      <c r="Q41" s="31" t="n">
        <v>18726</v>
      </c>
      <c r="R41" s="28" t="n">
        <v>19802</v>
      </c>
      <c r="S41" s="28" t="n">
        <v>18812</v>
      </c>
      <c r="T41" s="28" t="n">
        <v>17822</v>
      </c>
      <c r="U41" s="29">
        <f>SUM(I41:T41)</f>
        <v/>
      </c>
    </row>
    <row r="42">
      <c r="A42" s="27" t="inlineStr">
        <is>
          <t>FORECAST_2024F10</t>
        </is>
      </c>
      <c r="B42" s="27" t="inlineStr">
        <is>
          <t>AMDE</t>
        </is>
      </c>
      <c r="C42" s="27" t="inlineStr">
        <is>
          <t>EUR</t>
        </is>
      </c>
      <c r="D42" s="27" t="inlineStr">
        <is>
          <t>6050</t>
        </is>
      </c>
      <c r="E42" s="27" t="inlineStr">
        <is>
          <t>Travel Expense</t>
        </is>
      </c>
      <c r="F42" s="27" t="inlineStr">
        <is>
          <t>OpEx</t>
        </is>
      </c>
      <c r="G42" s="27" t="inlineStr">
        <is>
          <t>PROD</t>
        </is>
      </c>
      <c r="H42" s="27" t="inlineStr">
        <is>
          <t>OPS</t>
        </is>
      </c>
      <c r="I42" s="31" t="n">
        <v>6011</v>
      </c>
      <c r="J42" s="31" t="n">
        <v>9367</v>
      </c>
      <c r="K42" s="31" t="n">
        <v>6092</v>
      </c>
      <c r="L42" s="31" t="n">
        <v>9102</v>
      </c>
      <c r="M42" s="31" t="n">
        <v>11020</v>
      </c>
      <c r="N42" s="31" t="n">
        <v>13746</v>
      </c>
      <c r="O42" s="31" t="n">
        <v>9092</v>
      </c>
      <c r="P42" s="31" t="n">
        <v>10898</v>
      </c>
      <c r="Q42" s="31" t="n">
        <v>7049</v>
      </c>
      <c r="R42" s="28" t="n">
        <v>9361</v>
      </c>
      <c r="S42" s="28" t="n">
        <v>8893</v>
      </c>
      <c r="T42" s="28" t="n">
        <v>8425</v>
      </c>
      <c r="U42" s="29">
        <f>SUM(I42:T42)</f>
        <v/>
      </c>
    </row>
    <row r="43">
      <c r="A43" s="27" t="inlineStr">
        <is>
          <t>FORECAST_2024F10</t>
        </is>
      </c>
      <c r="B43" s="27" t="inlineStr">
        <is>
          <t>AMDE</t>
        </is>
      </c>
      <c r="C43" s="27" t="inlineStr">
        <is>
          <t>EUR</t>
        </is>
      </c>
      <c r="D43" s="27" t="inlineStr">
        <is>
          <t>6060</t>
        </is>
      </c>
      <c r="E43" s="27" t="inlineStr">
        <is>
          <t>Utilities</t>
        </is>
      </c>
      <c r="F43" s="27" t="inlineStr">
        <is>
          <t>OpEx</t>
        </is>
      </c>
      <c r="G43" s="27" t="inlineStr">
        <is>
          <t>PROD</t>
        </is>
      </c>
      <c r="H43" s="27" t="inlineStr">
        <is>
          <t>OPS</t>
        </is>
      </c>
      <c r="I43" s="31" t="n">
        <v>7849</v>
      </c>
      <c r="J43" s="31" t="n">
        <v>7920</v>
      </c>
      <c r="K43" s="31" t="n">
        <v>8818</v>
      </c>
      <c r="L43" s="31" t="n">
        <v>9146</v>
      </c>
      <c r="M43" s="31" t="n">
        <v>8827</v>
      </c>
      <c r="N43" s="31" t="n">
        <v>9450</v>
      </c>
      <c r="O43" s="31" t="n">
        <v>10104</v>
      </c>
      <c r="P43" s="31" t="n">
        <v>9675</v>
      </c>
      <c r="Q43" s="31" t="n">
        <v>9678</v>
      </c>
      <c r="R43" s="28" t="n">
        <v>9311</v>
      </c>
      <c r="S43" s="28" t="n">
        <v>8846</v>
      </c>
      <c r="T43" s="28" t="n">
        <v>8380</v>
      </c>
      <c r="U43" s="29">
        <f>SUM(I43:T43)</f>
        <v/>
      </c>
    </row>
    <row r="44">
      <c r="E44" s="4" t="inlineStr">
        <is>
          <t>Net Income</t>
        </is>
      </c>
      <c r="I44" s="29">
        <f>SUM(I35:I43)</f>
        <v/>
      </c>
      <c r="J44" s="29">
        <f>SUM(J35:J43)</f>
        <v/>
      </c>
      <c r="K44" s="29">
        <f>SUM(K35:K43)</f>
        <v/>
      </c>
      <c r="L44" s="29">
        <f>SUM(L35:L43)</f>
        <v/>
      </c>
      <c r="M44" s="29">
        <f>SUM(M35:M43)</f>
        <v/>
      </c>
      <c r="N44" s="29">
        <f>SUM(N35:N43)</f>
        <v/>
      </c>
      <c r="O44" s="29">
        <f>SUM(O35:O43)</f>
        <v/>
      </c>
      <c r="P44" s="29">
        <f>SUM(P35:P43)</f>
        <v/>
      </c>
      <c r="Q44" s="29">
        <f>SUM(Q35:Q43)</f>
        <v/>
      </c>
      <c r="R44" s="29">
        <f>SUM(R35:R43)</f>
        <v/>
      </c>
      <c r="S44" s="29">
        <f>SUM(S35:S43)</f>
        <v/>
      </c>
      <c r="T44" s="29">
        <f>SUM(T35:T43)</f>
        <v/>
      </c>
      <c r="U44" s="29">
        <f>SUM(U35:U43)</f>
        <v/>
      </c>
    </row>
  </sheetData>
  <mergeCells count="3">
    <mergeCell ref="D34:T34"/>
    <mergeCell ref="D22:T22"/>
    <mergeCell ref="D10:T10"/>
  </mergeCell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U44"/>
  <sheetViews>
    <sheetView workbookViewId="0">
      <pane xSplit="8" ySplit="9" topLeftCell="I10"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0" customWidth="1" min="3" max="3"/>
    <col width="10" customWidth="1" min="4" max="4"/>
    <col width="22" customWidth="1" min="5" max="5"/>
    <col width="12" customWidth="1" min="6" max="6"/>
    <col width="14" customWidth="1" min="7" max="7"/>
    <col width="14"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4" customWidth="1" min="21" max="21"/>
  </cols>
  <sheetData>
    <row r="1">
      <c r="A1" s="20" t="inlineStr">
        <is>
          <t>Scenario:</t>
        </is>
      </c>
      <c r="B1" s="21" t="inlineStr">
        <is>
          <t>Forecast 2024 - Nov</t>
        </is>
      </c>
    </row>
    <row r="2">
      <c r="A2" s="20" t="inlineStr">
        <is>
          <t>Scenario ID:</t>
        </is>
      </c>
      <c r="B2" s="21" t="inlineStr">
        <is>
          <t>FORECAST_2024F11</t>
        </is>
      </c>
    </row>
    <row r="3">
      <c r="A3" s="20" t="inlineStr">
        <is>
          <t>Type:</t>
        </is>
      </c>
      <c r="B3" s="21" t="inlineStr">
        <is>
          <t>forecast</t>
        </is>
      </c>
    </row>
    <row r="4">
      <c r="A4" s="20" t="inlineStr">
        <is>
          <t>Fiscal Year:</t>
        </is>
      </c>
      <c r="B4" s="21" t="n">
        <v>2024</v>
      </c>
    </row>
    <row r="5">
      <c r="A5" s="20" t="inlineStr">
        <is>
          <t>Layer:</t>
        </is>
      </c>
      <c r="B5" s="21" t="inlineStr">
        <is>
          <t>base</t>
        </is>
      </c>
    </row>
    <row r="6">
      <c r="A6" s="20" t="inlineStr">
        <is>
          <t>Actual months:</t>
        </is>
      </c>
      <c r="B6" s="30" t="inlineStr">
        <is>
          <t>1-10 (yellow = actuals, white = editable forecast)</t>
        </is>
      </c>
    </row>
    <row r="7">
      <c r="A7" s="20" t="inlineStr">
        <is>
          <t>Usage:</t>
        </is>
      </c>
      <c r="B7" s="22" t="inlineStr">
        <is>
          <t>Edit white cells, then press Ctrl+Shift+R or F9 to save to server</t>
        </is>
      </c>
    </row>
    <row r="9">
      <c r="A9" s="23" t="inlineStr">
        <is>
          <t>Scenario ID</t>
        </is>
      </c>
      <c r="B9" s="23" t="inlineStr">
        <is>
          <t>Entity</t>
        </is>
      </c>
      <c r="C9" s="23" t="inlineStr">
        <is>
          <t>Currency</t>
        </is>
      </c>
      <c r="D9" s="23" t="inlineStr">
        <is>
          <t>Account</t>
        </is>
      </c>
      <c r="E9" s="23" t="inlineStr">
        <is>
          <t>Account Name</t>
        </is>
      </c>
      <c r="F9" s="23" t="inlineStr">
        <is>
          <t>Category</t>
        </is>
      </c>
      <c r="G9" s="23" t="inlineStr">
        <is>
          <t>Cost Center</t>
        </is>
      </c>
      <c r="H9" s="23" t="inlineStr">
        <is>
          <t>Department</t>
        </is>
      </c>
      <c r="I9" s="23" t="inlineStr">
        <is>
          <t>Jan</t>
        </is>
      </c>
      <c r="J9" s="23" t="inlineStr">
        <is>
          <t>Feb</t>
        </is>
      </c>
      <c r="K9" s="23" t="inlineStr">
        <is>
          <t>Mar</t>
        </is>
      </c>
      <c r="L9" s="23" t="inlineStr">
        <is>
          <t>Apr</t>
        </is>
      </c>
      <c r="M9" s="23" t="inlineStr">
        <is>
          <t>May</t>
        </is>
      </c>
      <c r="N9" s="23" t="inlineStr">
        <is>
          <t>Jun</t>
        </is>
      </c>
      <c r="O9" s="23" t="inlineStr">
        <is>
          <t>Jul</t>
        </is>
      </c>
      <c r="P9" s="23" t="inlineStr">
        <is>
          <t>Aug</t>
        </is>
      </c>
      <c r="Q9" s="23" t="inlineStr">
        <is>
          <t>Sep</t>
        </is>
      </c>
      <c r="R9" s="23" t="inlineStr">
        <is>
          <t>Oct</t>
        </is>
      </c>
      <c r="S9" s="23" t="inlineStr">
        <is>
          <t>Nov</t>
        </is>
      </c>
      <c r="T9" s="23" t="inlineStr">
        <is>
          <t>Dec</t>
        </is>
      </c>
      <c r="U9" s="23" t="inlineStr">
        <is>
          <t>Annual Total</t>
        </is>
      </c>
    </row>
    <row r="10">
      <c r="A10" s="24" t="inlineStr">
        <is>
          <t>AMHQ</t>
        </is>
      </c>
      <c r="B10" s="24" t="inlineStr">
        <is>
          <t>Alpine Manufacturing HQ</t>
        </is>
      </c>
      <c r="C10" s="24" t="inlineStr">
        <is>
          <t>CHF</t>
        </is>
      </c>
      <c r="D10" s="24" t="n"/>
      <c r="E10" s="25" t="n"/>
      <c r="F10" s="25" t="n"/>
      <c r="G10" s="25" t="n"/>
      <c r="H10" s="25" t="n"/>
      <c r="I10" s="25" t="n"/>
      <c r="J10" s="25" t="n"/>
      <c r="K10" s="25" t="n"/>
      <c r="L10" s="25" t="n"/>
      <c r="M10" s="25" t="n"/>
      <c r="N10" s="25" t="n"/>
      <c r="O10" s="25" t="n"/>
      <c r="P10" s="25" t="n"/>
      <c r="Q10" s="25" t="n"/>
      <c r="R10" s="25" t="n"/>
      <c r="S10" s="25" t="n"/>
      <c r="T10" s="26" t="n"/>
      <c r="U10" s="24" t="n"/>
    </row>
    <row r="11">
      <c r="A11" s="27" t="inlineStr">
        <is>
          <t>FORECAST_2024F11</t>
        </is>
      </c>
      <c r="B11" s="27" t="inlineStr">
        <is>
          <t>AMHQ</t>
        </is>
      </c>
      <c r="C11" s="27" t="inlineStr">
        <is>
          <t>CHF</t>
        </is>
      </c>
      <c r="D11" s="27" t="inlineStr">
        <is>
          <t>4010</t>
        </is>
      </c>
      <c r="E11" s="27" t="inlineStr">
        <is>
          <t>Product Revenue</t>
        </is>
      </c>
      <c r="F11" s="27" t="inlineStr">
        <is>
          <t>Revenue</t>
        </is>
      </c>
      <c r="G11" s="27" t="inlineStr">
        <is>
          <t>HQ</t>
        </is>
      </c>
      <c r="H11" s="27" t="inlineStr">
        <is>
          <t>MGMT</t>
        </is>
      </c>
      <c r="I11" s="31" t="n">
        <v>-423898</v>
      </c>
      <c r="J11" s="31" t="n">
        <v>-458013</v>
      </c>
      <c r="K11" s="31" t="n">
        <v>-501071</v>
      </c>
      <c r="L11" s="31" t="n">
        <v>-502587</v>
      </c>
      <c r="M11" s="31" t="n">
        <v>-512880</v>
      </c>
      <c r="N11" s="31" t="n">
        <v>-571867</v>
      </c>
      <c r="O11" s="31" t="n">
        <v>-568073</v>
      </c>
      <c r="P11" s="31" t="n">
        <v>-568679</v>
      </c>
      <c r="Q11" s="31" t="n">
        <v>-549630</v>
      </c>
      <c r="R11" s="31" t="n">
        <v>-485954</v>
      </c>
      <c r="S11" s="28" t="n">
        <v>-497165</v>
      </c>
      <c r="T11" s="28" t="n">
        <v>-470999</v>
      </c>
      <c r="U11" s="29">
        <f>SUM(I11:T11)</f>
        <v/>
      </c>
    </row>
    <row r="12">
      <c r="A12" s="27" t="inlineStr">
        <is>
          <t>FORECAST_2024F11</t>
        </is>
      </c>
      <c r="B12" s="27" t="inlineStr">
        <is>
          <t>AMHQ</t>
        </is>
      </c>
      <c r="C12" s="27" t="inlineStr">
        <is>
          <t>CHF</t>
        </is>
      </c>
      <c r="D12" s="27" t="inlineStr">
        <is>
          <t>4020</t>
        </is>
      </c>
      <c r="E12" s="27" t="inlineStr">
        <is>
          <t>Service Revenue</t>
        </is>
      </c>
      <c r="F12" s="27" t="inlineStr">
        <is>
          <t>Revenue</t>
        </is>
      </c>
      <c r="G12" s="27" t="inlineStr">
        <is>
          <t>HQ</t>
        </is>
      </c>
      <c r="H12" s="27" t="inlineStr">
        <is>
          <t>MGMT</t>
        </is>
      </c>
      <c r="I12" s="31" t="n">
        <v>-46271</v>
      </c>
      <c r="J12" s="31" t="n">
        <v>-60933</v>
      </c>
      <c r="K12" s="31" t="n">
        <v>-57163</v>
      </c>
      <c r="L12" s="31" t="n">
        <v>-59265</v>
      </c>
      <c r="M12" s="31" t="n">
        <v>-68354</v>
      </c>
      <c r="N12" s="31" t="n">
        <v>-74835</v>
      </c>
      <c r="O12" s="31" t="n">
        <v>-67120</v>
      </c>
      <c r="P12" s="31" t="n">
        <v>-75007</v>
      </c>
      <c r="Q12" s="31" t="n">
        <v>-69680</v>
      </c>
      <c r="R12" s="31" t="n">
        <v>-49317</v>
      </c>
      <c r="S12" s="28" t="n">
        <v>-60166</v>
      </c>
      <c r="T12" s="28" t="n">
        <v>-56999</v>
      </c>
      <c r="U12" s="29">
        <f>SUM(I12:T12)</f>
        <v/>
      </c>
    </row>
    <row r="13">
      <c r="A13" s="27" t="inlineStr">
        <is>
          <t>FORECAST_2024F11</t>
        </is>
      </c>
      <c r="B13" s="27" t="inlineStr">
        <is>
          <t>AMHQ</t>
        </is>
      </c>
      <c r="C13" s="27" t="inlineStr">
        <is>
          <t>CHF</t>
        </is>
      </c>
      <c r="D13" s="27" t="inlineStr">
        <is>
          <t>5010</t>
        </is>
      </c>
      <c r="E13" s="27" t="inlineStr">
        <is>
          <t>Cost of Goods Sold</t>
        </is>
      </c>
      <c r="F13" s="27" t="inlineStr">
        <is>
          <t>COGS</t>
        </is>
      </c>
      <c r="G13" s="27" t="inlineStr">
        <is>
          <t>HQ</t>
        </is>
      </c>
      <c r="H13" s="27" t="inlineStr">
        <is>
          <t>MGMT</t>
        </is>
      </c>
      <c r="I13" s="31" t="n">
        <v>177550</v>
      </c>
      <c r="J13" s="31" t="n">
        <v>169213</v>
      </c>
      <c r="K13" s="31" t="n">
        <v>210751</v>
      </c>
      <c r="L13" s="31" t="n">
        <v>215078</v>
      </c>
      <c r="M13" s="31" t="n">
        <v>200423</v>
      </c>
      <c r="N13" s="31" t="n">
        <v>215278</v>
      </c>
      <c r="O13" s="31" t="n">
        <v>258226</v>
      </c>
      <c r="P13" s="31" t="n">
        <v>235368</v>
      </c>
      <c r="Q13" s="31" t="n">
        <v>215627</v>
      </c>
      <c r="R13" s="31" t="n">
        <v>227978</v>
      </c>
      <c r="S13" s="28" t="n">
        <v>202068</v>
      </c>
      <c r="T13" s="28" t="n">
        <v>191433</v>
      </c>
      <c r="U13" s="29">
        <f>SUM(I13:T13)</f>
        <v/>
      </c>
    </row>
    <row r="14">
      <c r="A14" s="27" t="inlineStr">
        <is>
          <t>FORECAST_2024F11</t>
        </is>
      </c>
      <c r="B14" s="27" t="inlineStr">
        <is>
          <t>AMHQ</t>
        </is>
      </c>
      <c r="C14" s="27" t="inlineStr">
        <is>
          <t>CHF</t>
        </is>
      </c>
      <c r="D14" s="27" t="inlineStr">
        <is>
          <t>6010</t>
        </is>
      </c>
      <c r="E14" s="27" t="inlineStr">
        <is>
          <t>Salaries and Wages</t>
        </is>
      </c>
      <c r="F14" s="27" t="inlineStr">
        <is>
          <t>OpEx</t>
        </is>
      </c>
      <c r="G14" s="27" t="inlineStr">
        <is>
          <t>HQ</t>
        </is>
      </c>
      <c r="H14" s="27" t="inlineStr">
        <is>
          <t>MGMT</t>
        </is>
      </c>
      <c r="I14" s="31" t="n">
        <v>107533</v>
      </c>
      <c r="J14" s="31" t="n">
        <v>108027</v>
      </c>
      <c r="K14" s="31" t="n">
        <v>120801</v>
      </c>
      <c r="L14" s="31" t="n">
        <v>114950</v>
      </c>
      <c r="M14" s="31" t="n">
        <v>120755</v>
      </c>
      <c r="N14" s="31" t="n">
        <v>134586</v>
      </c>
      <c r="O14" s="31" t="n">
        <v>139128</v>
      </c>
      <c r="P14" s="31" t="n">
        <v>139029</v>
      </c>
      <c r="Q14" s="31" t="n">
        <v>119722</v>
      </c>
      <c r="R14" s="31" t="n">
        <v>118537</v>
      </c>
      <c r="S14" s="28" t="n">
        <v>118797</v>
      </c>
      <c r="T14" s="28" t="n">
        <v>112544</v>
      </c>
      <c r="U14" s="29">
        <f>SUM(I14:T14)</f>
        <v/>
      </c>
    </row>
    <row r="15">
      <c r="A15" s="27" t="inlineStr">
        <is>
          <t>FORECAST_2024F11</t>
        </is>
      </c>
      <c r="B15" s="27" t="inlineStr">
        <is>
          <t>AMHQ</t>
        </is>
      </c>
      <c r="C15" s="27" t="inlineStr">
        <is>
          <t>CHF</t>
        </is>
      </c>
      <c r="D15" s="27" t="inlineStr">
        <is>
          <t>6020</t>
        </is>
      </c>
      <c r="E15" s="27" t="inlineStr">
        <is>
          <t>Rent Expense</t>
        </is>
      </c>
      <c r="F15" s="27" t="inlineStr">
        <is>
          <t>OpEx</t>
        </is>
      </c>
      <c r="G15" s="27" t="inlineStr">
        <is>
          <t>HQ</t>
        </is>
      </c>
      <c r="H15" s="27" t="inlineStr">
        <is>
          <t>MGMT</t>
        </is>
      </c>
      <c r="I15" s="31" t="n">
        <v>17292</v>
      </c>
      <c r="J15" s="31" t="n">
        <v>18035</v>
      </c>
      <c r="K15" s="31" t="n">
        <v>18219</v>
      </c>
      <c r="L15" s="31" t="n">
        <v>19580</v>
      </c>
      <c r="M15" s="31" t="n">
        <v>20466</v>
      </c>
      <c r="N15" s="31" t="n">
        <v>20895</v>
      </c>
      <c r="O15" s="31" t="n">
        <v>23658</v>
      </c>
      <c r="P15" s="31" t="n">
        <v>21332</v>
      </c>
      <c r="Q15" s="31" t="n">
        <v>20249</v>
      </c>
      <c r="R15" s="31" t="n">
        <v>18799</v>
      </c>
      <c r="S15" s="28" t="n">
        <v>19550</v>
      </c>
      <c r="T15" s="28" t="n">
        <v>18521</v>
      </c>
      <c r="U15" s="29">
        <f>SUM(I15:T15)</f>
        <v/>
      </c>
    </row>
    <row r="16">
      <c r="A16" s="27" t="inlineStr">
        <is>
          <t>FORECAST_2024F11</t>
        </is>
      </c>
      <c r="B16" s="27" t="inlineStr">
        <is>
          <t>AMHQ</t>
        </is>
      </c>
      <c r="C16" s="27" t="inlineStr">
        <is>
          <t>CHF</t>
        </is>
      </c>
      <c r="D16" s="27" t="inlineStr">
        <is>
          <t>6030</t>
        </is>
      </c>
      <c r="E16" s="27" t="inlineStr">
        <is>
          <t>Depreciation Expense</t>
        </is>
      </c>
      <c r="F16" s="27" t="inlineStr">
        <is>
          <t>OpEx</t>
        </is>
      </c>
      <c r="G16" s="27" t="inlineStr">
        <is>
          <t>HQ</t>
        </is>
      </c>
      <c r="H16" s="27" t="inlineStr">
        <is>
          <t>MGMT</t>
        </is>
      </c>
      <c r="I16" s="31" t="n">
        <v>12649</v>
      </c>
      <c r="J16" s="31" t="n">
        <v>12800</v>
      </c>
      <c r="K16" s="31" t="n">
        <v>14191</v>
      </c>
      <c r="L16" s="31" t="n">
        <v>15368</v>
      </c>
      <c r="M16" s="31" t="n">
        <v>14881</v>
      </c>
      <c r="N16" s="31" t="n">
        <v>15469</v>
      </c>
      <c r="O16" s="31" t="n">
        <v>17072</v>
      </c>
      <c r="P16" s="31" t="n">
        <v>15758</v>
      </c>
      <c r="Q16" s="31" t="n">
        <v>15961</v>
      </c>
      <c r="R16" s="31" t="n">
        <v>15194</v>
      </c>
      <c r="S16" s="28" t="n">
        <v>14683</v>
      </c>
      <c r="T16" s="28" t="n">
        <v>13911</v>
      </c>
      <c r="U16" s="29">
        <f>SUM(I16:T16)</f>
        <v/>
      </c>
    </row>
    <row r="17">
      <c r="A17" s="27" t="inlineStr">
        <is>
          <t>FORECAST_2024F11</t>
        </is>
      </c>
      <c r="B17" s="27" t="inlineStr">
        <is>
          <t>AMHQ</t>
        </is>
      </c>
      <c r="C17" s="27" t="inlineStr">
        <is>
          <t>CHF</t>
        </is>
      </c>
      <c r="D17" s="27" t="inlineStr">
        <is>
          <t>6040</t>
        </is>
      </c>
      <c r="E17" s="27" t="inlineStr">
        <is>
          <t>Marketing Expense</t>
        </is>
      </c>
      <c r="F17" s="27" t="inlineStr">
        <is>
          <t>OpEx</t>
        </is>
      </c>
      <c r="G17" s="27" t="inlineStr">
        <is>
          <t>HQ</t>
        </is>
      </c>
      <c r="H17" s="27" t="inlineStr">
        <is>
          <t>MGMT</t>
        </is>
      </c>
      <c r="I17" s="31" t="n">
        <v>11337</v>
      </c>
      <c r="J17" s="31" t="n">
        <v>16101</v>
      </c>
      <c r="K17" s="31" t="n">
        <v>14916</v>
      </c>
      <c r="L17" s="31" t="n">
        <v>18721</v>
      </c>
      <c r="M17" s="31" t="n">
        <v>11826</v>
      </c>
      <c r="N17" s="31" t="n">
        <v>22041</v>
      </c>
      <c r="O17" s="31" t="n">
        <v>16664</v>
      </c>
      <c r="P17" s="31" t="n">
        <v>19298</v>
      </c>
      <c r="Q17" s="31" t="n">
        <v>12870</v>
      </c>
      <c r="R17" s="31" t="n">
        <v>17891</v>
      </c>
      <c r="S17" s="28" t="n">
        <v>15260</v>
      </c>
      <c r="T17" s="28" t="n">
        <v>14457</v>
      </c>
      <c r="U17" s="29">
        <f>SUM(I17:T17)</f>
        <v/>
      </c>
    </row>
    <row r="18">
      <c r="A18" s="27" t="inlineStr">
        <is>
          <t>FORECAST_2024F11</t>
        </is>
      </c>
      <c r="B18" s="27" t="inlineStr">
        <is>
          <t>AMHQ</t>
        </is>
      </c>
      <c r="C18" s="27" t="inlineStr">
        <is>
          <t>CHF</t>
        </is>
      </c>
      <c r="D18" s="27" t="inlineStr">
        <is>
          <t>6050</t>
        </is>
      </c>
      <c r="E18" s="27" t="inlineStr">
        <is>
          <t>Travel Expense</t>
        </is>
      </c>
      <c r="F18" s="27" t="inlineStr">
        <is>
          <t>OpEx</t>
        </is>
      </c>
      <c r="G18" s="27" t="inlineStr">
        <is>
          <t>HQ</t>
        </is>
      </c>
      <c r="H18" s="27" t="inlineStr">
        <is>
          <t>MGMT</t>
        </is>
      </c>
      <c r="I18" s="31" t="n">
        <v>7778</v>
      </c>
      <c r="J18" s="31" t="n">
        <v>6889</v>
      </c>
      <c r="K18" s="31" t="n">
        <v>6546</v>
      </c>
      <c r="L18" s="31" t="n">
        <v>7154</v>
      </c>
      <c r="M18" s="31" t="n">
        <v>8853</v>
      </c>
      <c r="N18" s="31" t="n">
        <v>6291</v>
      </c>
      <c r="O18" s="31" t="n">
        <v>9869</v>
      </c>
      <c r="P18" s="31" t="n">
        <v>7595</v>
      </c>
      <c r="Q18" s="31" t="n">
        <v>9607</v>
      </c>
      <c r="R18" s="31" t="n">
        <v>7036</v>
      </c>
      <c r="S18" s="28" t="n">
        <v>7479</v>
      </c>
      <c r="T18" s="28" t="n">
        <v>7086</v>
      </c>
      <c r="U18" s="29">
        <f>SUM(I18:T18)</f>
        <v/>
      </c>
    </row>
    <row r="19">
      <c r="A19" s="27" t="inlineStr">
        <is>
          <t>FORECAST_2024F11</t>
        </is>
      </c>
      <c r="B19" s="27" t="inlineStr">
        <is>
          <t>AMHQ</t>
        </is>
      </c>
      <c r="C19" s="27" t="inlineStr">
        <is>
          <t>CHF</t>
        </is>
      </c>
      <c r="D19" s="27" t="inlineStr">
        <is>
          <t>6060</t>
        </is>
      </c>
      <c r="E19" s="27" t="inlineStr">
        <is>
          <t>Utilities</t>
        </is>
      </c>
      <c r="F19" s="27" t="inlineStr">
        <is>
          <t>OpEx</t>
        </is>
      </c>
      <c r="G19" s="27" t="inlineStr">
        <is>
          <t>HQ</t>
        </is>
      </c>
      <c r="H19" s="27" t="inlineStr">
        <is>
          <t>MGMT</t>
        </is>
      </c>
      <c r="I19" s="31" t="n">
        <v>6271</v>
      </c>
      <c r="J19" s="31" t="n">
        <v>6599</v>
      </c>
      <c r="K19" s="31" t="n">
        <v>7438</v>
      </c>
      <c r="L19" s="31" t="n">
        <v>7595</v>
      </c>
      <c r="M19" s="31" t="n">
        <v>8188</v>
      </c>
      <c r="N19" s="31" t="n">
        <v>8175</v>
      </c>
      <c r="O19" s="31" t="n">
        <v>8971</v>
      </c>
      <c r="P19" s="31" t="n">
        <v>8301</v>
      </c>
      <c r="Q19" s="31" t="n">
        <v>7584</v>
      </c>
      <c r="R19" s="31" t="n">
        <v>7670</v>
      </c>
      <c r="S19" s="28" t="n">
        <v>7441</v>
      </c>
      <c r="T19" s="28" t="n">
        <v>7049</v>
      </c>
      <c r="U19" s="29">
        <f>SUM(I19:T19)</f>
        <v/>
      </c>
    </row>
    <row r="20">
      <c r="E20" s="4" t="inlineStr">
        <is>
          <t>Net Income</t>
        </is>
      </c>
      <c r="I20" s="29">
        <f>SUM(I11:I19)</f>
        <v/>
      </c>
      <c r="J20" s="29">
        <f>SUM(J11:J19)</f>
        <v/>
      </c>
      <c r="K20" s="29">
        <f>SUM(K11:K19)</f>
        <v/>
      </c>
      <c r="L20" s="29">
        <f>SUM(L11:L19)</f>
        <v/>
      </c>
      <c r="M20" s="29">
        <f>SUM(M11:M19)</f>
        <v/>
      </c>
      <c r="N20" s="29">
        <f>SUM(N11:N19)</f>
        <v/>
      </c>
      <c r="O20" s="29">
        <f>SUM(O11:O19)</f>
        <v/>
      </c>
      <c r="P20" s="29">
        <f>SUM(P11:P19)</f>
        <v/>
      </c>
      <c r="Q20" s="29">
        <f>SUM(Q11:Q19)</f>
        <v/>
      </c>
      <c r="R20" s="29">
        <f>SUM(R11:R19)</f>
        <v/>
      </c>
      <c r="S20" s="29">
        <f>SUM(S11:S19)</f>
        <v/>
      </c>
      <c r="T20" s="29">
        <f>SUM(T11:T19)</f>
        <v/>
      </c>
      <c r="U20" s="29">
        <f>SUM(U11:U19)</f>
        <v/>
      </c>
    </row>
    <row r="22">
      <c r="A22" s="24" t="inlineStr">
        <is>
          <t>AMUS</t>
        </is>
      </c>
      <c r="B22" s="24" t="inlineStr">
        <is>
          <t>Alpine Manufacturing US</t>
        </is>
      </c>
      <c r="C22" s="24" t="inlineStr">
        <is>
          <t>USD</t>
        </is>
      </c>
      <c r="D22" s="24" t="n"/>
      <c r="E22" s="25" t="n"/>
      <c r="F22" s="25" t="n"/>
      <c r="G22" s="25" t="n"/>
      <c r="H22" s="25" t="n"/>
      <c r="I22" s="25" t="n"/>
      <c r="J22" s="25" t="n"/>
      <c r="K22" s="25" t="n"/>
      <c r="L22" s="25" t="n"/>
      <c r="M22" s="25" t="n"/>
      <c r="N22" s="25" t="n"/>
      <c r="O22" s="25" t="n"/>
      <c r="P22" s="25" t="n"/>
      <c r="Q22" s="25" t="n"/>
      <c r="R22" s="25" t="n"/>
      <c r="S22" s="25" t="n"/>
      <c r="T22" s="26" t="n"/>
      <c r="U22" s="24" t="n"/>
    </row>
    <row r="23">
      <c r="A23" s="27" t="inlineStr">
        <is>
          <t>FORECAST_2024F11</t>
        </is>
      </c>
      <c r="B23" s="27" t="inlineStr">
        <is>
          <t>AMUS</t>
        </is>
      </c>
      <c r="C23" s="27" t="inlineStr">
        <is>
          <t>USD</t>
        </is>
      </c>
      <c r="D23" s="27" t="inlineStr">
        <is>
          <t>4010</t>
        </is>
      </c>
      <c r="E23" s="27" t="inlineStr">
        <is>
          <t>Product Revenue</t>
        </is>
      </c>
      <c r="F23" s="27" t="inlineStr">
        <is>
          <t>Revenue</t>
        </is>
      </c>
      <c r="G23" s="27" t="inlineStr">
        <is>
          <t>SALES</t>
        </is>
      </c>
      <c r="H23" s="27" t="inlineStr">
        <is>
          <t>SALES</t>
        </is>
      </c>
      <c r="I23" s="31" t="n">
        <v>-687062</v>
      </c>
      <c r="J23" s="31" t="n">
        <v>-718652</v>
      </c>
      <c r="K23" s="31" t="n">
        <v>-769806</v>
      </c>
      <c r="L23" s="31" t="n">
        <v>-795845</v>
      </c>
      <c r="M23" s="31" t="n">
        <v>-846478</v>
      </c>
      <c r="N23" s="31" t="n">
        <v>-919673</v>
      </c>
      <c r="O23" s="31" t="n">
        <v>-878291</v>
      </c>
      <c r="P23" s="31" t="n">
        <v>-936164</v>
      </c>
      <c r="Q23" s="31" t="n">
        <v>-789385</v>
      </c>
      <c r="R23" s="31" t="n">
        <v>-756179</v>
      </c>
      <c r="S23" s="28" t="n">
        <v>-789348</v>
      </c>
      <c r="T23" s="28" t="n">
        <v>-747804</v>
      </c>
      <c r="U23" s="29">
        <f>SUM(I23:T23)</f>
        <v/>
      </c>
    </row>
    <row r="24">
      <c r="A24" s="27" t="inlineStr">
        <is>
          <t>FORECAST_2024F11</t>
        </is>
      </c>
      <c r="B24" s="27" t="inlineStr">
        <is>
          <t>AMUS</t>
        </is>
      </c>
      <c r="C24" s="27" t="inlineStr">
        <is>
          <t>USD</t>
        </is>
      </c>
      <c r="D24" s="27" t="inlineStr">
        <is>
          <t>4020</t>
        </is>
      </c>
      <c r="E24" s="27" t="inlineStr">
        <is>
          <t>Service Revenue</t>
        </is>
      </c>
      <c r="F24" s="27" t="inlineStr">
        <is>
          <t>Revenue</t>
        </is>
      </c>
      <c r="G24" s="27" t="inlineStr">
        <is>
          <t>SALES</t>
        </is>
      </c>
      <c r="H24" s="27" t="inlineStr">
        <is>
          <t>SALES</t>
        </is>
      </c>
      <c r="I24" s="31" t="n">
        <v>-80064</v>
      </c>
      <c r="J24" s="31" t="n">
        <v>-76280</v>
      </c>
      <c r="K24" s="31" t="n">
        <v>-107543</v>
      </c>
      <c r="L24" s="31" t="n">
        <v>-106021</v>
      </c>
      <c r="M24" s="31" t="n">
        <v>-82707</v>
      </c>
      <c r="N24" s="31" t="n">
        <v>-101460</v>
      </c>
      <c r="O24" s="31" t="n">
        <v>-111523</v>
      </c>
      <c r="P24" s="31" t="n">
        <v>-107217</v>
      </c>
      <c r="Q24" s="31" t="n">
        <v>-100512</v>
      </c>
      <c r="R24" s="31" t="n">
        <v>-94937</v>
      </c>
      <c r="S24" s="28" t="n">
        <v>-94560</v>
      </c>
      <c r="T24" s="28" t="n">
        <v>-89584</v>
      </c>
      <c r="U24" s="29">
        <f>SUM(I24:T24)</f>
        <v/>
      </c>
    </row>
    <row r="25">
      <c r="A25" s="27" t="inlineStr">
        <is>
          <t>FORECAST_2024F11</t>
        </is>
      </c>
      <c r="B25" s="27" t="inlineStr">
        <is>
          <t>AMUS</t>
        </is>
      </c>
      <c r="C25" s="27" t="inlineStr">
        <is>
          <t>USD</t>
        </is>
      </c>
      <c r="D25" s="27" t="inlineStr">
        <is>
          <t>5010</t>
        </is>
      </c>
      <c r="E25" s="27" t="inlineStr">
        <is>
          <t>Cost of Goods Sold</t>
        </is>
      </c>
      <c r="F25" s="27" t="inlineStr">
        <is>
          <t>COGS</t>
        </is>
      </c>
      <c r="G25" s="27" t="inlineStr">
        <is>
          <t>SALES</t>
        </is>
      </c>
      <c r="H25" s="27" t="inlineStr">
        <is>
          <t>SALES</t>
        </is>
      </c>
      <c r="I25" s="31" t="n">
        <v>243854</v>
      </c>
      <c r="J25" s="31" t="n">
        <v>310882</v>
      </c>
      <c r="K25" s="31" t="n">
        <v>286456</v>
      </c>
      <c r="L25" s="31" t="n">
        <v>324297</v>
      </c>
      <c r="M25" s="31" t="n">
        <v>332461</v>
      </c>
      <c r="N25" s="31" t="n">
        <v>369235</v>
      </c>
      <c r="O25" s="31" t="n">
        <v>417482</v>
      </c>
      <c r="P25" s="31" t="n">
        <v>357707</v>
      </c>
      <c r="Q25" s="31" t="n">
        <v>330270</v>
      </c>
      <c r="R25" s="31" t="n">
        <v>317025</v>
      </c>
      <c r="S25" s="28" t="n">
        <v>318110</v>
      </c>
      <c r="T25" s="28" t="n">
        <v>301367</v>
      </c>
      <c r="U25" s="29">
        <f>SUM(I25:T25)</f>
        <v/>
      </c>
    </row>
    <row r="26">
      <c r="A26" s="27" t="inlineStr">
        <is>
          <t>FORECAST_2024F11</t>
        </is>
      </c>
      <c r="B26" s="27" t="inlineStr">
        <is>
          <t>AMUS</t>
        </is>
      </c>
      <c r="C26" s="27" t="inlineStr">
        <is>
          <t>USD</t>
        </is>
      </c>
      <c r="D26" s="27" t="inlineStr">
        <is>
          <t>6010</t>
        </is>
      </c>
      <c r="E26" s="27" t="inlineStr">
        <is>
          <t>Salaries and Wages</t>
        </is>
      </c>
      <c r="F26" s="27" t="inlineStr">
        <is>
          <t>OpEx</t>
        </is>
      </c>
      <c r="G26" s="27" t="inlineStr">
        <is>
          <t>SALES</t>
        </is>
      </c>
      <c r="H26" s="27" t="inlineStr">
        <is>
          <t>SALES</t>
        </is>
      </c>
      <c r="I26" s="31" t="n">
        <v>172427</v>
      </c>
      <c r="J26" s="31" t="n">
        <v>176972</v>
      </c>
      <c r="K26" s="31" t="n">
        <v>203315</v>
      </c>
      <c r="L26" s="31" t="n">
        <v>176212</v>
      </c>
      <c r="M26" s="31" t="n">
        <v>197046</v>
      </c>
      <c r="N26" s="31" t="n">
        <v>213531</v>
      </c>
      <c r="O26" s="31" t="n">
        <v>228619</v>
      </c>
      <c r="P26" s="31" t="n">
        <v>217627</v>
      </c>
      <c r="Q26" s="31" t="n">
        <v>211769</v>
      </c>
      <c r="R26" s="31" t="n">
        <v>197056</v>
      </c>
      <c r="S26" s="28" t="n">
        <v>191838</v>
      </c>
      <c r="T26" s="28" t="n">
        <v>181741</v>
      </c>
      <c r="U26" s="29">
        <f>SUM(I26:T26)</f>
        <v/>
      </c>
    </row>
    <row r="27">
      <c r="A27" s="27" t="inlineStr">
        <is>
          <t>FORECAST_2024F11</t>
        </is>
      </c>
      <c r="B27" s="27" t="inlineStr">
        <is>
          <t>AMUS</t>
        </is>
      </c>
      <c r="C27" s="27" t="inlineStr">
        <is>
          <t>USD</t>
        </is>
      </c>
      <c r="D27" s="27" t="inlineStr">
        <is>
          <t>6020</t>
        </is>
      </c>
      <c r="E27" s="27" t="inlineStr">
        <is>
          <t>Rent Expense</t>
        </is>
      </c>
      <c r="F27" s="27" t="inlineStr">
        <is>
          <t>OpEx</t>
        </is>
      </c>
      <c r="G27" s="27" t="inlineStr">
        <is>
          <t>SALES</t>
        </is>
      </c>
      <c r="H27" s="27" t="inlineStr">
        <is>
          <t>SALES</t>
        </is>
      </c>
      <c r="I27" s="31" t="n">
        <v>26649</v>
      </c>
      <c r="J27" s="31" t="n">
        <v>27533</v>
      </c>
      <c r="K27" s="31" t="n">
        <v>30845</v>
      </c>
      <c r="L27" s="31" t="n">
        <v>32349</v>
      </c>
      <c r="M27" s="31" t="n">
        <v>35231</v>
      </c>
      <c r="N27" s="31" t="n">
        <v>33902</v>
      </c>
      <c r="O27" s="31" t="n">
        <v>36808</v>
      </c>
      <c r="P27" s="31" t="n">
        <v>34760</v>
      </c>
      <c r="Q27" s="31" t="n">
        <v>33817</v>
      </c>
      <c r="R27" s="31" t="n">
        <v>31404</v>
      </c>
      <c r="S27" s="28" t="n">
        <v>31545</v>
      </c>
      <c r="T27" s="28" t="n">
        <v>29885</v>
      </c>
      <c r="U27" s="29">
        <f>SUM(I27:T27)</f>
        <v/>
      </c>
    </row>
    <row r="28">
      <c r="A28" s="27" t="inlineStr">
        <is>
          <t>FORECAST_2024F11</t>
        </is>
      </c>
      <c r="B28" s="27" t="inlineStr">
        <is>
          <t>AMUS</t>
        </is>
      </c>
      <c r="C28" s="27" t="inlineStr">
        <is>
          <t>USD</t>
        </is>
      </c>
      <c r="D28" s="27" t="inlineStr">
        <is>
          <t>6030</t>
        </is>
      </c>
      <c r="E28" s="27" t="inlineStr">
        <is>
          <t>Depreciation Expense</t>
        </is>
      </c>
      <c r="F28" s="27" t="inlineStr">
        <is>
          <t>OpEx</t>
        </is>
      </c>
      <c r="G28" s="27" t="inlineStr">
        <is>
          <t>SALES</t>
        </is>
      </c>
      <c r="H28" s="27" t="inlineStr">
        <is>
          <t>SALES</t>
        </is>
      </c>
      <c r="I28" s="31" t="n">
        <v>20985</v>
      </c>
      <c r="J28" s="31" t="n">
        <v>20430</v>
      </c>
      <c r="K28" s="31" t="n">
        <v>22741</v>
      </c>
      <c r="L28" s="31" t="n">
        <v>24640</v>
      </c>
      <c r="M28" s="31" t="n">
        <v>23937</v>
      </c>
      <c r="N28" s="31" t="n">
        <v>27254</v>
      </c>
      <c r="O28" s="31" t="n">
        <v>29468</v>
      </c>
      <c r="P28" s="31" t="n">
        <v>28187</v>
      </c>
      <c r="Q28" s="31" t="n">
        <v>26183</v>
      </c>
      <c r="R28" s="31" t="n">
        <v>23882</v>
      </c>
      <c r="S28" s="28" t="n">
        <v>23904</v>
      </c>
      <c r="T28" s="28" t="n">
        <v>22646</v>
      </c>
      <c r="U28" s="29">
        <f>SUM(I28:T28)</f>
        <v/>
      </c>
    </row>
    <row r="29">
      <c r="A29" s="27" t="inlineStr">
        <is>
          <t>FORECAST_2024F11</t>
        </is>
      </c>
      <c r="B29" s="27" t="inlineStr">
        <is>
          <t>AMUS</t>
        </is>
      </c>
      <c r="C29" s="27" t="inlineStr">
        <is>
          <t>USD</t>
        </is>
      </c>
      <c r="D29" s="27" t="inlineStr">
        <is>
          <t>6040</t>
        </is>
      </c>
      <c r="E29" s="27" t="inlineStr">
        <is>
          <t>Marketing Expense</t>
        </is>
      </c>
      <c r="F29" s="27" t="inlineStr">
        <is>
          <t>OpEx</t>
        </is>
      </c>
      <c r="G29" s="27" t="inlineStr">
        <is>
          <t>SALES</t>
        </is>
      </c>
      <c r="H29" s="27" t="inlineStr">
        <is>
          <t>SALES</t>
        </is>
      </c>
      <c r="I29" s="31" t="n">
        <v>18871</v>
      </c>
      <c r="J29" s="31" t="n">
        <v>29185</v>
      </c>
      <c r="K29" s="31" t="n">
        <v>23365</v>
      </c>
      <c r="L29" s="31" t="n">
        <v>21876</v>
      </c>
      <c r="M29" s="31" t="n">
        <v>21158</v>
      </c>
      <c r="N29" s="31" t="n">
        <v>26860</v>
      </c>
      <c r="O29" s="31" t="n">
        <v>27081</v>
      </c>
      <c r="P29" s="31" t="n">
        <v>25828</v>
      </c>
      <c r="Q29" s="31" t="n">
        <v>32158</v>
      </c>
      <c r="R29" s="31" t="n">
        <v>16076</v>
      </c>
      <c r="S29" s="28" t="n">
        <v>23658</v>
      </c>
      <c r="T29" s="28" t="n">
        <v>22413</v>
      </c>
      <c r="U29" s="29">
        <f>SUM(I29:T29)</f>
        <v/>
      </c>
    </row>
    <row r="30">
      <c r="A30" s="27" t="inlineStr">
        <is>
          <t>FORECAST_2024F11</t>
        </is>
      </c>
      <c r="B30" s="27" t="inlineStr">
        <is>
          <t>AMUS</t>
        </is>
      </c>
      <c r="C30" s="27" t="inlineStr">
        <is>
          <t>USD</t>
        </is>
      </c>
      <c r="D30" s="27" t="inlineStr">
        <is>
          <t>6050</t>
        </is>
      </c>
      <c r="E30" s="27" t="inlineStr">
        <is>
          <t>Travel Expense</t>
        </is>
      </c>
      <c r="F30" s="27" t="inlineStr">
        <is>
          <t>OpEx</t>
        </is>
      </c>
      <c r="G30" s="27" t="inlineStr">
        <is>
          <t>SALES</t>
        </is>
      </c>
      <c r="H30" s="27" t="inlineStr">
        <is>
          <t>SALES</t>
        </is>
      </c>
      <c r="I30" s="31" t="n">
        <v>9402</v>
      </c>
      <c r="J30" s="31" t="n">
        <v>7220</v>
      </c>
      <c r="K30" s="31" t="n">
        <v>14691</v>
      </c>
      <c r="L30" s="31" t="n">
        <v>10473</v>
      </c>
      <c r="M30" s="31" t="n">
        <v>11907</v>
      </c>
      <c r="N30" s="31" t="n">
        <v>11798</v>
      </c>
      <c r="O30" s="31" t="n">
        <v>11178</v>
      </c>
      <c r="P30" s="31" t="n">
        <v>9372</v>
      </c>
      <c r="Q30" s="31" t="n">
        <v>9330</v>
      </c>
      <c r="R30" s="31" t="n">
        <v>9327</v>
      </c>
      <c r="S30" s="28" t="n">
        <v>11055</v>
      </c>
      <c r="T30" s="28" t="n">
        <v>10473</v>
      </c>
      <c r="U30" s="29">
        <f>SUM(I30:T30)</f>
        <v/>
      </c>
    </row>
    <row r="31">
      <c r="A31" s="27" t="inlineStr">
        <is>
          <t>FORECAST_2024F11</t>
        </is>
      </c>
      <c r="B31" s="27" t="inlineStr">
        <is>
          <t>AMUS</t>
        </is>
      </c>
      <c r="C31" s="27" t="inlineStr">
        <is>
          <t>USD</t>
        </is>
      </c>
      <c r="D31" s="27" t="inlineStr">
        <is>
          <t>6060</t>
        </is>
      </c>
      <c r="E31" s="27" t="inlineStr">
        <is>
          <t>Utilities</t>
        </is>
      </c>
      <c r="F31" s="27" t="inlineStr">
        <is>
          <t>OpEx</t>
        </is>
      </c>
      <c r="G31" s="27" t="inlineStr">
        <is>
          <t>SALES</t>
        </is>
      </c>
      <c r="H31" s="27" t="inlineStr">
        <is>
          <t>SALES</t>
        </is>
      </c>
      <c r="I31" s="31" t="n">
        <v>10178</v>
      </c>
      <c r="J31" s="31" t="n">
        <v>11252</v>
      </c>
      <c r="K31" s="31" t="n">
        <v>11977</v>
      </c>
      <c r="L31" s="31" t="n">
        <v>11735</v>
      </c>
      <c r="M31" s="31" t="n">
        <v>11866</v>
      </c>
      <c r="N31" s="31" t="n">
        <v>12544</v>
      </c>
      <c r="O31" s="31" t="n">
        <v>14638</v>
      </c>
      <c r="P31" s="31" t="n">
        <v>12560</v>
      </c>
      <c r="Q31" s="31" t="n">
        <v>12592</v>
      </c>
      <c r="R31" s="31" t="n">
        <v>12829</v>
      </c>
      <c r="S31" s="28" t="n">
        <v>11873</v>
      </c>
      <c r="T31" s="28" t="n">
        <v>11248</v>
      </c>
      <c r="U31" s="29">
        <f>SUM(I31:T31)</f>
        <v/>
      </c>
    </row>
    <row r="32">
      <c r="E32" s="4" t="inlineStr">
        <is>
          <t>Net Income</t>
        </is>
      </c>
      <c r="I32" s="29">
        <f>SUM(I23:I31)</f>
        <v/>
      </c>
      <c r="J32" s="29">
        <f>SUM(J23:J31)</f>
        <v/>
      </c>
      <c r="K32" s="29">
        <f>SUM(K23:K31)</f>
        <v/>
      </c>
      <c r="L32" s="29">
        <f>SUM(L23:L31)</f>
        <v/>
      </c>
      <c r="M32" s="29">
        <f>SUM(M23:M31)</f>
        <v/>
      </c>
      <c r="N32" s="29">
        <f>SUM(N23:N31)</f>
        <v/>
      </c>
      <c r="O32" s="29">
        <f>SUM(O23:O31)</f>
        <v/>
      </c>
      <c r="P32" s="29">
        <f>SUM(P23:P31)</f>
        <v/>
      </c>
      <c r="Q32" s="29">
        <f>SUM(Q23:Q31)</f>
        <v/>
      </c>
      <c r="R32" s="29">
        <f>SUM(R23:R31)</f>
        <v/>
      </c>
      <c r="S32" s="29">
        <f>SUM(S23:S31)</f>
        <v/>
      </c>
      <c r="T32" s="29">
        <f>SUM(T23:T31)</f>
        <v/>
      </c>
      <c r="U32" s="29">
        <f>SUM(U23:U31)</f>
        <v/>
      </c>
    </row>
    <row r="34">
      <c r="A34" s="24" t="inlineStr">
        <is>
          <t>AMDE</t>
        </is>
      </c>
      <c r="B34" s="24" t="inlineStr">
        <is>
          <t>Alpine Manufacturing DE</t>
        </is>
      </c>
      <c r="C34" s="24" t="inlineStr">
        <is>
          <t>EUR</t>
        </is>
      </c>
      <c r="D34" s="24" t="n"/>
      <c r="E34" s="25" t="n"/>
      <c r="F34" s="25" t="n"/>
      <c r="G34" s="25" t="n"/>
      <c r="H34" s="25" t="n"/>
      <c r="I34" s="25" t="n"/>
      <c r="J34" s="25" t="n"/>
      <c r="K34" s="25" t="n"/>
      <c r="L34" s="25" t="n"/>
      <c r="M34" s="25" t="n"/>
      <c r="N34" s="25" t="n"/>
      <c r="O34" s="25" t="n"/>
      <c r="P34" s="25" t="n"/>
      <c r="Q34" s="25" t="n"/>
      <c r="R34" s="25" t="n"/>
      <c r="S34" s="25" t="n"/>
      <c r="T34" s="26" t="n"/>
      <c r="U34" s="24" t="n"/>
    </row>
    <row r="35">
      <c r="A35" s="27" t="inlineStr">
        <is>
          <t>FORECAST_2024F11</t>
        </is>
      </c>
      <c r="B35" s="27" t="inlineStr">
        <is>
          <t>AMDE</t>
        </is>
      </c>
      <c r="C35" s="27" t="inlineStr">
        <is>
          <t>EUR</t>
        </is>
      </c>
      <c r="D35" s="27" t="inlineStr">
        <is>
          <t>4010</t>
        </is>
      </c>
      <c r="E35" s="27" t="inlineStr">
        <is>
          <t>Product Revenue</t>
        </is>
      </c>
      <c r="F35" s="27" t="inlineStr">
        <is>
          <t>Revenue</t>
        </is>
      </c>
      <c r="G35" s="27" t="inlineStr">
        <is>
          <t>PROD</t>
        </is>
      </c>
      <c r="H35" s="27" t="inlineStr">
        <is>
          <t>OPS</t>
        </is>
      </c>
      <c r="I35" s="31" t="n">
        <v>-505729</v>
      </c>
      <c r="J35" s="31" t="n">
        <v>-550400</v>
      </c>
      <c r="K35" s="31" t="n">
        <v>-546926</v>
      </c>
      <c r="L35" s="31" t="n">
        <v>-619686</v>
      </c>
      <c r="M35" s="31" t="n">
        <v>-616335</v>
      </c>
      <c r="N35" s="31" t="n">
        <v>-673144</v>
      </c>
      <c r="O35" s="31" t="n">
        <v>-714679</v>
      </c>
      <c r="P35" s="31" t="n">
        <v>-624517</v>
      </c>
      <c r="Q35" s="31" t="n">
        <v>-600682</v>
      </c>
      <c r="R35" s="31" t="n">
        <v>-591494</v>
      </c>
      <c r="S35" s="28" t="n">
        <v>-590628</v>
      </c>
      <c r="T35" s="28" t="n">
        <v>-559542</v>
      </c>
      <c r="U35" s="29">
        <f>SUM(I35:T35)</f>
        <v/>
      </c>
    </row>
    <row r="36">
      <c r="A36" s="27" t="inlineStr">
        <is>
          <t>FORECAST_2024F11</t>
        </is>
      </c>
      <c r="B36" s="27" t="inlineStr">
        <is>
          <t>AMDE</t>
        </is>
      </c>
      <c r="C36" s="27" t="inlineStr">
        <is>
          <t>EUR</t>
        </is>
      </c>
      <c r="D36" s="27" t="inlineStr">
        <is>
          <t>4020</t>
        </is>
      </c>
      <c r="E36" s="27" t="inlineStr">
        <is>
          <t>Service Revenue</t>
        </is>
      </c>
      <c r="F36" s="27" t="inlineStr">
        <is>
          <t>Revenue</t>
        </is>
      </c>
      <c r="G36" s="27" t="inlineStr">
        <is>
          <t>PROD</t>
        </is>
      </c>
      <c r="H36" s="27" t="inlineStr">
        <is>
          <t>OPS</t>
        </is>
      </c>
      <c r="I36" s="31" t="n">
        <v>-64049</v>
      </c>
      <c r="J36" s="31" t="n">
        <v>-68075</v>
      </c>
      <c r="K36" s="31" t="n">
        <v>-60094</v>
      </c>
      <c r="L36" s="31" t="n">
        <v>-63409</v>
      </c>
      <c r="M36" s="31" t="n">
        <v>-78754</v>
      </c>
      <c r="N36" s="31" t="n">
        <v>-93674</v>
      </c>
      <c r="O36" s="31" t="n">
        <v>-71927</v>
      </c>
      <c r="P36" s="31" t="n">
        <v>-87671</v>
      </c>
      <c r="Q36" s="31" t="n">
        <v>-78599</v>
      </c>
      <c r="R36" s="31" t="n">
        <v>-85317</v>
      </c>
      <c r="S36" s="28" t="n">
        <v>-72107</v>
      </c>
      <c r="T36" s="28" t="n">
        <v>-68312</v>
      </c>
      <c r="U36" s="29">
        <f>SUM(I36:T36)</f>
        <v/>
      </c>
    </row>
    <row r="37">
      <c r="A37" s="27" t="inlineStr">
        <is>
          <t>FORECAST_2024F11</t>
        </is>
      </c>
      <c r="B37" s="27" t="inlineStr">
        <is>
          <t>AMDE</t>
        </is>
      </c>
      <c r="C37" s="27" t="inlineStr">
        <is>
          <t>EUR</t>
        </is>
      </c>
      <c r="D37" s="27" t="inlineStr">
        <is>
          <t>5010</t>
        </is>
      </c>
      <c r="E37" s="27" t="inlineStr">
        <is>
          <t>Cost of Goods Sold</t>
        </is>
      </c>
      <c r="F37" s="27" t="inlineStr">
        <is>
          <t>COGS</t>
        </is>
      </c>
      <c r="G37" s="27" t="inlineStr">
        <is>
          <t>PROD</t>
        </is>
      </c>
      <c r="H37" s="27" t="inlineStr">
        <is>
          <t>OPS</t>
        </is>
      </c>
      <c r="I37" s="31" t="n">
        <v>214144</v>
      </c>
      <c r="J37" s="31" t="n">
        <v>236977</v>
      </c>
      <c r="K37" s="31" t="n">
        <v>226039</v>
      </c>
      <c r="L37" s="31" t="n">
        <v>247094</v>
      </c>
      <c r="M37" s="31" t="n">
        <v>248443</v>
      </c>
      <c r="N37" s="31" t="n">
        <v>290598</v>
      </c>
      <c r="O37" s="31" t="n">
        <v>248053</v>
      </c>
      <c r="P37" s="31" t="n">
        <v>253572</v>
      </c>
      <c r="Q37" s="31" t="n">
        <v>240283</v>
      </c>
      <c r="R37" s="31" t="n">
        <v>219019</v>
      </c>
      <c r="S37" s="28" t="n">
        <v>236568</v>
      </c>
      <c r="T37" s="28" t="n">
        <v>224117</v>
      </c>
      <c r="U37" s="29">
        <f>SUM(I37:T37)</f>
        <v/>
      </c>
    </row>
    <row r="38">
      <c r="A38" s="27" t="inlineStr">
        <is>
          <t>FORECAST_2024F11</t>
        </is>
      </c>
      <c r="B38" s="27" t="inlineStr">
        <is>
          <t>AMDE</t>
        </is>
      </c>
      <c r="C38" s="27" t="inlineStr">
        <is>
          <t>EUR</t>
        </is>
      </c>
      <c r="D38" s="27" t="inlineStr">
        <is>
          <t>6010</t>
        </is>
      </c>
      <c r="E38" s="27" t="inlineStr">
        <is>
          <t>Salaries and Wages</t>
        </is>
      </c>
      <c r="F38" s="27" t="inlineStr">
        <is>
          <t>OpEx</t>
        </is>
      </c>
      <c r="G38" s="27" t="inlineStr">
        <is>
          <t>PROD</t>
        </is>
      </c>
      <c r="H38" s="27" t="inlineStr">
        <is>
          <t>OPS</t>
        </is>
      </c>
      <c r="I38" s="31" t="n">
        <v>135076</v>
      </c>
      <c r="J38" s="31" t="n">
        <v>129818</v>
      </c>
      <c r="K38" s="31" t="n">
        <v>139974</v>
      </c>
      <c r="L38" s="31" t="n">
        <v>157574</v>
      </c>
      <c r="M38" s="31" t="n">
        <v>164688</v>
      </c>
      <c r="N38" s="31" t="n">
        <v>174753</v>
      </c>
      <c r="O38" s="31" t="n">
        <v>162551</v>
      </c>
      <c r="P38" s="31" t="n">
        <v>174489</v>
      </c>
      <c r="Q38" s="31" t="n">
        <v>159007</v>
      </c>
      <c r="R38" s="31" t="n">
        <v>152683</v>
      </c>
      <c r="S38" s="28" t="n">
        <v>146437</v>
      </c>
      <c r="T38" s="28" t="n">
        <v>138730</v>
      </c>
      <c r="U38" s="29">
        <f>SUM(I38:T38)</f>
        <v/>
      </c>
    </row>
    <row r="39">
      <c r="A39" s="27" t="inlineStr">
        <is>
          <t>FORECAST_2024F11</t>
        </is>
      </c>
      <c r="B39" s="27" t="inlineStr">
        <is>
          <t>AMDE</t>
        </is>
      </c>
      <c r="C39" s="27" t="inlineStr">
        <is>
          <t>EUR</t>
        </is>
      </c>
      <c r="D39" s="27" t="inlineStr">
        <is>
          <t>6020</t>
        </is>
      </c>
      <c r="E39" s="27" t="inlineStr">
        <is>
          <t>Rent Expense</t>
        </is>
      </c>
      <c r="F39" s="27" t="inlineStr">
        <is>
          <t>OpEx</t>
        </is>
      </c>
      <c r="G39" s="27" t="inlineStr">
        <is>
          <t>PROD</t>
        </is>
      </c>
      <c r="H39" s="27" t="inlineStr">
        <is>
          <t>OPS</t>
        </is>
      </c>
      <c r="I39" s="31" t="n">
        <v>21191</v>
      </c>
      <c r="J39" s="31" t="n">
        <v>21245</v>
      </c>
      <c r="K39" s="31" t="n">
        <v>22265</v>
      </c>
      <c r="L39" s="31" t="n">
        <v>22521</v>
      </c>
      <c r="M39" s="31" t="n">
        <v>26807</v>
      </c>
      <c r="N39" s="31" t="n">
        <v>25530</v>
      </c>
      <c r="O39" s="31" t="n">
        <v>27370</v>
      </c>
      <c r="P39" s="31" t="n">
        <v>26369</v>
      </c>
      <c r="Q39" s="31" t="n">
        <v>26712</v>
      </c>
      <c r="R39" s="31" t="n">
        <v>24370</v>
      </c>
      <c r="S39" s="28" t="n">
        <v>23748</v>
      </c>
      <c r="T39" s="28" t="n">
        <v>22498</v>
      </c>
      <c r="U39" s="29">
        <f>SUM(I39:T39)</f>
        <v/>
      </c>
    </row>
    <row r="40">
      <c r="A40" s="27" t="inlineStr">
        <is>
          <t>FORECAST_2024F11</t>
        </is>
      </c>
      <c r="B40" s="27" t="inlineStr">
        <is>
          <t>AMDE</t>
        </is>
      </c>
      <c r="C40" s="27" t="inlineStr">
        <is>
          <t>EUR</t>
        </is>
      </c>
      <c r="D40" s="27" t="inlineStr">
        <is>
          <t>6030</t>
        </is>
      </c>
      <c r="E40" s="27" t="inlineStr">
        <is>
          <t>Depreciation Expense</t>
        </is>
      </c>
      <c r="F40" s="27" t="inlineStr">
        <is>
          <t>OpEx</t>
        </is>
      </c>
      <c r="G40" s="27" t="inlineStr">
        <is>
          <t>PROD</t>
        </is>
      </c>
      <c r="H40" s="27" t="inlineStr">
        <is>
          <t>OPS</t>
        </is>
      </c>
      <c r="I40" s="31" t="n">
        <v>14537</v>
      </c>
      <c r="J40" s="31" t="n">
        <v>16809</v>
      </c>
      <c r="K40" s="31" t="n">
        <v>16425</v>
      </c>
      <c r="L40" s="31" t="n">
        <v>18361</v>
      </c>
      <c r="M40" s="31" t="n">
        <v>19991</v>
      </c>
      <c r="N40" s="31" t="n">
        <v>20397</v>
      </c>
      <c r="O40" s="31" t="n">
        <v>19550</v>
      </c>
      <c r="P40" s="31" t="n">
        <v>18616</v>
      </c>
      <c r="Q40" s="31" t="n">
        <v>19088</v>
      </c>
      <c r="R40" s="31" t="n">
        <v>17371</v>
      </c>
      <c r="S40" s="28" t="n">
        <v>17711</v>
      </c>
      <c r="T40" s="28" t="n">
        <v>16779</v>
      </c>
      <c r="U40" s="29">
        <f>SUM(I40:T40)</f>
        <v/>
      </c>
    </row>
    <row r="41">
      <c r="A41" s="27" t="inlineStr">
        <is>
          <t>FORECAST_2024F11</t>
        </is>
      </c>
      <c r="B41" s="27" t="inlineStr">
        <is>
          <t>AMDE</t>
        </is>
      </c>
      <c r="C41" s="27" t="inlineStr">
        <is>
          <t>EUR</t>
        </is>
      </c>
      <c r="D41" s="27" t="inlineStr">
        <is>
          <t>6040</t>
        </is>
      </c>
      <c r="E41" s="27" t="inlineStr">
        <is>
          <t>Marketing Expense</t>
        </is>
      </c>
      <c r="F41" s="27" t="inlineStr">
        <is>
          <t>OpEx</t>
        </is>
      </c>
      <c r="G41" s="27" t="inlineStr">
        <is>
          <t>PROD</t>
        </is>
      </c>
      <c r="H41" s="27" t="inlineStr">
        <is>
          <t>OPS</t>
        </is>
      </c>
      <c r="I41" s="31" t="n">
        <v>15908</v>
      </c>
      <c r="J41" s="31" t="n">
        <v>19067</v>
      </c>
      <c r="K41" s="31" t="n">
        <v>18746</v>
      </c>
      <c r="L41" s="31" t="n">
        <v>19966</v>
      </c>
      <c r="M41" s="31" t="n">
        <v>24495</v>
      </c>
      <c r="N41" s="31" t="n">
        <v>18931</v>
      </c>
      <c r="O41" s="31" t="n">
        <v>25760</v>
      </c>
      <c r="P41" s="31" t="n">
        <v>21141</v>
      </c>
      <c r="Q41" s="31" t="n">
        <v>22910</v>
      </c>
      <c r="R41" s="31" t="n">
        <v>18576</v>
      </c>
      <c r="S41" s="28" t="n">
        <v>18850</v>
      </c>
      <c r="T41" s="28" t="n">
        <v>17858</v>
      </c>
      <c r="U41" s="29">
        <f>SUM(I41:T41)</f>
        <v/>
      </c>
    </row>
    <row r="42">
      <c r="A42" s="27" t="inlineStr">
        <is>
          <t>FORECAST_2024F11</t>
        </is>
      </c>
      <c r="B42" s="27" t="inlineStr">
        <is>
          <t>AMDE</t>
        </is>
      </c>
      <c r="C42" s="27" t="inlineStr">
        <is>
          <t>EUR</t>
        </is>
      </c>
      <c r="D42" s="27" t="inlineStr">
        <is>
          <t>6050</t>
        </is>
      </c>
      <c r="E42" s="27" t="inlineStr">
        <is>
          <t>Travel Expense</t>
        </is>
      </c>
      <c r="F42" s="27" t="inlineStr">
        <is>
          <t>OpEx</t>
        </is>
      </c>
      <c r="G42" s="27" t="inlineStr">
        <is>
          <t>PROD</t>
        </is>
      </c>
      <c r="H42" s="27" t="inlineStr">
        <is>
          <t>OPS</t>
        </is>
      </c>
      <c r="I42" s="31" t="n">
        <v>8208</v>
      </c>
      <c r="J42" s="31" t="n">
        <v>6267</v>
      </c>
      <c r="K42" s="31" t="n">
        <v>11231</v>
      </c>
      <c r="L42" s="31" t="n">
        <v>8243</v>
      </c>
      <c r="M42" s="31" t="n">
        <v>10768</v>
      </c>
      <c r="N42" s="31" t="n">
        <v>6549</v>
      </c>
      <c r="O42" s="31" t="n">
        <v>8084</v>
      </c>
      <c r="P42" s="31" t="n">
        <v>12859</v>
      </c>
      <c r="Q42" s="31" t="n">
        <v>8719</v>
      </c>
      <c r="R42" s="31" t="n">
        <v>9227</v>
      </c>
      <c r="S42" s="28" t="n">
        <v>8836</v>
      </c>
      <c r="T42" s="28" t="n">
        <v>8371</v>
      </c>
      <c r="U42" s="29">
        <f>SUM(I42:T42)</f>
        <v/>
      </c>
    </row>
    <row r="43">
      <c r="A43" s="27" t="inlineStr">
        <is>
          <t>FORECAST_2024F11</t>
        </is>
      </c>
      <c r="B43" s="27" t="inlineStr">
        <is>
          <t>AMDE</t>
        </is>
      </c>
      <c r="C43" s="27" t="inlineStr">
        <is>
          <t>EUR</t>
        </is>
      </c>
      <c r="D43" s="27" t="inlineStr">
        <is>
          <t>6060</t>
        </is>
      </c>
      <c r="E43" s="27" t="inlineStr">
        <is>
          <t>Utilities</t>
        </is>
      </c>
      <c r="F43" s="27" t="inlineStr">
        <is>
          <t>OpEx</t>
        </is>
      </c>
      <c r="G43" s="27" t="inlineStr">
        <is>
          <t>PROD</t>
        </is>
      </c>
      <c r="H43" s="27" t="inlineStr">
        <is>
          <t>OPS</t>
        </is>
      </c>
      <c r="I43" s="31" t="n">
        <v>7749</v>
      </c>
      <c r="J43" s="31" t="n">
        <v>8087</v>
      </c>
      <c r="K43" s="31" t="n">
        <v>8026</v>
      </c>
      <c r="L43" s="31" t="n">
        <v>9051</v>
      </c>
      <c r="M43" s="31" t="n">
        <v>9195</v>
      </c>
      <c r="N43" s="31" t="n">
        <v>9947</v>
      </c>
      <c r="O43" s="31" t="n">
        <v>10834</v>
      </c>
      <c r="P43" s="31" t="n">
        <v>9829</v>
      </c>
      <c r="Q43" s="31" t="n">
        <v>10105</v>
      </c>
      <c r="R43" s="31" t="n">
        <v>8416</v>
      </c>
      <c r="S43" s="28" t="n">
        <v>8886</v>
      </c>
      <c r="T43" s="28" t="n">
        <v>8419</v>
      </c>
      <c r="U43" s="29">
        <f>SUM(I43:T43)</f>
        <v/>
      </c>
    </row>
    <row r="44">
      <c r="E44" s="4" t="inlineStr">
        <is>
          <t>Net Income</t>
        </is>
      </c>
      <c r="I44" s="29">
        <f>SUM(I35:I43)</f>
        <v/>
      </c>
      <c r="J44" s="29">
        <f>SUM(J35:J43)</f>
        <v/>
      </c>
      <c r="K44" s="29">
        <f>SUM(K35:K43)</f>
        <v/>
      </c>
      <c r="L44" s="29">
        <f>SUM(L35:L43)</f>
        <v/>
      </c>
      <c r="M44" s="29">
        <f>SUM(M35:M43)</f>
        <v/>
      </c>
      <c r="N44" s="29">
        <f>SUM(N35:N43)</f>
        <v/>
      </c>
      <c r="O44" s="29">
        <f>SUM(O35:O43)</f>
        <v/>
      </c>
      <c r="P44" s="29">
        <f>SUM(P35:P43)</f>
        <v/>
      </c>
      <c r="Q44" s="29">
        <f>SUM(Q35:Q43)</f>
        <v/>
      </c>
      <c r="R44" s="29">
        <f>SUM(R35:R43)</f>
        <v/>
      </c>
      <c r="S44" s="29">
        <f>SUM(S35:S43)</f>
        <v/>
      </c>
      <c r="T44" s="29">
        <f>SUM(T35:T43)</f>
        <v/>
      </c>
      <c r="U44" s="29">
        <f>SUM(U35:U43)</f>
        <v/>
      </c>
    </row>
  </sheetData>
  <mergeCells count="3">
    <mergeCell ref="D34:T34"/>
    <mergeCell ref="D22:T22"/>
    <mergeCell ref="D10:T10"/>
  </mergeCells>
  <pageMargins left="0.75" right="0.75" top="1" bottom="1" header="0.5" footer="0.5"/>
</worksheet>
</file>

<file path=xl/worksheets/sheet14.xml><?xml version="1.0" encoding="utf-8"?>
<worksheet xmlns="http://schemas.openxmlformats.org/spreadsheetml/2006/main">
  <sheetPr>
    <tabColor rgb="004472C4"/>
    <outlinePr summaryBelow="1" summaryRight="1"/>
    <pageSetUpPr/>
  </sheetPr>
  <dimension ref="A1:U44"/>
  <sheetViews>
    <sheetView workbookViewId="0">
      <pane xSplit="8" ySplit="9" topLeftCell="I10"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0" customWidth="1" min="3" max="3"/>
    <col width="10" customWidth="1" min="4" max="4"/>
    <col width="22" customWidth="1" min="5" max="5"/>
    <col width="12" customWidth="1" min="6" max="6"/>
    <col width="14" customWidth="1" min="7" max="7"/>
    <col width="14"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4" customWidth="1" min="21" max="21"/>
  </cols>
  <sheetData>
    <row r="1">
      <c r="A1" s="20" t="inlineStr">
        <is>
          <t>Scenario:</t>
        </is>
      </c>
      <c r="B1" s="21" t="inlineStr">
        <is>
          <t>Forecast 2024 - Dec</t>
        </is>
      </c>
    </row>
    <row r="2">
      <c r="A2" s="20" t="inlineStr">
        <is>
          <t>Scenario ID:</t>
        </is>
      </c>
      <c r="B2" s="21" t="inlineStr">
        <is>
          <t>FORECAST_2024F12</t>
        </is>
      </c>
    </row>
    <row r="3">
      <c r="A3" s="20" t="inlineStr">
        <is>
          <t>Type:</t>
        </is>
      </c>
      <c r="B3" s="21" t="inlineStr">
        <is>
          <t>forecast</t>
        </is>
      </c>
    </row>
    <row r="4">
      <c r="A4" s="20" t="inlineStr">
        <is>
          <t>Fiscal Year:</t>
        </is>
      </c>
      <c r="B4" s="21" t="n">
        <v>2024</v>
      </c>
    </row>
    <row r="5">
      <c r="A5" s="20" t="inlineStr">
        <is>
          <t>Layer:</t>
        </is>
      </c>
      <c r="B5" s="21" t="inlineStr">
        <is>
          <t>base</t>
        </is>
      </c>
    </row>
    <row r="6">
      <c r="A6" s="20" t="inlineStr">
        <is>
          <t>Actual months:</t>
        </is>
      </c>
      <c r="B6" s="30" t="inlineStr">
        <is>
          <t>1-11 (yellow = actuals, white = editable forecast)</t>
        </is>
      </c>
    </row>
    <row r="7">
      <c r="A7" s="20" t="inlineStr">
        <is>
          <t>Usage:</t>
        </is>
      </c>
      <c r="B7" s="22" t="inlineStr">
        <is>
          <t>Edit white cells, then press Ctrl+Shift+R or F9 to save to server</t>
        </is>
      </c>
    </row>
    <row r="9">
      <c r="A9" s="23" t="inlineStr">
        <is>
          <t>Scenario ID</t>
        </is>
      </c>
      <c r="B9" s="23" t="inlineStr">
        <is>
          <t>Entity</t>
        </is>
      </c>
      <c r="C9" s="23" t="inlineStr">
        <is>
          <t>Currency</t>
        </is>
      </c>
      <c r="D9" s="23" t="inlineStr">
        <is>
          <t>Account</t>
        </is>
      </c>
      <c r="E9" s="23" t="inlineStr">
        <is>
          <t>Account Name</t>
        </is>
      </c>
      <c r="F9" s="23" t="inlineStr">
        <is>
          <t>Category</t>
        </is>
      </c>
      <c r="G9" s="23" t="inlineStr">
        <is>
          <t>Cost Center</t>
        </is>
      </c>
      <c r="H9" s="23" t="inlineStr">
        <is>
          <t>Department</t>
        </is>
      </c>
      <c r="I9" s="23" t="inlineStr">
        <is>
          <t>Jan</t>
        </is>
      </c>
      <c r="J9" s="23" t="inlineStr">
        <is>
          <t>Feb</t>
        </is>
      </c>
      <c r="K9" s="23" t="inlineStr">
        <is>
          <t>Mar</t>
        </is>
      </c>
      <c r="L9" s="23" t="inlineStr">
        <is>
          <t>Apr</t>
        </is>
      </c>
      <c r="M9" s="23" t="inlineStr">
        <is>
          <t>May</t>
        </is>
      </c>
      <c r="N9" s="23" t="inlineStr">
        <is>
          <t>Jun</t>
        </is>
      </c>
      <c r="O9" s="23" t="inlineStr">
        <is>
          <t>Jul</t>
        </is>
      </c>
      <c r="P9" s="23" t="inlineStr">
        <is>
          <t>Aug</t>
        </is>
      </c>
      <c r="Q9" s="23" t="inlineStr">
        <is>
          <t>Sep</t>
        </is>
      </c>
      <c r="R9" s="23" t="inlineStr">
        <is>
          <t>Oct</t>
        </is>
      </c>
      <c r="S9" s="23" t="inlineStr">
        <is>
          <t>Nov</t>
        </is>
      </c>
      <c r="T9" s="23" t="inlineStr">
        <is>
          <t>Dec</t>
        </is>
      </c>
      <c r="U9" s="23" t="inlineStr">
        <is>
          <t>Annual Total</t>
        </is>
      </c>
    </row>
    <row r="10">
      <c r="A10" s="24" t="inlineStr">
        <is>
          <t>AMHQ</t>
        </is>
      </c>
      <c r="B10" s="24" t="inlineStr">
        <is>
          <t>Alpine Manufacturing HQ</t>
        </is>
      </c>
      <c r="C10" s="24" t="inlineStr">
        <is>
          <t>CHF</t>
        </is>
      </c>
      <c r="D10" s="24" t="n"/>
      <c r="E10" s="25" t="n"/>
      <c r="F10" s="25" t="n"/>
      <c r="G10" s="25" t="n"/>
      <c r="H10" s="25" t="n"/>
      <c r="I10" s="25" t="n"/>
      <c r="J10" s="25" t="n"/>
      <c r="K10" s="25" t="n"/>
      <c r="L10" s="25" t="n"/>
      <c r="M10" s="25" t="n"/>
      <c r="N10" s="25" t="n"/>
      <c r="O10" s="25" t="n"/>
      <c r="P10" s="25" t="n"/>
      <c r="Q10" s="25" t="n"/>
      <c r="R10" s="25" t="n"/>
      <c r="S10" s="25" t="n"/>
      <c r="T10" s="26" t="n"/>
      <c r="U10" s="24" t="n"/>
    </row>
    <row r="11">
      <c r="A11" s="27" t="inlineStr">
        <is>
          <t>FORECAST_2024F12</t>
        </is>
      </c>
      <c r="B11" s="27" t="inlineStr">
        <is>
          <t>AMHQ</t>
        </is>
      </c>
      <c r="C11" s="27" t="inlineStr">
        <is>
          <t>CHF</t>
        </is>
      </c>
      <c r="D11" s="27" t="inlineStr">
        <is>
          <t>4010</t>
        </is>
      </c>
      <c r="E11" s="27" t="inlineStr">
        <is>
          <t>Product Revenue</t>
        </is>
      </c>
      <c r="F11" s="27" t="inlineStr">
        <is>
          <t>Revenue</t>
        </is>
      </c>
      <c r="G11" s="27" t="inlineStr">
        <is>
          <t>HQ</t>
        </is>
      </c>
      <c r="H11" s="27" t="inlineStr">
        <is>
          <t>MGMT</t>
        </is>
      </c>
      <c r="I11" s="31" t="n">
        <v>-397797</v>
      </c>
      <c r="J11" s="31" t="n">
        <v>-425945</v>
      </c>
      <c r="K11" s="31" t="n">
        <v>-495422</v>
      </c>
      <c r="L11" s="31" t="n">
        <v>-511712</v>
      </c>
      <c r="M11" s="31" t="n">
        <v>-521940</v>
      </c>
      <c r="N11" s="31" t="n">
        <v>-563711</v>
      </c>
      <c r="O11" s="31" t="n">
        <v>-605127</v>
      </c>
      <c r="P11" s="31" t="n">
        <v>-522969</v>
      </c>
      <c r="Q11" s="31" t="n">
        <v>-530831</v>
      </c>
      <c r="R11" s="31" t="n">
        <v>-529737</v>
      </c>
      <c r="S11" s="31" t="n">
        <v>-444202</v>
      </c>
      <c r="T11" s="28" t="n">
        <v>-467975</v>
      </c>
      <c r="U11" s="29">
        <f>SUM(I11:T11)</f>
        <v/>
      </c>
    </row>
    <row r="12">
      <c r="A12" s="27" t="inlineStr">
        <is>
          <t>FORECAST_2024F12</t>
        </is>
      </c>
      <c r="B12" s="27" t="inlineStr">
        <is>
          <t>AMHQ</t>
        </is>
      </c>
      <c r="C12" s="27" t="inlineStr">
        <is>
          <t>CHF</t>
        </is>
      </c>
      <c r="D12" s="27" t="inlineStr">
        <is>
          <t>4020</t>
        </is>
      </c>
      <c r="E12" s="27" t="inlineStr">
        <is>
          <t>Service Revenue</t>
        </is>
      </c>
      <c r="F12" s="27" t="inlineStr">
        <is>
          <t>Revenue</t>
        </is>
      </c>
      <c r="G12" s="27" t="inlineStr">
        <is>
          <t>HQ</t>
        </is>
      </c>
      <c r="H12" s="27" t="inlineStr">
        <is>
          <t>MGMT</t>
        </is>
      </c>
      <c r="I12" s="31" t="n">
        <v>-51598</v>
      </c>
      <c r="J12" s="31" t="n">
        <v>-48506</v>
      </c>
      <c r="K12" s="31" t="n">
        <v>-51388</v>
      </c>
      <c r="L12" s="31" t="n">
        <v>-48659</v>
      </c>
      <c r="M12" s="31" t="n">
        <v>-67301</v>
      </c>
      <c r="N12" s="31" t="n">
        <v>-58394</v>
      </c>
      <c r="O12" s="31" t="n">
        <v>-77281</v>
      </c>
      <c r="P12" s="31" t="n">
        <v>-62303</v>
      </c>
      <c r="Q12" s="31" t="n">
        <v>-59524</v>
      </c>
      <c r="R12" s="31" t="n">
        <v>-61018</v>
      </c>
      <c r="S12" s="31" t="n">
        <v>-69047</v>
      </c>
      <c r="T12" s="28" t="n">
        <v>-55714</v>
      </c>
      <c r="U12" s="29">
        <f>SUM(I12:T12)</f>
        <v/>
      </c>
    </row>
    <row r="13">
      <c r="A13" s="27" t="inlineStr">
        <is>
          <t>FORECAST_2024F12</t>
        </is>
      </c>
      <c r="B13" s="27" t="inlineStr">
        <is>
          <t>AMHQ</t>
        </is>
      </c>
      <c r="C13" s="27" t="inlineStr">
        <is>
          <t>CHF</t>
        </is>
      </c>
      <c r="D13" s="27" t="inlineStr">
        <is>
          <t>5010</t>
        </is>
      </c>
      <c r="E13" s="27" t="inlineStr">
        <is>
          <t>Cost of Goods Sold</t>
        </is>
      </c>
      <c r="F13" s="27" t="inlineStr">
        <is>
          <t>COGS</t>
        </is>
      </c>
      <c r="G13" s="27" t="inlineStr">
        <is>
          <t>HQ</t>
        </is>
      </c>
      <c r="H13" s="27" t="inlineStr">
        <is>
          <t>MGMT</t>
        </is>
      </c>
      <c r="I13" s="31" t="n">
        <v>187924</v>
      </c>
      <c r="J13" s="31" t="n">
        <v>183754</v>
      </c>
      <c r="K13" s="31" t="n">
        <v>210580</v>
      </c>
      <c r="L13" s="31" t="n">
        <v>202671</v>
      </c>
      <c r="M13" s="31" t="n">
        <v>193119</v>
      </c>
      <c r="N13" s="31" t="n">
        <v>229221</v>
      </c>
      <c r="O13" s="31" t="n">
        <v>235380</v>
      </c>
      <c r="P13" s="31" t="n">
        <v>222878</v>
      </c>
      <c r="Q13" s="31" t="n">
        <v>213524</v>
      </c>
      <c r="R13" s="31" t="n">
        <v>216687</v>
      </c>
      <c r="S13" s="31" t="n">
        <v>181197</v>
      </c>
      <c r="T13" s="28" t="n">
        <v>189508</v>
      </c>
      <c r="U13" s="29">
        <f>SUM(I13:T13)</f>
        <v/>
      </c>
    </row>
    <row r="14">
      <c r="A14" s="27" t="inlineStr">
        <is>
          <t>FORECAST_2024F12</t>
        </is>
      </c>
      <c r="B14" s="27" t="inlineStr">
        <is>
          <t>AMHQ</t>
        </is>
      </c>
      <c r="C14" s="27" t="inlineStr">
        <is>
          <t>CHF</t>
        </is>
      </c>
      <c r="D14" s="27" t="inlineStr">
        <is>
          <t>6010</t>
        </is>
      </c>
      <c r="E14" s="27" t="inlineStr">
        <is>
          <t>Salaries and Wages</t>
        </is>
      </c>
      <c r="F14" s="27" t="inlineStr">
        <is>
          <t>OpEx</t>
        </is>
      </c>
      <c r="G14" s="27" t="inlineStr">
        <is>
          <t>HQ</t>
        </is>
      </c>
      <c r="H14" s="27" t="inlineStr">
        <is>
          <t>MGMT</t>
        </is>
      </c>
      <c r="I14" s="31" t="n">
        <v>99959</v>
      </c>
      <c r="J14" s="31" t="n">
        <v>115029</v>
      </c>
      <c r="K14" s="31" t="n">
        <v>125434</v>
      </c>
      <c r="L14" s="31" t="n">
        <v>121272</v>
      </c>
      <c r="M14" s="31" t="n">
        <v>131513</v>
      </c>
      <c r="N14" s="31" t="n">
        <v>140229</v>
      </c>
      <c r="O14" s="31" t="n">
        <v>134955</v>
      </c>
      <c r="P14" s="31" t="n">
        <v>128711</v>
      </c>
      <c r="Q14" s="31" t="n">
        <v>138863</v>
      </c>
      <c r="R14" s="31" t="n">
        <v>124973</v>
      </c>
      <c r="S14" s="31" t="n">
        <v>104797</v>
      </c>
      <c r="T14" s="28" t="n">
        <v>113687</v>
      </c>
      <c r="U14" s="29">
        <f>SUM(I14:T14)</f>
        <v/>
      </c>
    </row>
    <row r="15">
      <c r="A15" s="27" t="inlineStr">
        <is>
          <t>FORECAST_2024F12</t>
        </is>
      </c>
      <c r="B15" s="27" t="inlineStr">
        <is>
          <t>AMHQ</t>
        </is>
      </c>
      <c r="C15" s="27" t="inlineStr">
        <is>
          <t>CHF</t>
        </is>
      </c>
      <c r="D15" s="27" t="inlineStr">
        <is>
          <t>6020</t>
        </is>
      </c>
      <c r="E15" s="27" t="inlineStr">
        <is>
          <t>Rent Expense</t>
        </is>
      </c>
      <c r="F15" s="27" t="inlineStr">
        <is>
          <t>OpEx</t>
        </is>
      </c>
      <c r="G15" s="27" t="inlineStr">
        <is>
          <t>HQ</t>
        </is>
      </c>
      <c r="H15" s="27" t="inlineStr">
        <is>
          <t>MGMT</t>
        </is>
      </c>
      <c r="I15" s="31" t="n">
        <v>16037</v>
      </c>
      <c r="J15" s="31" t="n">
        <v>17651</v>
      </c>
      <c r="K15" s="31" t="n">
        <v>19694</v>
      </c>
      <c r="L15" s="31" t="n">
        <v>20111</v>
      </c>
      <c r="M15" s="31" t="n">
        <v>20174</v>
      </c>
      <c r="N15" s="31" t="n">
        <v>22832</v>
      </c>
      <c r="O15" s="31" t="n">
        <v>23513</v>
      </c>
      <c r="P15" s="31" t="n">
        <v>21311</v>
      </c>
      <c r="Q15" s="31" t="n">
        <v>20099</v>
      </c>
      <c r="R15" s="31" t="n">
        <v>20830</v>
      </c>
      <c r="S15" s="31" t="n">
        <v>19492</v>
      </c>
      <c r="T15" s="28" t="n">
        <v>18709</v>
      </c>
      <c r="U15" s="29">
        <f>SUM(I15:T15)</f>
        <v/>
      </c>
    </row>
    <row r="16">
      <c r="A16" s="27" t="inlineStr">
        <is>
          <t>FORECAST_2024F12</t>
        </is>
      </c>
      <c r="B16" s="27" t="inlineStr">
        <is>
          <t>AMHQ</t>
        </is>
      </c>
      <c r="C16" s="27" t="inlineStr">
        <is>
          <t>CHF</t>
        </is>
      </c>
      <c r="D16" s="27" t="inlineStr">
        <is>
          <t>6030</t>
        </is>
      </c>
      <c r="E16" s="27" t="inlineStr">
        <is>
          <t>Depreciation Expense</t>
        </is>
      </c>
      <c r="F16" s="27" t="inlineStr">
        <is>
          <t>OpEx</t>
        </is>
      </c>
      <c r="G16" s="27" t="inlineStr">
        <is>
          <t>HQ</t>
        </is>
      </c>
      <c r="H16" s="27" t="inlineStr">
        <is>
          <t>MGMT</t>
        </is>
      </c>
      <c r="I16" s="31" t="n">
        <v>12704</v>
      </c>
      <c r="J16" s="31" t="n">
        <v>12888</v>
      </c>
      <c r="K16" s="31" t="n">
        <v>14589</v>
      </c>
      <c r="L16" s="31" t="n">
        <v>14040</v>
      </c>
      <c r="M16" s="31" t="n">
        <v>16069</v>
      </c>
      <c r="N16" s="31" t="n">
        <v>16003</v>
      </c>
      <c r="O16" s="31" t="n">
        <v>17092</v>
      </c>
      <c r="P16" s="31" t="n">
        <v>16117</v>
      </c>
      <c r="Q16" s="31" t="n">
        <v>16422</v>
      </c>
      <c r="R16" s="31" t="n">
        <v>15542</v>
      </c>
      <c r="S16" s="31" t="n">
        <v>13338</v>
      </c>
      <c r="T16" s="28" t="n">
        <v>13971</v>
      </c>
      <c r="U16" s="29">
        <f>SUM(I16:T16)</f>
        <v/>
      </c>
    </row>
    <row r="17">
      <c r="A17" s="27" t="inlineStr">
        <is>
          <t>FORECAST_2024F12</t>
        </is>
      </c>
      <c r="B17" s="27" t="inlineStr">
        <is>
          <t>AMHQ</t>
        </is>
      </c>
      <c r="C17" s="27" t="inlineStr">
        <is>
          <t>CHF</t>
        </is>
      </c>
      <c r="D17" s="27" t="inlineStr">
        <is>
          <t>6040</t>
        </is>
      </c>
      <c r="E17" s="27" t="inlineStr">
        <is>
          <t>Marketing Expense</t>
        </is>
      </c>
      <c r="F17" s="27" t="inlineStr">
        <is>
          <t>OpEx</t>
        </is>
      </c>
      <c r="G17" s="27" t="inlineStr">
        <is>
          <t>HQ</t>
        </is>
      </c>
      <c r="H17" s="27" t="inlineStr">
        <is>
          <t>MGMT</t>
        </is>
      </c>
      <c r="I17" s="31" t="n">
        <v>10589</v>
      </c>
      <c r="J17" s="31" t="n">
        <v>13899</v>
      </c>
      <c r="K17" s="31" t="n">
        <v>17035</v>
      </c>
      <c r="L17" s="31" t="n">
        <v>16420</v>
      </c>
      <c r="M17" s="31" t="n">
        <v>12280</v>
      </c>
      <c r="N17" s="31" t="n">
        <v>14943</v>
      </c>
      <c r="O17" s="31" t="n">
        <v>15846</v>
      </c>
      <c r="P17" s="31" t="n">
        <v>18039</v>
      </c>
      <c r="Q17" s="31" t="n">
        <v>15190</v>
      </c>
      <c r="R17" s="31" t="n">
        <v>14134</v>
      </c>
      <c r="S17" s="31" t="n">
        <v>17920</v>
      </c>
      <c r="T17" s="28" t="n">
        <v>14031</v>
      </c>
      <c r="U17" s="29">
        <f>SUM(I17:T17)</f>
        <v/>
      </c>
    </row>
    <row r="18">
      <c r="A18" s="27" t="inlineStr">
        <is>
          <t>FORECAST_2024F12</t>
        </is>
      </c>
      <c r="B18" s="27" t="inlineStr">
        <is>
          <t>AMHQ</t>
        </is>
      </c>
      <c r="C18" s="27" t="inlineStr">
        <is>
          <t>CHF</t>
        </is>
      </c>
      <c r="D18" s="27" t="inlineStr">
        <is>
          <t>6050</t>
        </is>
      </c>
      <c r="E18" s="27" t="inlineStr">
        <is>
          <t>Travel Expense</t>
        </is>
      </c>
      <c r="F18" s="27" t="inlineStr">
        <is>
          <t>OpEx</t>
        </is>
      </c>
      <c r="G18" s="27" t="inlineStr">
        <is>
          <t>HQ</t>
        </is>
      </c>
      <c r="H18" s="27" t="inlineStr">
        <is>
          <t>MGMT</t>
        </is>
      </c>
      <c r="I18" s="31" t="n">
        <v>5858</v>
      </c>
      <c r="J18" s="31" t="n">
        <v>7345</v>
      </c>
      <c r="K18" s="31" t="n">
        <v>9557</v>
      </c>
      <c r="L18" s="31" t="n">
        <v>5401</v>
      </c>
      <c r="M18" s="31" t="n">
        <v>5712</v>
      </c>
      <c r="N18" s="31" t="n">
        <v>9665</v>
      </c>
      <c r="O18" s="31" t="n">
        <v>6695</v>
      </c>
      <c r="P18" s="31" t="n">
        <v>10148</v>
      </c>
      <c r="Q18" s="31" t="n">
        <v>9531</v>
      </c>
      <c r="R18" s="31" t="n">
        <v>8213</v>
      </c>
      <c r="S18" s="31" t="n">
        <v>8925</v>
      </c>
      <c r="T18" s="28" t="n">
        <v>7174</v>
      </c>
      <c r="U18" s="29">
        <f>SUM(I18:T18)</f>
        <v/>
      </c>
    </row>
    <row r="19">
      <c r="A19" s="27" t="inlineStr">
        <is>
          <t>FORECAST_2024F12</t>
        </is>
      </c>
      <c r="B19" s="27" t="inlineStr">
        <is>
          <t>AMHQ</t>
        </is>
      </c>
      <c r="C19" s="27" t="inlineStr">
        <is>
          <t>CHF</t>
        </is>
      </c>
      <c r="D19" s="27" t="inlineStr">
        <is>
          <t>6060</t>
        </is>
      </c>
      <c r="E19" s="27" t="inlineStr">
        <is>
          <t>Utilities</t>
        </is>
      </c>
      <c r="F19" s="27" t="inlineStr">
        <is>
          <t>OpEx</t>
        </is>
      </c>
      <c r="G19" s="27" t="inlineStr">
        <is>
          <t>HQ</t>
        </is>
      </c>
      <c r="H19" s="27" t="inlineStr">
        <is>
          <t>MGMT</t>
        </is>
      </c>
      <c r="I19" s="31" t="n">
        <v>6693</v>
      </c>
      <c r="J19" s="31" t="n">
        <v>6739</v>
      </c>
      <c r="K19" s="31" t="n">
        <v>7619</v>
      </c>
      <c r="L19" s="31" t="n">
        <v>7596</v>
      </c>
      <c r="M19" s="31" t="n">
        <v>8246</v>
      </c>
      <c r="N19" s="31" t="n">
        <v>7994</v>
      </c>
      <c r="O19" s="31" t="n">
        <v>8902</v>
      </c>
      <c r="P19" s="31" t="n">
        <v>8522</v>
      </c>
      <c r="Q19" s="31" t="n">
        <v>7595</v>
      </c>
      <c r="R19" s="31" t="n">
        <v>7318</v>
      </c>
      <c r="S19" s="31" t="n">
        <v>7204</v>
      </c>
      <c r="T19" s="28" t="n">
        <v>7067</v>
      </c>
      <c r="U19" s="29">
        <f>SUM(I19:T19)</f>
        <v/>
      </c>
    </row>
    <row r="20">
      <c r="E20" s="4" t="inlineStr">
        <is>
          <t>Net Income</t>
        </is>
      </c>
      <c r="I20" s="29">
        <f>SUM(I11:I19)</f>
        <v/>
      </c>
      <c r="J20" s="29">
        <f>SUM(J11:J19)</f>
        <v/>
      </c>
      <c r="K20" s="29">
        <f>SUM(K11:K19)</f>
        <v/>
      </c>
      <c r="L20" s="29">
        <f>SUM(L11:L19)</f>
        <v/>
      </c>
      <c r="M20" s="29">
        <f>SUM(M11:M19)</f>
        <v/>
      </c>
      <c r="N20" s="29">
        <f>SUM(N11:N19)</f>
        <v/>
      </c>
      <c r="O20" s="29">
        <f>SUM(O11:O19)</f>
        <v/>
      </c>
      <c r="P20" s="29">
        <f>SUM(P11:P19)</f>
        <v/>
      </c>
      <c r="Q20" s="29">
        <f>SUM(Q11:Q19)</f>
        <v/>
      </c>
      <c r="R20" s="29">
        <f>SUM(R11:R19)</f>
        <v/>
      </c>
      <c r="S20" s="29">
        <f>SUM(S11:S19)</f>
        <v/>
      </c>
      <c r="T20" s="29">
        <f>SUM(T11:T19)</f>
        <v/>
      </c>
      <c r="U20" s="29">
        <f>SUM(U11:U19)</f>
        <v/>
      </c>
    </row>
    <row r="22">
      <c r="A22" s="24" t="inlineStr">
        <is>
          <t>AMUS</t>
        </is>
      </c>
      <c r="B22" s="24" t="inlineStr">
        <is>
          <t>Alpine Manufacturing US</t>
        </is>
      </c>
      <c r="C22" s="24" t="inlineStr">
        <is>
          <t>USD</t>
        </is>
      </c>
      <c r="D22" s="24" t="n"/>
      <c r="E22" s="25" t="n"/>
      <c r="F22" s="25" t="n"/>
      <c r="G22" s="25" t="n"/>
      <c r="H22" s="25" t="n"/>
      <c r="I22" s="25" t="n"/>
      <c r="J22" s="25" t="n"/>
      <c r="K22" s="25" t="n"/>
      <c r="L22" s="25" t="n"/>
      <c r="M22" s="25" t="n"/>
      <c r="N22" s="25" t="n"/>
      <c r="O22" s="25" t="n"/>
      <c r="P22" s="25" t="n"/>
      <c r="Q22" s="25" t="n"/>
      <c r="R22" s="25" t="n"/>
      <c r="S22" s="25" t="n"/>
      <c r="T22" s="26" t="n"/>
      <c r="U22" s="24" t="n"/>
    </row>
    <row r="23">
      <c r="A23" s="27" t="inlineStr">
        <is>
          <t>FORECAST_2024F12</t>
        </is>
      </c>
      <c r="B23" s="27" t="inlineStr">
        <is>
          <t>AMUS</t>
        </is>
      </c>
      <c r="C23" s="27" t="inlineStr">
        <is>
          <t>USD</t>
        </is>
      </c>
      <c r="D23" s="27" t="inlineStr">
        <is>
          <t>4010</t>
        </is>
      </c>
      <c r="E23" s="27" t="inlineStr">
        <is>
          <t>Product Revenue</t>
        </is>
      </c>
      <c r="F23" s="27" t="inlineStr">
        <is>
          <t>Revenue</t>
        </is>
      </c>
      <c r="G23" s="27" t="inlineStr">
        <is>
          <t>SALES</t>
        </is>
      </c>
      <c r="H23" s="27" t="inlineStr">
        <is>
          <t>SALES</t>
        </is>
      </c>
      <c r="I23" s="31" t="n">
        <v>-688736</v>
      </c>
      <c r="J23" s="31" t="n">
        <v>-684616</v>
      </c>
      <c r="K23" s="31" t="n">
        <v>-767841</v>
      </c>
      <c r="L23" s="31" t="n">
        <v>-744568</v>
      </c>
      <c r="M23" s="31" t="n">
        <v>-896469</v>
      </c>
      <c r="N23" s="31" t="n">
        <v>-823335</v>
      </c>
      <c r="O23" s="31" t="n">
        <v>-916220</v>
      </c>
      <c r="P23" s="31" t="n">
        <v>-913092</v>
      </c>
      <c r="Q23" s="31" t="n">
        <v>-785153</v>
      </c>
      <c r="R23" s="31" t="n">
        <v>-803485</v>
      </c>
      <c r="S23" s="31" t="n">
        <v>-757794</v>
      </c>
      <c r="T23" s="28" t="n">
        <v>-744799</v>
      </c>
      <c r="U23" s="29">
        <f>SUM(I23:T23)</f>
        <v/>
      </c>
    </row>
    <row r="24">
      <c r="A24" s="27" t="inlineStr">
        <is>
          <t>FORECAST_2024F12</t>
        </is>
      </c>
      <c r="B24" s="27" t="inlineStr">
        <is>
          <t>AMUS</t>
        </is>
      </c>
      <c r="C24" s="27" t="inlineStr">
        <is>
          <t>USD</t>
        </is>
      </c>
      <c r="D24" s="27" t="inlineStr">
        <is>
          <t>4020</t>
        </is>
      </c>
      <c r="E24" s="27" t="inlineStr">
        <is>
          <t>Service Revenue</t>
        </is>
      </c>
      <c r="F24" s="27" t="inlineStr">
        <is>
          <t>Revenue</t>
        </is>
      </c>
      <c r="G24" s="27" t="inlineStr">
        <is>
          <t>SALES</t>
        </is>
      </c>
      <c r="H24" s="27" t="inlineStr">
        <is>
          <t>SALES</t>
        </is>
      </c>
      <c r="I24" s="31" t="n">
        <v>-83918</v>
      </c>
      <c r="J24" s="31" t="n">
        <v>-84884</v>
      </c>
      <c r="K24" s="31" t="n">
        <v>-91539</v>
      </c>
      <c r="L24" s="31" t="n">
        <v>-89553</v>
      </c>
      <c r="M24" s="31" t="n">
        <v>-102736</v>
      </c>
      <c r="N24" s="31" t="n">
        <v>-98878</v>
      </c>
      <c r="O24" s="31" t="n">
        <v>-114660</v>
      </c>
      <c r="P24" s="31" t="n">
        <v>-120032</v>
      </c>
      <c r="Q24" s="31" t="n">
        <v>-92672</v>
      </c>
      <c r="R24" s="31" t="n">
        <v>-112083</v>
      </c>
      <c r="S24" s="31" t="n">
        <v>-98686</v>
      </c>
      <c r="T24" s="28" t="n">
        <v>-90830</v>
      </c>
      <c r="U24" s="29">
        <f>SUM(I24:T24)</f>
        <v/>
      </c>
    </row>
    <row r="25">
      <c r="A25" s="27" t="inlineStr">
        <is>
          <t>FORECAST_2024F12</t>
        </is>
      </c>
      <c r="B25" s="27" t="inlineStr">
        <is>
          <t>AMUS</t>
        </is>
      </c>
      <c r="C25" s="27" t="inlineStr">
        <is>
          <t>USD</t>
        </is>
      </c>
      <c r="D25" s="27" t="inlineStr">
        <is>
          <t>5010</t>
        </is>
      </c>
      <c r="E25" s="27" t="inlineStr">
        <is>
          <t>Cost of Goods Sold</t>
        </is>
      </c>
      <c r="F25" s="27" t="inlineStr">
        <is>
          <t>COGS</t>
        </is>
      </c>
      <c r="G25" s="27" t="inlineStr">
        <is>
          <t>SALES</t>
        </is>
      </c>
      <c r="H25" s="27" t="inlineStr">
        <is>
          <t>SALES</t>
        </is>
      </c>
      <c r="I25" s="31" t="n">
        <v>298984</v>
      </c>
      <c r="J25" s="31" t="n">
        <v>293432</v>
      </c>
      <c r="K25" s="31" t="n">
        <v>283500</v>
      </c>
      <c r="L25" s="31" t="n">
        <v>313661</v>
      </c>
      <c r="M25" s="31" t="n">
        <v>368180</v>
      </c>
      <c r="N25" s="31" t="n">
        <v>391490</v>
      </c>
      <c r="O25" s="31" t="n">
        <v>374860</v>
      </c>
      <c r="P25" s="31" t="n">
        <v>348426</v>
      </c>
      <c r="Q25" s="31" t="n">
        <v>375222</v>
      </c>
      <c r="R25" s="31" t="n">
        <v>326127</v>
      </c>
      <c r="S25" s="31" t="n">
        <v>311066</v>
      </c>
      <c r="T25" s="28" t="n">
        <v>304909</v>
      </c>
      <c r="U25" s="29">
        <f>SUM(I25:T25)</f>
        <v/>
      </c>
    </row>
    <row r="26">
      <c r="A26" s="27" t="inlineStr">
        <is>
          <t>FORECAST_2024F12</t>
        </is>
      </c>
      <c r="B26" s="27" t="inlineStr">
        <is>
          <t>AMUS</t>
        </is>
      </c>
      <c r="C26" s="27" t="inlineStr">
        <is>
          <t>USD</t>
        </is>
      </c>
      <c r="D26" s="27" t="inlineStr">
        <is>
          <t>6010</t>
        </is>
      </c>
      <c r="E26" s="27" t="inlineStr">
        <is>
          <t>Salaries and Wages</t>
        </is>
      </c>
      <c r="F26" s="27" t="inlineStr">
        <is>
          <t>OpEx</t>
        </is>
      </c>
      <c r="G26" s="27" t="inlineStr">
        <is>
          <t>SALES</t>
        </is>
      </c>
      <c r="H26" s="27" t="inlineStr">
        <is>
          <t>SALES</t>
        </is>
      </c>
      <c r="I26" s="31" t="n">
        <v>159065</v>
      </c>
      <c r="J26" s="31" t="n">
        <v>175004</v>
      </c>
      <c r="K26" s="31" t="n">
        <v>192384</v>
      </c>
      <c r="L26" s="31" t="n">
        <v>184907</v>
      </c>
      <c r="M26" s="31" t="n">
        <v>220595</v>
      </c>
      <c r="N26" s="31" t="n">
        <v>221303</v>
      </c>
      <c r="O26" s="31" t="n">
        <v>225293</v>
      </c>
      <c r="P26" s="31" t="n">
        <v>205139</v>
      </c>
      <c r="Q26" s="31" t="n">
        <v>205234</v>
      </c>
      <c r="R26" s="31" t="n">
        <v>180531</v>
      </c>
      <c r="S26" s="31" t="n">
        <v>186448</v>
      </c>
      <c r="T26" s="28" t="n">
        <v>180713</v>
      </c>
      <c r="U26" s="29">
        <f>SUM(I26:T26)</f>
        <v/>
      </c>
    </row>
    <row r="27">
      <c r="A27" s="27" t="inlineStr">
        <is>
          <t>FORECAST_2024F12</t>
        </is>
      </c>
      <c r="B27" s="27" t="inlineStr">
        <is>
          <t>AMUS</t>
        </is>
      </c>
      <c r="C27" s="27" t="inlineStr">
        <is>
          <t>USD</t>
        </is>
      </c>
      <c r="D27" s="27" t="inlineStr">
        <is>
          <t>6020</t>
        </is>
      </c>
      <c r="E27" s="27" t="inlineStr">
        <is>
          <t>Rent Expense</t>
        </is>
      </c>
      <c r="F27" s="27" t="inlineStr">
        <is>
          <t>OpEx</t>
        </is>
      </c>
      <c r="G27" s="27" t="inlineStr">
        <is>
          <t>SALES</t>
        </is>
      </c>
      <c r="H27" s="27" t="inlineStr">
        <is>
          <t>SALES</t>
        </is>
      </c>
      <c r="I27" s="31" t="n">
        <v>27878</v>
      </c>
      <c r="J27" s="31" t="n">
        <v>28932</v>
      </c>
      <c r="K27" s="31" t="n">
        <v>29515</v>
      </c>
      <c r="L27" s="31" t="n">
        <v>32541</v>
      </c>
      <c r="M27" s="31" t="n">
        <v>35010</v>
      </c>
      <c r="N27" s="31" t="n">
        <v>37394</v>
      </c>
      <c r="O27" s="31" t="n">
        <v>38390</v>
      </c>
      <c r="P27" s="31" t="n">
        <v>37372</v>
      </c>
      <c r="Q27" s="31" t="n">
        <v>31556</v>
      </c>
      <c r="R27" s="31" t="n">
        <v>33755</v>
      </c>
      <c r="S27" s="31" t="n">
        <v>30220</v>
      </c>
      <c r="T27" s="28" t="n">
        <v>30250</v>
      </c>
      <c r="U27" s="29">
        <f>SUM(I27:T27)</f>
        <v/>
      </c>
    </row>
    <row r="28">
      <c r="A28" s="27" t="inlineStr">
        <is>
          <t>FORECAST_2024F12</t>
        </is>
      </c>
      <c r="B28" s="27" t="inlineStr">
        <is>
          <t>AMUS</t>
        </is>
      </c>
      <c r="C28" s="27" t="inlineStr">
        <is>
          <t>USD</t>
        </is>
      </c>
      <c r="D28" s="27" t="inlineStr">
        <is>
          <t>6030</t>
        </is>
      </c>
      <c r="E28" s="27" t="inlineStr">
        <is>
          <t>Depreciation Expense</t>
        </is>
      </c>
      <c r="F28" s="27" t="inlineStr">
        <is>
          <t>OpEx</t>
        </is>
      </c>
      <c r="G28" s="27" t="inlineStr">
        <is>
          <t>SALES</t>
        </is>
      </c>
      <c r="H28" s="27" t="inlineStr">
        <is>
          <t>SALES</t>
        </is>
      </c>
      <c r="I28" s="31" t="n">
        <v>21536</v>
      </c>
      <c r="J28" s="31" t="n">
        <v>20960</v>
      </c>
      <c r="K28" s="31" t="n">
        <v>24257</v>
      </c>
      <c r="L28" s="31" t="n">
        <v>22687</v>
      </c>
      <c r="M28" s="31" t="n">
        <v>24409</v>
      </c>
      <c r="N28" s="31" t="n">
        <v>27128</v>
      </c>
      <c r="O28" s="31" t="n">
        <v>27585</v>
      </c>
      <c r="P28" s="31" t="n">
        <v>27785</v>
      </c>
      <c r="Q28" s="31" t="n">
        <v>25272</v>
      </c>
      <c r="R28" s="31" t="n">
        <v>24427</v>
      </c>
      <c r="S28" s="31" t="n">
        <v>22139</v>
      </c>
      <c r="T28" s="28" t="n">
        <v>22536</v>
      </c>
      <c r="U28" s="29">
        <f>SUM(I28:T28)</f>
        <v/>
      </c>
    </row>
    <row r="29">
      <c r="A29" s="27" t="inlineStr">
        <is>
          <t>FORECAST_2024F12</t>
        </is>
      </c>
      <c r="B29" s="27" t="inlineStr">
        <is>
          <t>AMUS</t>
        </is>
      </c>
      <c r="C29" s="27" t="inlineStr">
        <is>
          <t>USD</t>
        </is>
      </c>
      <c r="D29" s="27" t="inlineStr">
        <is>
          <t>6040</t>
        </is>
      </c>
      <c r="E29" s="27" t="inlineStr">
        <is>
          <t>Marketing Expense</t>
        </is>
      </c>
      <c r="F29" s="27" t="inlineStr">
        <is>
          <t>OpEx</t>
        </is>
      </c>
      <c r="G29" s="27" t="inlineStr">
        <is>
          <t>SALES</t>
        </is>
      </c>
      <c r="H29" s="27" t="inlineStr">
        <is>
          <t>SALES</t>
        </is>
      </c>
      <c r="I29" s="31" t="n">
        <v>15484</v>
      </c>
      <c r="J29" s="31" t="n">
        <v>20345</v>
      </c>
      <c r="K29" s="31" t="n">
        <v>20028</v>
      </c>
      <c r="L29" s="31" t="n">
        <v>28116</v>
      </c>
      <c r="M29" s="31" t="n">
        <v>31491</v>
      </c>
      <c r="N29" s="31" t="n">
        <v>25348</v>
      </c>
      <c r="O29" s="31" t="n">
        <v>29620</v>
      </c>
      <c r="P29" s="31" t="n">
        <v>27361</v>
      </c>
      <c r="Q29" s="31" t="n">
        <v>31796</v>
      </c>
      <c r="R29" s="31" t="n">
        <v>20705</v>
      </c>
      <c r="S29" s="31" t="n">
        <v>25796</v>
      </c>
      <c r="T29" s="28" t="n">
        <v>22856</v>
      </c>
      <c r="U29" s="29">
        <f>SUM(I29:T29)</f>
        <v/>
      </c>
    </row>
    <row r="30">
      <c r="A30" s="27" t="inlineStr">
        <is>
          <t>FORECAST_2024F12</t>
        </is>
      </c>
      <c r="B30" s="27" t="inlineStr">
        <is>
          <t>AMUS</t>
        </is>
      </c>
      <c r="C30" s="27" t="inlineStr">
        <is>
          <t>USD</t>
        </is>
      </c>
      <c r="D30" s="27" t="inlineStr">
        <is>
          <t>6050</t>
        </is>
      </c>
      <c r="E30" s="27" t="inlineStr">
        <is>
          <t>Travel Expense</t>
        </is>
      </c>
      <c r="F30" s="27" t="inlineStr">
        <is>
          <t>OpEx</t>
        </is>
      </c>
      <c r="G30" s="27" t="inlineStr">
        <is>
          <t>SALES</t>
        </is>
      </c>
      <c r="H30" s="27" t="inlineStr">
        <is>
          <t>SALES</t>
        </is>
      </c>
      <c r="I30" s="31" t="n">
        <v>13371</v>
      </c>
      <c r="J30" s="31" t="n">
        <v>7825</v>
      </c>
      <c r="K30" s="31" t="n">
        <v>10837</v>
      </c>
      <c r="L30" s="31" t="n">
        <v>14674</v>
      </c>
      <c r="M30" s="31" t="n">
        <v>11116</v>
      </c>
      <c r="N30" s="31" t="n">
        <v>17258</v>
      </c>
      <c r="O30" s="31" t="n">
        <v>15744</v>
      </c>
      <c r="P30" s="31" t="n">
        <v>10365</v>
      </c>
      <c r="Q30" s="31" t="n">
        <v>10349</v>
      </c>
      <c r="R30" s="31" t="n">
        <v>9555</v>
      </c>
      <c r="S30" s="31" t="n">
        <v>11350</v>
      </c>
      <c r="T30" s="28" t="n">
        <v>11201</v>
      </c>
      <c r="U30" s="29">
        <f>SUM(I30:T30)</f>
        <v/>
      </c>
    </row>
    <row r="31">
      <c r="A31" s="27" t="inlineStr">
        <is>
          <t>FORECAST_2024F12</t>
        </is>
      </c>
      <c r="B31" s="27" t="inlineStr">
        <is>
          <t>AMUS</t>
        </is>
      </c>
      <c r="C31" s="27" t="inlineStr">
        <is>
          <t>USD</t>
        </is>
      </c>
      <c r="D31" s="27" t="inlineStr">
        <is>
          <t>6060</t>
        </is>
      </c>
      <c r="E31" s="27" t="inlineStr">
        <is>
          <t>Utilities</t>
        </is>
      </c>
      <c r="F31" s="27" t="inlineStr">
        <is>
          <t>OpEx</t>
        </is>
      </c>
      <c r="G31" s="27" t="inlineStr">
        <is>
          <t>SALES</t>
        </is>
      </c>
      <c r="H31" s="27" t="inlineStr">
        <is>
          <t>SALES</t>
        </is>
      </c>
      <c r="I31" s="31" t="n">
        <v>9977</v>
      </c>
      <c r="J31" s="31" t="n">
        <v>10607</v>
      </c>
      <c r="K31" s="31" t="n">
        <v>11463</v>
      </c>
      <c r="L31" s="31" t="n">
        <v>11433</v>
      </c>
      <c r="M31" s="31" t="n">
        <v>12249</v>
      </c>
      <c r="N31" s="31" t="n">
        <v>13976</v>
      </c>
      <c r="O31" s="31" t="n">
        <v>13615</v>
      </c>
      <c r="P31" s="31" t="n">
        <v>13198</v>
      </c>
      <c r="Q31" s="31" t="n">
        <v>11974</v>
      </c>
      <c r="R31" s="31" t="n">
        <v>11929</v>
      </c>
      <c r="S31" s="31" t="n">
        <v>11113</v>
      </c>
      <c r="T31" s="28" t="n">
        <v>11164</v>
      </c>
      <c r="U31" s="29">
        <f>SUM(I31:T31)</f>
        <v/>
      </c>
    </row>
    <row r="32">
      <c r="E32" s="4" t="inlineStr">
        <is>
          <t>Net Income</t>
        </is>
      </c>
      <c r="I32" s="29">
        <f>SUM(I23:I31)</f>
        <v/>
      </c>
      <c r="J32" s="29">
        <f>SUM(J23:J31)</f>
        <v/>
      </c>
      <c r="K32" s="29">
        <f>SUM(K23:K31)</f>
        <v/>
      </c>
      <c r="L32" s="29">
        <f>SUM(L23:L31)</f>
        <v/>
      </c>
      <c r="M32" s="29">
        <f>SUM(M23:M31)</f>
        <v/>
      </c>
      <c r="N32" s="29">
        <f>SUM(N23:N31)</f>
        <v/>
      </c>
      <c r="O32" s="29">
        <f>SUM(O23:O31)</f>
        <v/>
      </c>
      <c r="P32" s="29">
        <f>SUM(P23:P31)</f>
        <v/>
      </c>
      <c r="Q32" s="29">
        <f>SUM(Q23:Q31)</f>
        <v/>
      </c>
      <c r="R32" s="29">
        <f>SUM(R23:R31)</f>
        <v/>
      </c>
      <c r="S32" s="29">
        <f>SUM(S23:S31)</f>
        <v/>
      </c>
      <c r="T32" s="29">
        <f>SUM(T23:T31)</f>
        <v/>
      </c>
      <c r="U32" s="29">
        <f>SUM(U23:U31)</f>
        <v/>
      </c>
    </row>
    <row r="34">
      <c r="A34" s="24" t="inlineStr">
        <is>
          <t>AMDE</t>
        </is>
      </c>
      <c r="B34" s="24" t="inlineStr">
        <is>
          <t>Alpine Manufacturing DE</t>
        </is>
      </c>
      <c r="C34" s="24" t="inlineStr">
        <is>
          <t>EUR</t>
        </is>
      </c>
      <c r="D34" s="24" t="n"/>
      <c r="E34" s="25" t="n"/>
      <c r="F34" s="25" t="n"/>
      <c r="G34" s="25" t="n"/>
      <c r="H34" s="25" t="n"/>
      <c r="I34" s="25" t="n"/>
      <c r="J34" s="25" t="n"/>
      <c r="K34" s="25" t="n"/>
      <c r="L34" s="25" t="n"/>
      <c r="M34" s="25" t="n"/>
      <c r="N34" s="25" t="n"/>
      <c r="O34" s="25" t="n"/>
      <c r="P34" s="25" t="n"/>
      <c r="Q34" s="25" t="n"/>
      <c r="R34" s="25" t="n"/>
      <c r="S34" s="25" t="n"/>
      <c r="T34" s="26" t="n"/>
      <c r="U34" s="24" t="n"/>
    </row>
    <row r="35">
      <c r="A35" s="27" t="inlineStr">
        <is>
          <t>FORECAST_2024F12</t>
        </is>
      </c>
      <c r="B35" s="27" t="inlineStr">
        <is>
          <t>AMDE</t>
        </is>
      </c>
      <c r="C35" s="27" t="inlineStr">
        <is>
          <t>EUR</t>
        </is>
      </c>
      <c r="D35" s="27" t="inlineStr">
        <is>
          <t>4010</t>
        </is>
      </c>
      <c r="E35" s="27" t="inlineStr">
        <is>
          <t>Product Revenue</t>
        </is>
      </c>
      <c r="F35" s="27" t="inlineStr">
        <is>
          <t>Revenue</t>
        </is>
      </c>
      <c r="G35" s="27" t="inlineStr">
        <is>
          <t>PROD</t>
        </is>
      </c>
      <c r="H35" s="27" t="inlineStr">
        <is>
          <t>OPS</t>
        </is>
      </c>
      <c r="I35" s="31" t="n">
        <v>-527028</v>
      </c>
      <c r="J35" s="31" t="n">
        <v>-575955</v>
      </c>
      <c r="K35" s="31" t="n">
        <v>-556536</v>
      </c>
      <c r="L35" s="31" t="n">
        <v>-617257</v>
      </c>
      <c r="M35" s="31" t="n">
        <v>-627698</v>
      </c>
      <c r="N35" s="31" t="n">
        <v>-640580</v>
      </c>
      <c r="O35" s="31" t="n">
        <v>-732891</v>
      </c>
      <c r="P35" s="31" t="n">
        <v>-704415</v>
      </c>
      <c r="Q35" s="31" t="n">
        <v>-636502</v>
      </c>
      <c r="R35" s="31" t="n">
        <v>-570355</v>
      </c>
      <c r="S35" s="31" t="n">
        <v>-575205</v>
      </c>
      <c r="T35" s="28" t="n">
        <v>-565833</v>
      </c>
      <c r="U35" s="29">
        <f>SUM(I35:T35)</f>
        <v/>
      </c>
    </row>
    <row r="36">
      <c r="A36" s="27" t="inlineStr">
        <is>
          <t>FORECAST_2024F12</t>
        </is>
      </c>
      <c r="B36" s="27" t="inlineStr">
        <is>
          <t>AMDE</t>
        </is>
      </c>
      <c r="C36" s="27" t="inlineStr">
        <is>
          <t>EUR</t>
        </is>
      </c>
      <c r="D36" s="27" t="inlineStr">
        <is>
          <t>4020</t>
        </is>
      </c>
      <c r="E36" s="27" t="inlineStr">
        <is>
          <t>Service Revenue</t>
        </is>
      </c>
      <c r="F36" s="27" t="inlineStr">
        <is>
          <t>Revenue</t>
        </is>
      </c>
      <c r="G36" s="27" t="inlineStr">
        <is>
          <t>PROD</t>
        </is>
      </c>
      <c r="H36" s="27" t="inlineStr">
        <is>
          <t>OPS</t>
        </is>
      </c>
      <c r="I36" s="31" t="n">
        <v>-64531</v>
      </c>
      <c r="J36" s="31" t="n">
        <v>-75825</v>
      </c>
      <c r="K36" s="31" t="n">
        <v>-66050</v>
      </c>
      <c r="L36" s="31" t="n">
        <v>-67767</v>
      </c>
      <c r="M36" s="31" t="n">
        <v>-77781</v>
      </c>
      <c r="N36" s="31" t="n">
        <v>-63604</v>
      </c>
      <c r="O36" s="31" t="n">
        <v>-86786</v>
      </c>
      <c r="P36" s="31" t="n">
        <v>-87173</v>
      </c>
      <c r="Q36" s="31" t="n">
        <v>-61591</v>
      </c>
      <c r="R36" s="31" t="n">
        <v>-71071</v>
      </c>
      <c r="S36" s="31" t="n">
        <v>-60409</v>
      </c>
      <c r="T36" s="28" t="n">
        <v>-66718</v>
      </c>
      <c r="U36" s="29">
        <f>SUM(I36:T36)</f>
        <v/>
      </c>
    </row>
    <row r="37">
      <c r="A37" s="27" t="inlineStr">
        <is>
          <t>FORECAST_2024F12</t>
        </is>
      </c>
      <c r="B37" s="27" t="inlineStr">
        <is>
          <t>AMDE</t>
        </is>
      </c>
      <c r="C37" s="27" t="inlineStr">
        <is>
          <t>EUR</t>
        </is>
      </c>
      <c r="D37" s="27" t="inlineStr">
        <is>
          <t>5010</t>
        </is>
      </c>
      <c r="E37" s="27" t="inlineStr">
        <is>
          <t>Cost of Goods Sold</t>
        </is>
      </c>
      <c r="F37" s="27" t="inlineStr">
        <is>
          <t>COGS</t>
        </is>
      </c>
      <c r="G37" s="27" t="inlineStr">
        <is>
          <t>PROD</t>
        </is>
      </c>
      <c r="H37" s="27" t="inlineStr">
        <is>
          <t>OPS</t>
        </is>
      </c>
      <c r="I37" s="31" t="n">
        <v>206898</v>
      </c>
      <c r="J37" s="31" t="n">
        <v>249198</v>
      </c>
      <c r="K37" s="31" t="n">
        <v>217347</v>
      </c>
      <c r="L37" s="31" t="n">
        <v>253259</v>
      </c>
      <c r="M37" s="31" t="n">
        <v>245705</v>
      </c>
      <c r="N37" s="31" t="n">
        <v>283485</v>
      </c>
      <c r="O37" s="31" t="n">
        <v>279756</v>
      </c>
      <c r="P37" s="31" t="n">
        <v>276952</v>
      </c>
      <c r="Q37" s="31" t="n">
        <v>288384</v>
      </c>
      <c r="R37" s="31" t="n">
        <v>249399</v>
      </c>
      <c r="S37" s="31" t="n">
        <v>246312</v>
      </c>
      <c r="T37" s="28" t="n">
        <v>230019</v>
      </c>
      <c r="U37" s="29">
        <f>SUM(I37:T37)</f>
        <v/>
      </c>
    </row>
    <row r="38">
      <c r="A38" s="27" t="inlineStr">
        <is>
          <t>FORECAST_2024F12</t>
        </is>
      </c>
      <c r="B38" s="27" t="inlineStr">
        <is>
          <t>AMDE</t>
        </is>
      </c>
      <c r="C38" s="27" t="inlineStr">
        <is>
          <t>EUR</t>
        </is>
      </c>
      <c r="D38" s="27" t="inlineStr">
        <is>
          <t>6010</t>
        </is>
      </c>
      <c r="E38" s="27" t="inlineStr">
        <is>
          <t>Salaries and Wages</t>
        </is>
      </c>
      <c r="F38" s="27" t="inlineStr">
        <is>
          <t>OpEx</t>
        </is>
      </c>
      <c r="G38" s="27" t="inlineStr">
        <is>
          <t>PROD</t>
        </is>
      </c>
      <c r="H38" s="27" t="inlineStr">
        <is>
          <t>OPS</t>
        </is>
      </c>
      <c r="I38" s="31" t="n">
        <v>120064</v>
      </c>
      <c r="J38" s="31" t="n">
        <v>126493</v>
      </c>
      <c r="K38" s="31" t="n">
        <v>155585</v>
      </c>
      <c r="L38" s="31" t="n">
        <v>145849</v>
      </c>
      <c r="M38" s="31" t="n">
        <v>151827</v>
      </c>
      <c r="N38" s="31" t="n">
        <v>167751</v>
      </c>
      <c r="O38" s="31" t="n">
        <v>168168</v>
      </c>
      <c r="P38" s="31" t="n">
        <v>171661</v>
      </c>
      <c r="Q38" s="31" t="n">
        <v>140871</v>
      </c>
      <c r="R38" s="31" t="n">
        <v>145520</v>
      </c>
      <c r="S38" s="31" t="n">
        <v>135921</v>
      </c>
      <c r="T38" s="28" t="n">
        <v>136053</v>
      </c>
      <c r="U38" s="29">
        <f>SUM(I38:T38)</f>
        <v/>
      </c>
    </row>
    <row r="39">
      <c r="A39" s="27" t="inlineStr">
        <is>
          <t>FORECAST_2024F12</t>
        </is>
      </c>
      <c r="B39" s="27" t="inlineStr">
        <is>
          <t>AMDE</t>
        </is>
      </c>
      <c r="C39" s="27" t="inlineStr">
        <is>
          <t>EUR</t>
        </is>
      </c>
      <c r="D39" s="27" t="inlineStr">
        <is>
          <t>6020</t>
        </is>
      </c>
      <c r="E39" s="27" t="inlineStr">
        <is>
          <t>Rent Expense</t>
        </is>
      </c>
      <c r="F39" s="27" t="inlineStr">
        <is>
          <t>OpEx</t>
        </is>
      </c>
      <c r="G39" s="27" t="inlineStr">
        <is>
          <t>PROD</t>
        </is>
      </c>
      <c r="H39" s="27" t="inlineStr">
        <is>
          <t>OPS</t>
        </is>
      </c>
      <c r="I39" s="31" t="n">
        <v>20569</v>
      </c>
      <c r="J39" s="31" t="n">
        <v>21489</v>
      </c>
      <c r="K39" s="31" t="n">
        <v>21289</v>
      </c>
      <c r="L39" s="31" t="n">
        <v>22328</v>
      </c>
      <c r="M39" s="31" t="n">
        <v>24362</v>
      </c>
      <c r="N39" s="31" t="n">
        <v>28085</v>
      </c>
      <c r="O39" s="31" t="n">
        <v>28891</v>
      </c>
      <c r="P39" s="31" t="n">
        <v>26298</v>
      </c>
      <c r="Q39" s="31" t="n">
        <v>25742</v>
      </c>
      <c r="R39" s="31" t="n">
        <v>25319</v>
      </c>
      <c r="S39" s="31" t="n">
        <v>22535</v>
      </c>
      <c r="T39" s="28" t="n">
        <v>22484</v>
      </c>
      <c r="U39" s="29">
        <f>SUM(I39:T39)</f>
        <v/>
      </c>
    </row>
    <row r="40">
      <c r="A40" s="27" t="inlineStr">
        <is>
          <t>FORECAST_2024F12</t>
        </is>
      </c>
      <c r="B40" s="27" t="inlineStr">
        <is>
          <t>AMDE</t>
        </is>
      </c>
      <c r="C40" s="27" t="inlineStr">
        <is>
          <t>EUR</t>
        </is>
      </c>
      <c r="D40" s="27" t="inlineStr">
        <is>
          <t>6030</t>
        </is>
      </c>
      <c r="E40" s="27" t="inlineStr">
        <is>
          <t>Depreciation Expense</t>
        </is>
      </c>
      <c r="F40" s="27" t="inlineStr">
        <is>
          <t>OpEx</t>
        </is>
      </c>
      <c r="G40" s="27" t="inlineStr">
        <is>
          <t>PROD</t>
        </is>
      </c>
      <c r="H40" s="27" t="inlineStr">
        <is>
          <t>OPS</t>
        </is>
      </c>
      <c r="I40" s="31" t="n">
        <v>15702</v>
      </c>
      <c r="J40" s="31" t="n">
        <v>15621</v>
      </c>
      <c r="K40" s="31" t="n">
        <v>16188</v>
      </c>
      <c r="L40" s="31" t="n">
        <v>17438</v>
      </c>
      <c r="M40" s="31" t="n">
        <v>20208</v>
      </c>
      <c r="N40" s="31" t="n">
        <v>18598</v>
      </c>
      <c r="O40" s="31" t="n">
        <v>21411</v>
      </c>
      <c r="P40" s="31" t="n">
        <v>20024</v>
      </c>
      <c r="Q40" s="31" t="n">
        <v>19073</v>
      </c>
      <c r="R40" s="31" t="n">
        <v>18928</v>
      </c>
      <c r="S40" s="31" t="n">
        <v>17406</v>
      </c>
      <c r="T40" s="28" t="n">
        <v>16880</v>
      </c>
      <c r="U40" s="29">
        <f>SUM(I40:T40)</f>
        <v/>
      </c>
    </row>
    <row r="41">
      <c r="A41" s="27" t="inlineStr">
        <is>
          <t>FORECAST_2024F12</t>
        </is>
      </c>
      <c r="B41" s="27" t="inlineStr">
        <is>
          <t>AMDE</t>
        </is>
      </c>
      <c r="C41" s="27" t="inlineStr">
        <is>
          <t>EUR</t>
        </is>
      </c>
      <c r="D41" s="27" t="inlineStr">
        <is>
          <t>6040</t>
        </is>
      </c>
      <c r="E41" s="27" t="inlineStr">
        <is>
          <t>Marketing Expense</t>
        </is>
      </c>
      <c r="F41" s="27" t="inlineStr">
        <is>
          <t>OpEx</t>
        </is>
      </c>
      <c r="G41" s="27" t="inlineStr">
        <is>
          <t>PROD</t>
        </is>
      </c>
      <c r="H41" s="27" t="inlineStr">
        <is>
          <t>OPS</t>
        </is>
      </c>
      <c r="I41" s="31" t="n">
        <v>11730</v>
      </c>
      <c r="J41" s="31" t="n">
        <v>17042</v>
      </c>
      <c r="K41" s="31" t="n">
        <v>13897</v>
      </c>
      <c r="L41" s="31" t="n">
        <v>14857</v>
      </c>
      <c r="M41" s="31" t="n">
        <v>15065</v>
      </c>
      <c r="N41" s="31" t="n">
        <v>16007</v>
      </c>
      <c r="O41" s="31" t="n">
        <v>26089</v>
      </c>
      <c r="P41" s="31" t="n">
        <v>16682</v>
      </c>
      <c r="Q41" s="31" t="n">
        <v>24498</v>
      </c>
      <c r="R41" s="31" t="n">
        <v>21238</v>
      </c>
      <c r="S41" s="31" t="n">
        <v>11924</v>
      </c>
      <c r="T41" s="28" t="n">
        <v>16411</v>
      </c>
      <c r="U41" s="29">
        <f>SUM(I41:T41)</f>
        <v/>
      </c>
    </row>
    <row r="42">
      <c r="A42" s="27" t="inlineStr">
        <is>
          <t>FORECAST_2024F12</t>
        </is>
      </c>
      <c r="B42" s="27" t="inlineStr">
        <is>
          <t>AMDE</t>
        </is>
      </c>
      <c r="C42" s="27" t="inlineStr">
        <is>
          <t>EUR</t>
        </is>
      </c>
      <c r="D42" s="27" t="inlineStr">
        <is>
          <t>6050</t>
        </is>
      </c>
      <c r="E42" s="27" t="inlineStr">
        <is>
          <t>Travel Expense</t>
        </is>
      </c>
      <c r="F42" s="27" t="inlineStr">
        <is>
          <t>OpEx</t>
        </is>
      </c>
      <c r="G42" s="27" t="inlineStr">
        <is>
          <t>PROD</t>
        </is>
      </c>
      <c r="H42" s="27" t="inlineStr">
        <is>
          <t>OPS</t>
        </is>
      </c>
      <c r="I42" s="31" t="n">
        <v>9802</v>
      </c>
      <c r="J42" s="31" t="n">
        <v>7207</v>
      </c>
      <c r="K42" s="31" t="n">
        <v>9873</v>
      </c>
      <c r="L42" s="31" t="n">
        <v>8943</v>
      </c>
      <c r="M42" s="31" t="n">
        <v>6670</v>
      </c>
      <c r="N42" s="31" t="n">
        <v>9084</v>
      </c>
      <c r="O42" s="31" t="n">
        <v>9228</v>
      </c>
      <c r="P42" s="31" t="n">
        <v>7694</v>
      </c>
      <c r="Q42" s="31" t="n">
        <v>7320</v>
      </c>
      <c r="R42" s="31" t="n">
        <v>10885</v>
      </c>
      <c r="S42" s="31" t="n">
        <v>10604</v>
      </c>
      <c r="T42" s="28" t="n">
        <v>8319</v>
      </c>
      <c r="U42" s="29">
        <f>SUM(I42:T42)</f>
        <v/>
      </c>
    </row>
    <row r="43">
      <c r="A43" s="27" t="inlineStr">
        <is>
          <t>FORECAST_2024F12</t>
        </is>
      </c>
      <c r="B43" s="27" t="inlineStr">
        <is>
          <t>AMDE</t>
        </is>
      </c>
      <c r="C43" s="27" t="inlineStr">
        <is>
          <t>EUR</t>
        </is>
      </c>
      <c r="D43" s="27" t="inlineStr">
        <is>
          <t>6060</t>
        </is>
      </c>
      <c r="E43" s="27" t="inlineStr">
        <is>
          <t>Utilities</t>
        </is>
      </c>
      <c r="F43" s="27" t="inlineStr">
        <is>
          <t>OpEx</t>
        </is>
      </c>
      <c r="G43" s="27" t="inlineStr">
        <is>
          <t>PROD</t>
        </is>
      </c>
      <c r="H43" s="27" t="inlineStr">
        <is>
          <t>OPS</t>
        </is>
      </c>
      <c r="I43" s="31" t="n">
        <v>7704</v>
      </c>
      <c r="J43" s="31" t="n">
        <v>8390</v>
      </c>
      <c r="K43" s="31" t="n">
        <v>8087</v>
      </c>
      <c r="L43" s="31" t="n">
        <v>8950</v>
      </c>
      <c r="M43" s="31" t="n">
        <v>8889</v>
      </c>
      <c r="N43" s="31" t="n">
        <v>10341</v>
      </c>
      <c r="O43" s="31" t="n">
        <v>10963</v>
      </c>
      <c r="P43" s="31" t="n">
        <v>9871</v>
      </c>
      <c r="Q43" s="31" t="n">
        <v>9200</v>
      </c>
      <c r="R43" s="31" t="n">
        <v>8826</v>
      </c>
      <c r="S43" s="31" t="n">
        <v>8929</v>
      </c>
      <c r="T43" s="28" t="n">
        <v>8434</v>
      </c>
      <c r="U43" s="29">
        <f>SUM(I43:T43)</f>
        <v/>
      </c>
    </row>
    <row r="44">
      <c r="E44" s="4" t="inlineStr">
        <is>
          <t>Net Income</t>
        </is>
      </c>
      <c r="I44" s="29">
        <f>SUM(I35:I43)</f>
        <v/>
      </c>
      <c r="J44" s="29">
        <f>SUM(J35:J43)</f>
        <v/>
      </c>
      <c r="K44" s="29">
        <f>SUM(K35:K43)</f>
        <v/>
      </c>
      <c r="L44" s="29">
        <f>SUM(L35:L43)</f>
        <v/>
      </c>
      <c r="M44" s="29">
        <f>SUM(M35:M43)</f>
        <v/>
      </c>
      <c r="N44" s="29">
        <f>SUM(N35:N43)</f>
        <v/>
      </c>
      <c r="O44" s="29">
        <f>SUM(O35:O43)</f>
        <v/>
      </c>
      <c r="P44" s="29">
        <f>SUM(P35:P43)</f>
        <v/>
      </c>
      <c r="Q44" s="29">
        <f>SUM(Q35:Q43)</f>
        <v/>
      </c>
      <c r="R44" s="29">
        <f>SUM(R35:R43)</f>
        <v/>
      </c>
      <c r="S44" s="29">
        <f>SUM(S35:S43)</f>
        <v/>
      </c>
      <c r="T44" s="29">
        <f>SUM(T35:T43)</f>
        <v/>
      </c>
      <c r="U44" s="29">
        <f>SUM(U35:U43)</f>
        <v/>
      </c>
    </row>
  </sheetData>
  <mergeCells count="3">
    <mergeCell ref="D34:T34"/>
    <mergeCell ref="D22:T22"/>
    <mergeCell ref="D10:T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2026-06-10T20:35:54Z</dcterms:created>
  <dcterms:modified xmlns:dcterms="http://purl.org/dc/terms/" xmlns:xsi="http://www.w3.org/2001/XMLSchema-instance" xsi:type="dcterms:W3CDTF">2026-06-10T20:35:54Z</dcterms:modified>
</cp:coreProperties>
</file>