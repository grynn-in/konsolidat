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microsoft.com/office/2011/relationships/webextensiontaskpanes" Target="xl/webextensions/taskpanes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\\wsl.localhost\Ubuntu-22.04\home\pd\open_epm\excel\"/>
    </mc:Choice>
  </mc:AlternateContent>
  <xr:revisionPtr revIDLastSave="0" documentId="13_ncr:1_{F3C7B7A9-B780-4BA6-8A11-4C9EA8B9825E}" xr6:coauthVersionLast="47" xr6:coauthVersionMax="47" xr10:uidLastSave="{00000000-0000-0000-0000-000000000000}"/>
  <bookViews>
    <workbookView xWindow="-110" yWindow="-110" windowWidth="19420" windowHeight="11500" activeTab="3" xr2:uid="{00000000-000D-0000-FFFF-FFFF00000000}"/>
  </bookViews>
  <sheets>
    <sheet name="Setup" sheetId="1" r:id="rId1"/>
    <sheet name="AFSN" sheetId="2" r:id="rId2"/>
    <sheet name="BEL" sheetId="3" r:id="rId3"/>
    <sheet name="BRMF" sheetId="4" r:id="rId4"/>
    <sheet name="BSW7" sheetId="5" r:id="rId5"/>
    <sheet name="CBD" sheetId="6" r:id="rId6"/>
    <sheet name="CCG" sheetId="7" r:id="rId7"/>
    <sheet name="CN01" sheetId="8" r:id="rId8"/>
    <sheet name="CNET" sheetId="9" r:id="rId9"/>
    <sheet name="CNMF" sheetId="10" r:id="rId10"/>
    <sheet name="CONS" sheetId="11" r:id="rId11"/>
    <sheet name="DEMF" sheetId="12" r:id="rId12"/>
    <sheet name="ERF1" sheetId="13" r:id="rId13"/>
    <sheet name="FRRT" sheetId="14" r:id="rId14"/>
    <sheet name="FRSI" sheetId="15" r:id="rId15"/>
    <sheet name="GBSI" sheetId="16" r:id="rId16"/>
    <sheet name="GLCO" sheetId="17" r:id="rId17"/>
    <sheet name="GLMF" sheetId="18" r:id="rId18"/>
    <sheet name="GLRT" sheetId="19" r:id="rId19"/>
    <sheet name="INMF" sheetId="20" r:id="rId20"/>
    <sheet name="ITCO" sheetId="21" r:id="rId21"/>
    <sheet name="JPMF" sheetId="22" r:id="rId22"/>
    <sheet name="LRP" sheetId="23" r:id="rId23"/>
    <sheet name="MXMF" sheetId="24" r:id="rId24"/>
    <sheet name="MYMF" sheetId="25" r:id="rId25"/>
    <sheet name="NHVG" sheetId="26" r:id="rId26"/>
    <sheet name="RPG" sheetId="27" r:id="rId27"/>
    <sheet name="RUMF" sheetId="28" r:id="rId28"/>
    <sheet name="TDBF" sheetId="29" r:id="rId29"/>
    <sheet name="THMF" sheetId="30" r:id="rId30"/>
    <sheet name="TLE" sheetId="31" r:id="rId31"/>
    <sheet name="USMF" sheetId="32" r:id="rId32"/>
    <sheet name="USP2" sheetId="33" r:id="rId33"/>
    <sheet name="USPI" sheetId="34" r:id="rId34"/>
    <sheet name="USRT" sheetId="35" r:id="rId35"/>
    <sheet name="USSI" sheetId="36" r:id="rId3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" i="36" l="1"/>
  <c r="M32" i="36"/>
  <c r="L32" i="36"/>
  <c r="K32" i="36"/>
  <c r="J32" i="36"/>
  <c r="I32" i="36"/>
  <c r="H32" i="36"/>
  <c r="G32" i="36"/>
  <c r="F32" i="36"/>
  <c r="E32" i="36"/>
  <c r="D32" i="36"/>
  <c r="C32" i="36"/>
  <c r="N31" i="36"/>
  <c r="M31" i="36"/>
  <c r="L31" i="36"/>
  <c r="K31" i="36"/>
  <c r="J31" i="36"/>
  <c r="I31" i="36"/>
  <c r="H31" i="36"/>
  <c r="G31" i="36"/>
  <c r="F31" i="36"/>
  <c r="E31" i="36"/>
  <c r="D31" i="36"/>
  <c r="C31" i="36"/>
  <c r="N30" i="36"/>
  <c r="M30" i="36"/>
  <c r="L30" i="36"/>
  <c r="K30" i="36"/>
  <c r="J30" i="36"/>
  <c r="I30" i="36"/>
  <c r="H30" i="36"/>
  <c r="G30" i="36"/>
  <c r="F30" i="36"/>
  <c r="E30" i="36"/>
  <c r="D30" i="36"/>
  <c r="C30" i="36"/>
  <c r="N29" i="36"/>
  <c r="M29" i="36"/>
  <c r="L29" i="36"/>
  <c r="K29" i="36"/>
  <c r="J29" i="36"/>
  <c r="I29" i="36"/>
  <c r="H29" i="36"/>
  <c r="G29" i="36"/>
  <c r="F29" i="36"/>
  <c r="E29" i="36"/>
  <c r="D29" i="36"/>
  <c r="C29" i="36"/>
  <c r="N28" i="36"/>
  <c r="M28" i="36"/>
  <c r="L28" i="36"/>
  <c r="K28" i="36"/>
  <c r="J28" i="36"/>
  <c r="I28" i="36"/>
  <c r="H28" i="36"/>
  <c r="G28" i="36"/>
  <c r="F28" i="36"/>
  <c r="E28" i="36"/>
  <c r="D28" i="36"/>
  <c r="C28" i="36"/>
  <c r="N27" i="36"/>
  <c r="M27" i="36"/>
  <c r="L27" i="36"/>
  <c r="K27" i="36"/>
  <c r="J27" i="36"/>
  <c r="I27" i="36"/>
  <c r="H27" i="36"/>
  <c r="G27" i="36"/>
  <c r="F27" i="36"/>
  <c r="E27" i="36"/>
  <c r="D27" i="36"/>
  <c r="C27" i="36"/>
  <c r="K23" i="36"/>
  <c r="J23" i="36"/>
  <c r="D23" i="36"/>
  <c r="C23" i="36"/>
  <c r="O22" i="36"/>
  <c r="N22" i="36"/>
  <c r="M22" i="36"/>
  <c r="L22" i="36"/>
  <c r="K22" i="36"/>
  <c r="J22" i="36"/>
  <c r="I22" i="36"/>
  <c r="H22" i="36"/>
  <c r="G22" i="36"/>
  <c r="F22" i="36"/>
  <c r="E22" i="36"/>
  <c r="D22" i="36"/>
  <c r="C22" i="36"/>
  <c r="O21" i="36"/>
  <c r="N21" i="36"/>
  <c r="M21" i="36"/>
  <c r="L21" i="36"/>
  <c r="K21" i="36"/>
  <c r="J21" i="36"/>
  <c r="I21" i="36"/>
  <c r="H21" i="36"/>
  <c r="G21" i="36"/>
  <c r="F21" i="36"/>
  <c r="E21" i="36"/>
  <c r="D21" i="36"/>
  <c r="C21" i="36"/>
  <c r="N20" i="36"/>
  <c r="M20" i="36"/>
  <c r="L20" i="36"/>
  <c r="K20" i="36"/>
  <c r="J20" i="36"/>
  <c r="I20" i="36"/>
  <c r="H20" i="36"/>
  <c r="G20" i="36"/>
  <c r="F20" i="36"/>
  <c r="E20" i="36"/>
  <c r="D20" i="36"/>
  <c r="C20" i="36"/>
  <c r="O20" i="36" s="1"/>
  <c r="O19" i="36"/>
  <c r="N19" i="36"/>
  <c r="M19" i="36"/>
  <c r="L19" i="36"/>
  <c r="K19" i="36"/>
  <c r="J19" i="36"/>
  <c r="I19" i="36"/>
  <c r="H19" i="36"/>
  <c r="G19" i="36"/>
  <c r="F19" i="36"/>
  <c r="E19" i="36"/>
  <c r="D19" i="36"/>
  <c r="C19" i="36"/>
  <c r="N18" i="36"/>
  <c r="M18" i="36"/>
  <c r="L18" i="36"/>
  <c r="K18" i="36"/>
  <c r="J18" i="36"/>
  <c r="I18" i="36"/>
  <c r="H18" i="36"/>
  <c r="G18" i="36"/>
  <c r="F18" i="36"/>
  <c r="E18" i="36"/>
  <c r="D18" i="36"/>
  <c r="C18" i="36"/>
  <c r="O18" i="36" s="1"/>
  <c r="O17" i="36"/>
  <c r="N17" i="36"/>
  <c r="M17" i="36"/>
  <c r="L17" i="36"/>
  <c r="K17" i="36"/>
  <c r="J17" i="36"/>
  <c r="I17" i="36"/>
  <c r="H17" i="36"/>
  <c r="G17" i="36"/>
  <c r="F17" i="36"/>
  <c r="E17" i="36"/>
  <c r="D17" i="36"/>
  <c r="C17" i="36"/>
  <c r="O16" i="36"/>
  <c r="N16" i="36"/>
  <c r="M16" i="36"/>
  <c r="L16" i="36"/>
  <c r="K16" i="36"/>
  <c r="J16" i="36"/>
  <c r="I16" i="36"/>
  <c r="H16" i="36"/>
  <c r="G16" i="36"/>
  <c r="F16" i="36"/>
  <c r="E16" i="36"/>
  <c r="D16" i="36"/>
  <c r="C16" i="36"/>
  <c r="N15" i="36"/>
  <c r="M15" i="36"/>
  <c r="L15" i="36"/>
  <c r="K15" i="36"/>
  <c r="J15" i="36"/>
  <c r="I15" i="36"/>
  <c r="H15" i="36"/>
  <c r="G15" i="36"/>
  <c r="F15" i="36"/>
  <c r="E15" i="36"/>
  <c r="D15" i="36"/>
  <c r="C15" i="36"/>
  <c r="O15" i="36" s="1"/>
  <c r="O14" i="36"/>
  <c r="N14" i="36"/>
  <c r="M14" i="36"/>
  <c r="L14" i="36"/>
  <c r="K14" i="36"/>
  <c r="J14" i="36"/>
  <c r="I14" i="36"/>
  <c r="H14" i="36"/>
  <c r="G14" i="36"/>
  <c r="F14" i="36"/>
  <c r="E14" i="36"/>
  <c r="D14" i="36"/>
  <c r="C14" i="36"/>
  <c r="N13" i="36"/>
  <c r="M13" i="36"/>
  <c r="L13" i="36"/>
  <c r="K13" i="36"/>
  <c r="J13" i="36"/>
  <c r="I13" i="36"/>
  <c r="H13" i="36"/>
  <c r="G13" i="36"/>
  <c r="F13" i="36"/>
  <c r="E13" i="36"/>
  <c r="D13" i="36"/>
  <c r="C13" i="36"/>
  <c r="O13" i="36" s="1"/>
  <c r="O12" i="36"/>
  <c r="N12" i="36"/>
  <c r="M12" i="36"/>
  <c r="L12" i="36"/>
  <c r="K12" i="36"/>
  <c r="J12" i="36"/>
  <c r="I12" i="36"/>
  <c r="H12" i="36"/>
  <c r="G12" i="36"/>
  <c r="F12" i="36"/>
  <c r="E12" i="36"/>
  <c r="D12" i="36"/>
  <c r="C12" i="36"/>
  <c r="O11" i="36"/>
  <c r="O23" i="36" s="1"/>
  <c r="N11" i="36"/>
  <c r="N23" i="36" s="1"/>
  <c r="M11" i="36"/>
  <c r="M23" i="36" s="1"/>
  <c r="L11" i="36"/>
  <c r="L23" i="36" s="1"/>
  <c r="K11" i="36"/>
  <c r="J11" i="36"/>
  <c r="I11" i="36"/>
  <c r="I23" i="36" s="1"/>
  <c r="H11" i="36"/>
  <c r="H23" i="36" s="1"/>
  <c r="G11" i="36"/>
  <c r="G23" i="36" s="1"/>
  <c r="F11" i="36"/>
  <c r="F23" i="36" s="1"/>
  <c r="E11" i="36"/>
  <c r="E23" i="36" s="1"/>
  <c r="D11" i="36"/>
  <c r="C11" i="36"/>
  <c r="N32" i="35"/>
  <c r="M32" i="35"/>
  <c r="L32" i="35"/>
  <c r="K32" i="35"/>
  <c r="J32" i="35"/>
  <c r="I32" i="35"/>
  <c r="H32" i="35"/>
  <c r="G32" i="35"/>
  <c r="F32" i="35"/>
  <c r="E32" i="35"/>
  <c r="D32" i="35"/>
  <c r="C32" i="35"/>
  <c r="N31" i="35"/>
  <c r="M31" i="35"/>
  <c r="L31" i="35"/>
  <c r="K31" i="35"/>
  <c r="J31" i="35"/>
  <c r="I31" i="35"/>
  <c r="H31" i="35"/>
  <c r="G31" i="35"/>
  <c r="F31" i="35"/>
  <c r="E31" i="35"/>
  <c r="D31" i="35"/>
  <c r="C31" i="35"/>
  <c r="N30" i="35"/>
  <c r="M30" i="35"/>
  <c r="L30" i="35"/>
  <c r="K30" i="35"/>
  <c r="J30" i="35"/>
  <c r="I30" i="35"/>
  <c r="H30" i="35"/>
  <c r="G30" i="35"/>
  <c r="F30" i="35"/>
  <c r="E30" i="35"/>
  <c r="D30" i="35"/>
  <c r="C30" i="35"/>
  <c r="N29" i="35"/>
  <c r="M29" i="35"/>
  <c r="L29" i="35"/>
  <c r="K29" i="35"/>
  <c r="J29" i="35"/>
  <c r="I29" i="35"/>
  <c r="H29" i="35"/>
  <c r="G29" i="35"/>
  <c r="F29" i="35"/>
  <c r="E29" i="35"/>
  <c r="D29" i="35"/>
  <c r="C29" i="35"/>
  <c r="N28" i="35"/>
  <c r="M28" i="35"/>
  <c r="L28" i="35"/>
  <c r="K28" i="35"/>
  <c r="J28" i="35"/>
  <c r="I28" i="35"/>
  <c r="H28" i="35"/>
  <c r="G28" i="35"/>
  <c r="F28" i="35"/>
  <c r="E28" i="35"/>
  <c r="D28" i="35"/>
  <c r="C28" i="35"/>
  <c r="N27" i="35"/>
  <c r="M27" i="35"/>
  <c r="L27" i="35"/>
  <c r="K27" i="35"/>
  <c r="J27" i="35"/>
  <c r="I27" i="35"/>
  <c r="H27" i="35"/>
  <c r="G27" i="35"/>
  <c r="F27" i="35"/>
  <c r="E27" i="35"/>
  <c r="D27" i="35"/>
  <c r="C27" i="35"/>
  <c r="L23" i="35"/>
  <c r="K23" i="35"/>
  <c r="J23" i="35"/>
  <c r="I23" i="35"/>
  <c r="F23" i="35"/>
  <c r="D23" i="35"/>
  <c r="N22" i="35"/>
  <c r="M22" i="35"/>
  <c r="L22" i="35"/>
  <c r="K22" i="35"/>
  <c r="J22" i="35"/>
  <c r="I22" i="35"/>
  <c r="H22" i="35"/>
  <c r="G22" i="35"/>
  <c r="F22" i="35"/>
  <c r="E22" i="35"/>
  <c r="D22" i="35"/>
  <c r="C22" i="35"/>
  <c r="O22" i="35" s="1"/>
  <c r="N21" i="35"/>
  <c r="M21" i="35"/>
  <c r="L21" i="35"/>
  <c r="K21" i="35"/>
  <c r="J21" i="35"/>
  <c r="I21" i="35"/>
  <c r="H21" i="35"/>
  <c r="G21" i="35"/>
  <c r="F21" i="35"/>
  <c r="E21" i="35"/>
  <c r="D21" i="35"/>
  <c r="C21" i="35"/>
  <c r="O21" i="35" s="1"/>
  <c r="N20" i="35"/>
  <c r="M20" i="35"/>
  <c r="L20" i="35"/>
  <c r="K20" i="35"/>
  <c r="J20" i="35"/>
  <c r="I20" i="35"/>
  <c r="H20" i="35"/>
  <c r="G20" i="35"/>
  <c r="F20" i="35"/>
  <c r="E20" i="35"/>
  <c r="D20" i="35"/>
  <c r="C20" i="35"/>
  <c r="O20" i="35" s="1"/>
  <c r="O19" i="35"/>
  <c r="N19" i="35"/>
  <c r="M19" i="35"/>
  <c r="L19" i="35"/>
  <c r="K19" i="35"/>
  <c r="J19" i="35"/>
  <c r="I19" i="35"/>
  <c r="H19" i="35"/>
  <c r="G19" i="35"/>
  <c r="F19" i="35"/>
  <c r="E19" i="35"/>
  <c r="D19" i="35"/>
  <c r="C19" i="35"/>
  <c r="O18" i="35"/>
  <c r="N18" i="35"/>
  <c r="M18" i="35"/>
  <c r="L18" i="35"/>
  <c r="K18" i="35"/>
  <c r="J18" i="35"/>
  <c r="I18" i="35"/>
  <c r="H18" i="35"/>
  <c r="G18" i="35"/>
  <c r="F18" i="35"/>
  <c r="E18" i="35"/>
  <c r="D18" i="35"/>
  <c r="C18" i="35"/>
  <c r="N17" i="35"/>
  <c r="M17" i="35"/>
  <c r="L17" i="35"/>
  <c r="K17" i="35"/>
  <c r="J17" i="35"/>
  <c r="I17" i="35"/>
  <c r="H17" i="35"/>
  <c r="G17" i="35"/>
  <c r="F17" i="35"/>
  <c r="E17" i="35"/>
  <c r="D17" i="35"/>
  <c r="C17" i="35"/>
  <c r="O17" i="35" s="1"/>
  <c r="O16" i="35"/>
  <c r="N16" i="35"/>
  <c r="M16" i="35"/>
  <c r="L16" i="35"/>
  <c r="K16" i="35"/>
  <c r="J16" i="35"/>
  <c r="I16" i="35"/>
  <c r="H16" i="35"/>
  <c r="G16" i="35"/>
  <c r="F16" i="35"/>
  <c r="E16" i="35"/>
  <c r="D16" i="35"/>
  <c r="C16" i="35"/>
  <c r="N15" i="35"/>
  <c r="M15" i="35"/>
  <c r="L15" i="35"/>
  <c r="K15" i="35"/>
  <c r="J15" i="35"/>
  <c r="I15" i="35"/>
  <c r="H15" i="35"/>
  <c r="G15" i="35"/>
  <c r="F15" i="35"/>
  <c r="E15" i="35"/>
  <c r="D15" i="35"/>
  <c r="C15" i="35"/>
  <c r="O15" i="35" s="1"/>
  <c r="N14" i="35"/>
  <c r="M14" i="35"/>
  <c r="L14" i="35"/>
  <c r="K14" i="35"/>
  <c r="J14" i="35"/>
  <c r="I14" i="35"/>
  <c r="H14" i="35"/>
  <c r="G14" i="35"/>
  <c r="F14" i="35"/>
  <c r="E14" i="35"/>
  <c r="D14" i="35"/>
  <c r="C14" i="35"/>
  <c r="O14" i="35" s="1"/>
  <c r="O13" i="35"/>
  <c r="N13" i="35"/>
  <c r="M13" i="35"/>
  <c r="L13" i="35"/>
  <c r="K13" i="35"/>
  <c r="J13" i="35"/>
  <c r="I13" i="35"/>
  <c r="H13" i="35"/>
  <c r="G13" i="35"/>
  <c r="F13" i="35"/>
  <c r="E13" i="35"/>
  <c r="D13" i="35"/>
  <c r="C13" i="35"/>
  <c r="N12" i="35"/>
  <c r="M12" i="35"/>
  <c r="L12" i="35"/>
  <c r="K12" i="35"/>
  <c r="J12" i="35"/>
  <c r="I12" i="35"/>
  <c r="H12" i="35"/>
  <c r="G12" i="35"/>
  <c r="F12" i="35"/>
  <c r="E12" i="35"/>
  <c r="D12" i="35"/>
  <c r="C12" i="35"/>
  <c r="O12" i="35" s="1"/>
  <c r="O11" i="35"/>
  <c r="O23" i="35" s="1"/>
  <c r="N11" i="35"/>
  <c r="N23" i="35" s="1"/>
  <c r="M11" i="35"/>
  <c r="M23" i="35" s="1"/>
  <c r="L11" i="35"/>
  <c r="K11" i="35"/>
  <c r="J11" i="35"/>
  <c r="I11" i="35"/>
  <c r="H11" i="35"/>
  <c r="H23" i="35" s="1"/>
  <c r="G11" i="35"/>
  <c r="G23" i="35" s="1"/>
  <c r="F11" i="35"/>
  <c r="E11" i="35"/>
  <c r="E23" i="35" s="1"/>
  <c r="D11" i="35"/>
  <c r="C11" i="35"/>
  <c r="C23" i="35" s="1"/>
  <c r="N32" i="34"/>
  <c r="M32" i="34"/>
  <c r="L32" i="34"/>
  <c r="K32" i="34"/>
  <c r="J32" i="34"/>
  <c r="I32" i="34"/>
  <c r="H32" i="34"/>
  <c r="G32" i="34"/>
  <c r="F32" i="34"/>
  <c r="E32" i="34"/>
  <c r="D32" i="34"/>
  <c r="C32" i="34"/>
  <c r="N31" i="34"/>
  <c r="M31" i="34"/>
  <c r="L31" i="34"/>
  <c r="K31" i="34"/>
  <c r="J31" i="34"/>
  <c r="I31" i="34"/>
  <c r="H31" i="34"/>
  <c r="G31" i="34"/>
  <c r="F31" i="34"/>
  <c r="E31" i="34"/>
  <c r="D31" i="34"/>
  <c r="C31" i="34"/>
  <c r="N30" i="34"/>
  <c r="M30" i="34"/>
  <c r="L30" i="34"/>
  <c r="K30" i="34"/>
  <c r="J30" i="34"/>
  <c r="I30" i="34"/>
  <c r="H30" i="34"/>
  <c r="G30" i="34"/>
  <c r="F30" i="34"/>
  <c r="E30" i="34"/>
  <c r="D30" i="34"/>
  <c r="C30" i="34"/>
  <c r="N29" i="34"/>
  <c r="M29" i="34"/>
  <c r="L29" i="34"/>
  <c r="K29" i="34"/>
  <c r="J29" i="34"/>
  <c r="I29" i="34"/>
  <c r="H29" i="34"/>
  <c r="G29" i="34"/>
  <c r="F29" i="34"/>
  <c r="E29" i="34"/>
  <c r="D29" i="34"/>
  <c r="C29" i="34"/>
  <c r="N28" i="34"/>
  <c r="M28" i="34"/>
  <c r="L28" i="34"/>
  <c r="K28" i="34"/>
  <c r="J28" i="34"/>
  <c r="I28" i="34"/>
  <c r="H28" i="34"/>
  <c r="G28" i="34"/>
  <c r="F28" i="34"/>
  <c r="E28" i="34"/>
  <c r="D28" i="34"/>
  <c r="C28" i="34"/>
  <c r="N27" i="34"/>
  <c r="M27" i="34"/>
  <c r="L27" i="34"/>
  <c r="K27" i="34"/>
  <c r="J27" i="34"/>
  <c r="I27" i="34"/>
  <c r="H27" i="34"/>
  <c r="G27" i="34"/>
  <c r="F27" i="34"/>
  <c r="E27" i="34"/>
  <c r="D27" i="34"/>
  <c r="C27" i="34"/>
  <c r="N23" i="34"/>
  <c r="M23" i="34"/>
  <c r="L23" i="34"/>
  <c r="K23" i="34"/>
  <c r="F23" i="34"/>
  <c r="E23" i="34"/>
  <c r="D23" i="34"/>
  <c r="C23" i="34"/>
  <c r="N22" i="34"/>
  <c r="M22" i="34"/>
  <c r="L22" i="34"/>
  <c r="K22" i="34"/>
  <c r="J22" i="34"/>
  <c r="I22" i="34"/>
  <c r="H22" i="34"/>
  <c r="G22" i="34"/>
  <c r="F22" i="34"/>
  <c r="E22" i="34"/>
  <c r="D22" i="34"/>
  <c r="C22" i="34"/>
  <c r="O22" i="34" s="1"/>
  <c r="O21" i="34"/>
  <c r="N21" i="34"/>
  <c r="M21" i="34"/>
  <c r="L21" i="34"/>
  <c r="K21" i="34"/>
  <c r="J21" i="34"/>
  <c r="I21" i="34"/>
  <c r="H21" i="34"/>
  <c r="G21" i="34"/>
  <c r="F21" i="34"/>
  <c r="E21" i="34"/>
  <c r="D21" i="34"/>
  <c r="C21" i="34"/>
  <c r="N20" i="34"/>
  <c r="M20" i="34"/>
  <c r="L20" i="34"/>
  <c r="K20" i="34"/>
  <c r="J20" i="34"/>
  <c r="I20" i="34"/>
  <c r="H20" i="34"/>
  <c r="G20" i="34"/>
  <c r="F20" i="34"/>
  <c r="E20" i="34"/>
  <c r="D20" i="34"/>
  <c r="C20" i="34"/>
  <c r="O20" i="34" s="1"/>
  <c r="O19" i="34"/>
  <c r="N19" i="34"/>
  <c r="M19" i="34"/>
  <c r="L19" i="34"/>
  <c r="K19" i="34"/>
  <c r="J19" i="34"/>
  <c r="I19" i="34"/>
  <c r="H19" i="34"/>
  <c r="G19" i="34"/>
  <c r="F19" i="34"/>
  <c r="E19" i="34"/>
  <c r="D19" i="34"/>
  <c r="C19" i="34"/>
  <c r="O18" i="34"/>
  <c r="N18" i="34"/>
  <c r="M18" i="34"/>
  <c r="L18" i="34"/>
  <c r="K18" i="34"/>
  <c r="J18" i="34"/>
  <c r="I18" i="34"/>
  <c r="H18" i="34"/>
  <c r="G18" i="34"/>
  <c r="F18" i="34"/>
  <c r="E18" i="34"/>
  <c r="D18" i="34"/>
  <c r="C18" i="34"/>
  <c r="N17" i="34"/>
  <c r="M17" i="34"/>
  <c r="L17" i="34"/>
  <c r="K17" i="34"/>
  <c r="J17" i="34"/>
  <c r="I17" i="34"/>
  <c r="H17" i="34"/>
  <c r="G17" i="34"/>
  <c r="F17" i="34"/>
  <c r="E17" i="34"/>
  <c r="D17" i="34"/>
  <c r="C17" i="34"/>
  <c r="O17" i="34" s="1"/>
  <c r="O16" i="34"/>
  <c r="N16" i="34"/>
  <c r="M16" i="34"/>
  <c r="L16" i="34"/>
  <c r="K16" i="34"/>
  <c r="J16" i="34"/>
  <c r="I16" i="34"/>
  <c r="H16" i="34"/>
  <c r="G16" i="34"/>
  <c r="F16" i="34"/>
  <c r="E16" i="34"/>
  <c r="D16" i="34"/>
  <c r="C16" i="34"/>
  <c r="N15" i="34"/>
  <c r="M15" i="34"/>
  <c r="L15" i="34"/>
  <c r="K15" i="34"/>
  <c r="J15" i="34"/>
  <c r="I15" i="34"/>
  <c r="H15" i="34"/>
  <c r="G15" i="34"/>
  <c r="F15" i="34"/>
  <c r="E15" i="34"/>
  <c r="D15" i="34"/>
  <c r="C15" i="34"/>
  <c r="O15" i="34" s="1"/>
  <c r="O14" i="34"/>
  <c r="N14" i="34"/>
  <c r="M14" i="34"/>
  <c r="L14" i="34"/>
  <c r="K14" i="34"/>
  <c r="J14" i="34"/>
  <c r="I14" i="34"/>
  <c r="H14" i="34"/>
  <c r="G14" i="34"/>
  <c r="F14" i="34"/>
  <c r="E14" i="34"/>
  <c r="D14" i="34"/>
  <c r="C14" i="34"/>
  <c r="O13" i="34"/>
  <c r="N13" i="34"/>
  <c r="M13" i="34"/>
  <c r="L13" i="34"/>
  <c r="K13" i="34"/>
  <c r="J13" i="34"/>
  <c r="I13" i="34"/>
  <c r="H13" i="34"/>
  <c r="G13" i="34"/>
  <c r="F13" i="34"/>
  <c r="E13" i="34"/>
  <c r="D13" i="34"/>
  <c r="C13" i="34"/>
  <c r="N12" i="34"/>
  <c r="M12" i="34"/>
  <c r="L12" i="34"/>
  <c r="K12" i="34"/>
  <c r="J12" i="34"/>
  <c r="I12" i="34"/>
  <c r="H12" i="34"/>
  <c r="G12" i="34"/>
  <c r="F12" i="34"/>
  <c r="E12" i="34"/>
  <c r="D12" i="34"/>
  <c r="C12" i="34"/>
  <c r="O12" i="34" s="1"/>
  <c r="O11" i="34"/>
  <c r="O23" i="34" s="1"/>
  <c r="N11" i="34"/>
  <c r="M11" i="34"/>
  <c r="L11" i="34"/>
  <c r="K11" i="34"/>
  <c r="J11" i="34"/>
  <c r="J23" i="34" s="1"/>
  <c r="I11" i="34"/>
  <c r="I23" i="34" s="1"/>
  <c r="H11" i="34"/>
  <c r="H23" i="34" s="1"/>
  <c r="G11" i="34"/>
  <c r="G23" i="34" s="1"/>
  <c r="F11" i="34"/>
  <c r="E11" i="34"/>
  <c r="D11" i="34"/>
  <c r="C11" i="34"/>
  <c r="N32" i="33"/>
  <c r="M32" i="33"/>
  <c r="L32" i="33"/>
  <c r="K32" i="33"/>
  <c r="J32" i="33"/>
  <c r="I32" i="33"/>
  <c r="H32" i="33"/>
  <c r="G32" i="33"/>
  <c r="F32" i="33"/>
  <c r="E32" i="33"/>
  <c r="D32" i="33"/>
  <c r="C32" i="33"/>
  <c r="N31" i="33"/>
  <c r="M31" i="33"/>
  <c r="L31" i="33"/>
  <c r="K31" i="33"/>
  <c r="J31" i="33"/>
  <c r="I31" i="33"/>
  <c r="H31" i="33"/>
  <c r="G31" i="33"/>
  <c r="F31" i="33"/>
  <c r="E31" i="33"/>
  <c r="D31" i="33"/>
  <c r="C31" i="33"/>
  <c r="N30" i="33"/>
  <c r="M30" i="33"/>
  <c r="L30" i="33"/>
  <c r="K30" i="33"/>
  <c r="J30" i="33"/>
  <c r="I30" i="33"/>
  <c r="H30" i="33"/>
  <c r="G30" i="33"/>
  <c r="F30" i="33"/>
  <c r="E30" i="33"/>
  <c r="D30" i="33"/>
  <c r="C30" i="33"/>
  <c r="N29" i="33"/>
  <c r="M29" i="33"/>
  <c r="L29" i="33"/>
  <c r="K29" i="33"/>
  <c r="J29" i="33"/>
  <c r="I29" i="33"/>
  <c r="H29" i="33"/>
  <c r="G29" i="33"/>
  <c r="F29" i="33"/>
  <c r="E29" i="33"/>
  <c r="D29" i="33"/>
  <c r="C29" i="33"/>
  <c r="N28" i="33"/>
  <c r="M28" i="33"/>
  <c r="L28" i="33"/>
  <c r="K28" i="33"/>
  <c r="J28" i="33"/>
  <c r="I28" i="33"/>
  <c r="H28" i="33"/>
  <c r="G28" i="33"/>
  <c r="F28" i="33"/>
  <c r="E28" i="33"/>
  <c r="D28" i="33"/>
  <c r="C28" i="33"/>
  <c r="N27" i="33"/>
  <c r="M27" i="33"/>
  <c r="L27" i="33"/>
  <c r="K27" i="33"/>
  <c r="J27" i="33"/>
  <c r="I27" i="33"/>
  <c r="H27" i="33"/>
  <c r="G27" i="33"/>
  <c r="F27" i="33"/>
  <c r="E27" i="33"/>
  <c r="D27" i="33"/>
  <c r="C27" i="33"/>
  <c r="N23" i="33"/>
  <c r="L23" i="33"/>
  <c r="K23" i="33"/>
  <c r="I23" i="33"/>
  <c r="F23" i="33"/>
  <c r="D23" i="33"/>
  <c r="C23" i="33"/>
  <c r="N22" i="33"/>
  <c r="M22" i="33"/>
  <c r="L22" i="33"/>
  <c r="K22" i="33"/>
  <c r="J22" i="33"/>
  <c r="I22" i="33"/>
  <c r="H22" i="33"/>
  <c r="G22" i="33"/>
  <c r="F22" i="33"/>
  <c r="E22" i="33"/>
  <c r="D22" i="33"/>
  <c r="C22" i="33"/>
  <c r="O22" i="33" s="1"/>
  <c r="N21" i="33"/>
  <c r="M21" i="33"/>
  <c r="L21" i="33"/>
  <c r="K21" i="33"/>
  <c r="J21" i="33"/>
  <c r="I21" i="33"/>
  <c r="H21" i="33"/>
  <c r="G21" i="33"/>
  <c r="F21" i="33"/>
  <c r="E21" i="33"/>
  <c r="D21" i="33"/>
  <c r="C21" i="33"/>
  <c r="O21" i="33" s="1"/>
  <c r="N20" i="33"/>
  <c r="M20" i="33"/>
  <c r="L20" i="33"/>
  <c r="K20" i="33"/>
  <c r="J20" i="33"/>
  <c r="I20" i="33"/>
  <c r="H20" i="33"/>
  <c r="G20" i="33"/>
  <c r="F20" i="33"/>
  <c r="E20" i="33"/>
  <c r="D20" i="33"/>
  <c r="C20" i="33"/>
  <c r="O20" i="33" s="1"/>
  <c r="O19" i="33"/>
  <c r="N19" i="33"/>
  <c r="M19" i="33"/>
  <c r="L19" i="33"/>
  <c r="K19" i="33"/>
  <c r="J19" i="33"/>
  <c r="I19" i="33"/>
  <c r="H19" i="33"/>
  <c r="G19" i="33"/>
  <c r="F19" i="33"/>
  <c r="E19" i="33"/>
  <c r="D19" i="33"/>
  <c r="C19" i="33"/>
  <c r="O18" i="33"/>
  <c r="N18" i="33"/>
  <c r="M18" i="33"/>
  <c r="L18" i="33"/>
  <c r="K18" i="33"/>
  <c r="J18" i="33"/>
  <c r="I18" i="33"/>
  <c r="H18" i="33"/>
  <c r="G18" i="33"/>
  <c r="F18" i="33"/>
  <c r="E18" i="33"/>
  <c r="D18" i="33"/>
  <c r="C18" i="33"/>
  <c r="O17" i="33"/>
  <c r="N17" i="33"/>
  <c r="M17" i="33"/>
  <c r="L17" i="33"/>
  <c r="K17" i="33"/>
  <c r="J17" i="33"/>
  <c r="I17" i="33"/>
  <c r="H17" i="33"/>
  <c r="G17" i="33"/>
  <c r="F17" i="33"/>
  <c r="E17" i="33"/>
  <c r="D17" i="33"/>
  <c r="C17" i="33"/>
  <c r="O16" i="33"/>
  <c r="N16" i="33"/>
  <c r="M16" i="33"/>
  <c r="L16" i="33"/>
  <c r="K16" i="33"/>
  <c r="J16" i="33"/>
  <c r="I16" i="33"/>
  <c r="H16" i="33"/>
  <c r="G16" i="33"/>
  <c r="F16" i="33"/>
  <c r="E16" i="33"/>
  <c r="D16" i="33"/>
  <c r="C16" i="33"/>
  <c r="N15" i="33"/>
  <c r="M15" i="33"/>
  <c r="L15" i="33"/>
  <c r="K15" i="33"/>
  <c r="J15" i="33"/>
  <c r="I15" i="33"/>
  <c r="H15" i="33"/>
  <c r="G15" i="33"/>
  <c r="F15" i="33"/>
  <c r="E15" i="33"/>
  <c r="D15" i="33"/>
  <c r="C15" i="33"/>
  <c r="O15" i="33" s="1"/>
  <c r="N14" i="33"/>
  <c r="M14" i="33"/>
  <c r="L14" i="33"/>
  <c r="K14" i="33"/>
  <c r="J14" i="33"/>
  <c r="I14" i="33"/>
  <c r="H14" i="33"/>
  <c r="G14" i="33"/>
  <c r="F14" i="33"/>
  <c r="E14" i="33"/>
  <c r="D14" i="33"/>
  <c r="C14" i="33"/>
  <c r="O14" i="33" s="1"/>
  <c r="N13" i="33"/>
  <c r="M13" i="33"/>
  <c r="L13" i="33"/>
  <c r="K13" i="33"/>
  <c r="J13" i="33"/>
  <c r="I13" i="33"/>
  <c r="H13" i="33"/>
  <c r="G13" i="33"/>
  <c r="F13" i="33"/>
  <c r="E13" i="33"/>
  <c r="D13" i="33"/>
  <c r="C13" i="33"/>
  <c r="O13" i="33" s="1"/>
  <c r="O12" i="33"/>
  <c r="N12" i="33"/>
  <c r="M12" i="33"/>
  <c r="L12" i="33"/>
  <c r="K12" i="33"/>
  <c r="J12" i="33"/>
  <c r="I12" i="33"/>
  <c r="H12" i="33"/>
  <c r="G12" i="33"/>
  <c r="F12" i="33"/>
  <c r="E12" i="33"/>
  <c r="D12" i="33"/>
  <c r="C12" i="33"/>
  <c r="O11" i="33"/>
  <c r="O23" i="33" s="1"/>
  <c r="N11" i="33"/>
  <c r="M11" i="33"/>
  <c r="M23" i="33" s="1"/>
  <c r="L11" i="33"/>
  <c r="K11" i="33"/>
  <c r="J11" i="33"/>
  <c r="J23" i="33" s="1"/>
  <c r="I11" i="33"/>
  <c r="H11" i="33"/>
  <c r="H23" i="33" s="1"/>
  <c r="G11" i="33"/>
  <c r="G23" i="33" s="1"/>
  <c r="F11" i="33"/>
  <c r="E11" i="33"/>
  <c r="E23" i="33" s="1"/>
  <c r="D11" i="33"/>
  <c r="C11" i="33"/>
  <c r="N32" i="32"/>
  <c r="M32" i="32"/>
  <c r="L32" i="32"/>
  <c r="K32" i="32"/>
  <c r="J32" i="32"/>
  <c r="I32" i="32"/>
  <c r="H32" i="32"/>
  <c r="G32" i="32"/>
  <c r="F32" i="32"/>
  <c r="E32" i="32"/>
  <c r="D32" i="32"/>
  <c r="C32" i="32"/>
  <c r="N31" i="32"/>
  <c r="M31" i="32"/>
  <c r="L31" i="32"/>
  <c r="K31" i="32"/>
  <c r="J31" i="32"/>
  <c r="I31" i="32"/>
  <c r="H31" i="32"/>
  <c r="G31" i="32"/>
  <c r="F31" i="32"/>
  <c r="E31" i="32"/>
  <c r="D31" i="32"/>
  <c r="C31" i="32"/>
  <c r="N30" i="32"/>
  <c r="M30" i="32"/>
  <c r="L30" i="32"/>
  <c r="K30" i="32"/>
  <c r="J30" i="32"/>
  <c r="I30" i="32"/>
  <c r="H30" i="32"/>
  <c r="G30" i="32"/>
  <c r="F30" i="32"/>
  <c r="E30" i="32"/>
  <c r="D30" i="32"/>
  <c r="C30" i="32"/>
  <c r="N29" i="32"/>
  <c r="M29" i="32"/>
  <c r="L29" i="32"/>
  <c r="K29" i="32"/>
  <c r="J29" i="32"/>
  <c r="I29" i="32"/>
  <c r="H29" i="32"/>
  <c r="G29" i="32"/>
  <c r="F29" i="32"/>
  <c r="E29" i="32"/>
  <c r="D29" i="32"/>
  <c r="C29" i="32"/>
  <c r="N28" i="32"/>
  <c r="M28" i="32"/>
  <c r="L28" i="32"/>
  <c r="K28" i="32"/>
  <c r="J28" i="32"/>
  <c r="I28" i="32"/>
  <c r="H28" i="32"/>
  <c r="G28" i="32"/>
  <c r="F28" i="32"/>
  <c r="E28" i="32"/>
  <c r="D28" i="32"/>
  <c r="C28" i="32"/>
  <c r="N27" i="32"/>
  <c r="M27" i="32"/>
  <c r="L27" i="32"/>
  <c r="K27" i="32"/>
  <c r="J27" i="32"/>
  <c r="I27" i="32"/>
  <c r="H27" i="32"/>
  <c r="G27" i="32"/>
  <c r="F27" i="32"/>
  <c r="E27" i="32"/>
  <c r="D27" i="32"/>
  <c r="C27" i="32"/>
  <c r="I23" i="32"/>
  <c r="H23" i="32"/>
  <c r="G23" i="32"/>
  <c r="F23" i="32"/>
  <c r="O22" i="32"/>
  <c r="N22" i="32"/>
  <c r="M22" i="32"/>
  <c r="L22" i="32"/>
  <c r="K22" i="32"/>
  <c r="J22" i="32"/>
  <c r="I22" i="32"/>
  <c r="H22" i="32"/>
  <c r="G22" i="32"/>
  <c r="F22" i="32"/>
  <c r="E22" i="32"/>
  <c r="D22" i="32"/>
  <c r="C22" i="32"/>
  <c r="N21" i="32"/>
  <c r="M21" i="32"/>
  <c r="L21" i="32"/>
  <c r="K21" i="32"/>
  <c r="J21" i="32"/>
  <c r="I21" i="32"/>
  <c r="H21" i="32"/>
  <c r="G21" i="32"/>
  <c r="F21" i="32"/>
  <c r="E21" i="32"/>
  <c r="D21" i="32"/>
  <c r="C21" i="32"/>
  <c r="O21" i="32" s="1"/>
  <c r="O20" i="32"/>
  <c r="N20" i="32"/>
  <c r="M20" i="32"/>
  <c r="L20" i="32"/>
  <c r="K20" i="32"/>
  <c r="J20" i="32"/>
  <c r="I20" i="32"/>
  <c r="H20" i="32"/>
  <c r="G20" i="32"/>
  <c r="F20" i="32"/>
  <c r="E20" i="32"/>
  <c r="D20" i="32"/>
  <c r="C20" i="32"/>
  <c r="N19" i="32"/>
  <c r="M19" i="32"/>
  <c r="L19" i="32"/>
  <c r="K19" i="32"/>
  <c r="J19" i="32"/>
  <c r="I19" i="32"/>
  <c r="H19" i="32"/>
  <c r="G19" i="32"/>
  <c r="F19" i="32"/>
  <c r="E19" i="32"/>
  <c r="D19" i="32"/>
  <c r="C19" i="32"/>
  <c r="O19" i="32" s="1"/>
  <c r="O18" i="32"/>
  <c r="N18" i="32"/>
  <c r="M18" i="32"/>
  <c r="L18" i="32"/>
  <c r="K18" i="32"/>
  <c r="J18" i="32"/>
  <c r="I18" i="32"/>
  <c r="H18" i="32"/>
  <c r="G18" i="32"/>
  <c r="F18" i="32"/>
  <c r="E18" i="32"/>
  <c r="D18" i="32"/>
  <c r="C18" i="32"/>
  <c r="O17" i="32"/>
  <c r="N17" i="32"/>
  <c r="M17" i="32"/>
  <c r="L17" i="32"/>
  <c r="K17" i="32"/>
  <c r="J17" i="32"/>
  <c r="I17" i="32"/>
  <c r="H17" i="32"/>
  <c r="G17" i="32"/>
  <c r="F17" i="32"/>
  <c r="E17" i="32"/>
  <c r="D17" i="32"/>
  <c r="C17" i="32"/>
  <c r="N16" i="32"/>
  <c r="M16" i="32"/>
  <c r="L16" i="32"/>
  <c r="K16" i="32"/>
  <c r="J16" i="32"/>
  <c r="I16" i="32"/>
  <c r="H16" i="32"/>
  <c r="G16" i="32"/>
  <c r="F16" i="32"/>
  <c r="E16" i="32"/>
  <c r="D16" i="32"/>
  <c r="C16" i="32"/>
  <c r="O16" i="32" s="1"/>
  <c r="O15" i="32"/>
  <c r="N15" i="32"/>
  <c r="M15" i="32"/>
  <c r="L15" i="32"/>
  <c r="K15" i="32"/>
  <c r="J15" i="32"/>
  <c r="I15" i="32"/>
  <c r="H15" i="32"/>
  <c r="G15" i="32"/>
  <c r="F15" i="32"/>
  <c r="E15" i="32"/>
  <c r="D15" i="32"/>
  <c r="C15" i="32"/>
  <c r="N14" i="32"/>
  <c r="M14" i="32"/>
  <c r="L14" i="32"/>
  <c r="K14" i="32"/>
  <c r="J14" i="32"/>
  <c r="I14" i="32"/>
  <c r="H14" i="32"/>
  <c r="G14" i="32"/>
  <c r="F14" i="32"/>
  <c r="E14" i="32"/>
  <c r="D14" i="32"/>
  <c r="C14" i="32"/>
  <c r="O14" i="32" s="1"/>
  <c r="N13" i="32"/>
  <c r="M13" i="32"/>
  <c r="L13" i="32"/>
  <c r="K13" i="32"/>
  <c r="J13" i="32"/>
  <c r="I13" i="32"/>
  <c r="H13" i="32"/>
  <c r="G13" i="32"/>
  <c r="F13" i="32"/>
  <c r="E13" i="32"/>
  <c r="D13" i="32"/>
  <c r="C13" i="32"/>
  <c r="O13" i="32" s="1"/>
  <c r="O12" i="32"/>
  <c r="N12" i="32"/>
  <c r="M12" i="32"/>
  <c r="L12" i="32"/>
  <c r="K12" i="32"/>
  <c r="J12" i="32"/>
  <c r="I12" i="32"/>
  <c r="H12" i="32"/>
  <c r="G12" i="32"/>
  <c r="F12" i="32"/>
  <c r="E12" i="32"/>
  <c r="D12" i="32"/>
  <c r="C12" i="32"/>
  <c r="N11" i="32"/>
  <c r="N23" i="32" s="1"/>
  <c r="M11" i="32"/>
  <c r="M23" i="32" s="1"/>
  <c r="L11" i="32"/>
  <c r="L23" i="32" s="1"/>
  <c r="K11" i="32"/>
  <c r="K23" i="32" s="1"/>
  <c r="J11" i="32"/>
  <c r="J23" i="32" s="1"/>
  <c r="I11" i="32"/>
  <c r="H11" i="32"/>
  <c r="G11" i="32"/>
  <c r="F11" i="32"/>
  <c r="E11" i="32"/>
  <c r="E23" i="32" s="1"/>
  <c r="D11" i="32"/>
  <c r="D23" i="32" s="1"/>
  <c r="C11" i="32"/>
  <c r="N32" i="31"/>
  <c r="M32" i="31"/>
  <c r="L32" i="31"/>
  <c r="K32" i="31"/>
  <c r="J32" i="31"/>
  <c r="I32" i="31"/>
  <c r="H32" i="31"/>
  <c r="G32" i="31"/>
  <c r="F32" i="31"/>
  <c r="E32" i="31"/>
  <c r="D32" i="31"/>
  <c r="C32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O23" i="31"/>
  <c r="N23" i="31"/>
  <c r="H23" i="31"/>
  <c r="G23" i="31"/>
  <c r="F23" i="31"/>
  <c r="E23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O22" i="31" s="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O19" i="31" s="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O17" i="31" s="1"/>
  <c r="N16" i="31"/>
  <c r="M16" i="31"/>
  <c r="L16" i="31"/>
  <c r="K16" i="31"/>
  <c r="J16" i="31"/>
  <c r="I16" i="31"/>
  <c r="H16" i="31"/>
  <c r="G16" i="31"/>
  <c r="F16" i="31"/>
  <c r="E16" i="31"/>
  <c r="D16" i="31"/>
  <c r="C16" i="31"/>
  <c r="O16" i="31" s="1"/>
  <c r="N15" i="31"/>
  <c r="M15" i="31"/>
  <c r="L15" i="31"/>
  <c r="K15" i="31"/>
  <c r="J15" i="31"/>
  <c r="I15" i="31"/>
  <c r="H15" i="31"/>
  <c r="G15" i="31"/>
  <c r="F15" i="31"/>
  <c r="E15" i="31"/>
  <c r="D15" i="31"/>
  <c r="C15" i="31"/>
  <c r="O15" i="31" s="1"/>
  <c r="N14" i="31"/>
  <c r="M14" i="31"/>
  <c r="L14" i="31"/>
  <c r="K14" i="31"/>
  <c r="J14" i="31"/>
  <c r="I14" i="31"/>
  <c r="H14" i="31"/>
  <c r="G14" i="31"/>
  <c r="F14" i="31"/>
  <c r="E14" i="31"/>
  <c r="D14" i="31"/>
  <c r="C14" i="31"/>
  <c r="O14" i="31" s="1"/>
  <c r="O13" i="31"/>
  <c r="N13" i="31"/>
  <c r="M13" i="31"/>
  <c r="L13" i="31"/>
  <c r="K13" i="31"/>
  <c r="J13" i="31"/>
  <c r="I13" i="31"/>
  <c r="H13" i="31"/>
  <c r="G13" i="31"/>
  <c r="F13" i="31"/>
  <c r="E13" i="31"/>
  <c r="D13" i="31"/>
  <c r="C13" i="31"/>
  <c r="O12" i="31"/>
  <c r="N12" i="31"/>
  <c r="M12" i="31"/>
  <c r="L12" i="31"/>
  <c r="K12" i="31"/>
  <c r="J12" i="31"/>
  <c r="I12" i="31"/>
  <c r="H12" i="31"/>
  <c r="G12" i="31"/>
  <c r="F12" i="31"/>
  <c r="E12" i="31"/>
  <c r="D12" i="31"/>
  <c r="C12" i="31"/>
  <c r="O11" i="31"/>
  <c r="N11" i="31"/>
  <c r="M11" i="31"/>
  <c r="M23" i="31" s="1"/>
  <c r="L11" i="31"/>
  <c r="L23" i="31" s="1"/>
  <c r="K11" i="31"/>
  <c r="K23" i="31" s="1"/>
  <c r="J11" i="31"/>
  <c r="J23" i="31" s="1"/>
  <c r="I11" i="31"/>
  <c r="I23" i="31" s="1"/>
  <c r="H11" i="31"/>
  <c r="G11" i="31"/>
  <c r="F11" i="31"/>
  <c r="E11" i="31"/>
  <c r="D11" i="31"/>
  <c r="D23" i="31" s="1"/>
  <c r="C11" i="31"/>
  <c r="C23" i="31" s="1"/>
  <c r="N25" i="30"/>
  <c r="M25" i="30"/>
  <c r="L25" i="30"/>
  <c r="K25" i="30"/>
  <c r="J25" i="30"/>
  <c r="I25" i="30"/>
  <c r="H25" i="30"/>
  <c r="G25" i="30"/>
  <c r="F25" i="30"/>
  <c r="E25" i="30"/>
  <c r="D25" i="30"/>
  <c r="C25" i="30"/>
  <c r="N24" i="30"/>
  <c r="M24" i="30"/>
  <c r="L24" i="30"/>
  <c r="K24" i="30"/>
  <c r="J24" i="30"/>
  <c r="I24" i="30"/>
  <c r="H24" i="30"/>
  <c r="G24" i="30"/>
  <c r="F24" i="30"/>
  <c r="E24" i="30"/>
  <c r="D24" i="30"/>
  <c r="C24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N16" i="30"/>
  <c r="L16" i="30"/>
  <c r="G16" i="30"/>
  <c r="F16" i="30"/>
  <c r="C16" i="30"/>
  <c r="O15" i="30"/>
  <c r="N15" i="30"/>
  <c r="M15" i="30"/>
  <c r="L15" i="30"/>
  <c r="K15" i="30"/>
  <c r="J15" i="30"/>
  <c r="I15" i="30"/>
  <c r="H15" i="30"/>
  <c r="G15" i="30"/>
  <c r="F15" i="30"/>
  <c r="E15" i="30"/>
  <c r="D15" i="30"/>
  <c r="C15" i="30"/>
  <c r="N14" i="30"/>
  <c r="M14" i="30"/>
  <c r="L14" i="30"/>
  <c r="K14" i="30"/>
  <c r="J14" i="30"/>
  <c r="I14" i="30"/>
  <c r="H14" i="30"/>
  <c r="G14" i="30"/>
  <c r="F14" i="30"/>
  <c r="E14" i="30"/>
  <c r="D14" i="30"/>
  <c r="C14" i="30"/>
  <c r="O14" i="30" s="1"/>
  <c r="N13" i="30"/>
  <c r="M13" i="30"/>
  <c r="L13" i="30"/>
  <c r="K13" i="30"/>
  <c r="J13" i="30"/>
  <c r="I13" i="30"/>
  <c r="H13" i="30"/>
  <c r="G13" i="30"/>
  <c r="F13" i="30"/>
  <c r="E13" i="30"/>
  <c r="D13" i="30"/>
  <c r="C13" i="30"/>
  <c r="O13" i="30" s="1"/>
  <c r="O12" i="30"/>
  <c r="N12" i="30"/>
  <c r="M12" i="30"/>
  <c r="L12" i="30"/>
  <c r="K12" i="30"/>
  <c r="J12" i="30"/>
  <c r="I12" i="30"/>
  <c r="H12" i="30"/>
  <c r="G12" i="30"/>
  <c r="F12" i="30"/>
  <c r="E12" i="30"/>
  <c r="D12" i="30"/>
  <c r="C12" i="30"/>
  <c r="N11" i="30"/>
  <c r="M11" i="30"/>
  <c r="M16" i="30" s="1"/>
  <c r="L11" i="30"/>
  <c r="K11" i="30"/>
  <c r="K16" i="30" s="1"/>
  <c r="J11" i="30"/>
  <c r="J16" i="30" s="1"/>
  <c r="I11" i="30"/>
  <c r="I16" i="30" s="1"/>
  <c r="H11" i="30"/>
  <c r="H16" i="30" s="1"/>
  <c r="G11" i="30"/>
  <c r="F11" i="30"/>
  <c r="E11" i="30"/>
  <c r="E16" i="30" s="1"/>
  <c r="D11" i="30"/>
  <c r="D16" i="30" s="1"/>
  <c r="C11" i="30"/>
  <c r="O11" i="30" s="1"/>
  <c r="O16" i="30" s="1"/>
  <c r="N26" i="29"/>
  <c r="M26" i="29"/>
  <c r="L26" i="29"/>
  <c r="K26" i="29"/>
  <c r="J26" i="29"/>
  <c r="I26" i="29"/>
  <c r="H26" i="29"/>
  <c r="G26" i="29"/>
  <c r="F26" i="29"/>
  <c r="E26" i="29"/>
  <c r="D26" i="29"/>
  <c r="C26" i="29"/>
  <c r="N25" i="29"/>
  <c r="M25" i="29"/>
  <c r="L25" i="29"/>
  <c r="K25" i="29"/>
  <c r="J25" i="29"/>
  <c r="I25" i="29"/>
  <c r="H25" i="29"/>
  <c r="G25" i="29"/>
  <c r="F25" i="29"/>
  <c r="E25" i="29"/>
  <c r="D25" i="29"/>
  <c r="C25" i="29"/>
  <c r="N24" i="29"/>
  <c r="M24" i="29"/>
  <c r="L24" i="29"/>
  <c r="K24" i="29"/>
  <c r="J24" i="29"/>
  <c r="I24" i="29"/>
  <c r="H24" i="29"/>
  <c r="G24" i="29"/>
  <c r="F24" i="29"/>
  <c r="E24" i="29"/>
  <c r="D24" i="29"/>
  <c r="C24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I17" i="29"/>
  <c r="H17" i="29"/>
  <c r="G17" i="29"/>
  <c r="F17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O16" i="29" s="1"/>
  <c r="O15" i="29"/>
  <c r="N15" i="29"/>
  <c r="M15" i="29"/>
  <c r="L15" i="29"/>
  <c r="K15" i="29"/>
  <c r="J15" i="29"/>
  <c r="I15" i="29"/>
  <c r="H15" i="29"/>
  <c r="G15" i="29"/>
  <c r="F15" i="29"/>
  <c r="E15" i="29"/>
  <c r="D15" i="29"/>
  <c r="C15" i="29"/>
  <c r="O14" i="29"/>
  <c r="N14" i="29"/>
  <c r="M14" i="29"/>
  <c r="L14" i="29"/>
  <c r="K14" i="29"/>
  <c r="J14" i="29"/>
  <c r="I14" i="29"/>
  <c r="H14" i="29"/>
  <c r="G14" i="29"/>
  <c r="F14" i="29"/>
  <c r="E14" i="29"/>
  <c r="D14" i="29"/>
  <c r="C14" i="29"/>
  <c r="N13" i="29"/>
  <c r="M13" i="29"/>
  <c r="L13" i="29"/>
  <c r="K13" i="29"/>
  <c r="J13" i="29"/>
  <c r="I13" i="29"/>
  <c r="H13" i="29"/>
  <c r="G13" i="29"/>
  <c r="F13" i="29"/>
  <c r="E13" i="29"/>
  <c r="D13" i="29"/>
  <c r="C13" i="29"/>
  <c r="O13" i="29" s="1"/>
  <c r="O12" i="29"/>
  <c r="N12" i="29"/>
  <c r="M12" i="29"/>
  <c r="L12" i="29"/>
  <c r="K12" i="29"/>
  <c r="J12" i="29"/>
  <c r="I12" i="29"/>
  <c r="H12" i="29"/>
  <c r="G12" i="29"/>
  <c r="F12" i="29"/>
  <c r="E12" i="29"/>
  <c r="D12" i="29"/>
  <c r="C12" i="29"/>
  <c r="N11" i="29"/>
  <c r="N17" i="29" s="1"/>
  <c r="M11" i="29"/>
  <c r="M17" i="29" s="1"/>
  <c r="L11" i="29"/>
  <c r="L17" i="29" s="1"/>
  <c r="K11" i="29"/>
  <c r="K17" i="29" s="1"/>
  <c r="J11" i="29"/>
  <c r="J17" i="29" s="1"/>
  <c r="I11" i="29"/>
  <c r="H11" i="29"/>
  <c r="G11" i="29"/>
  <c r="F11" i="29"/>
  <c r="E11" i="29"/>
  <c r="E17" i="29" s="1"/>
  <c r="D11" i="29"/>
  <c r="D17" i="29" s="1"/>
  <c r="C11" i="29"/>
  <c r="N32" i="28"/>
  <c r="M32" i="28"/>
  <c r="L32" i="28"/>
  <c r="K32" i="28"/>
  <c r="J32" i="28"/>
  <c r="I32" i="28"/>
  <c r="H32" i="28"/>
  <c r="G32" i="28"/>
  <c r="F32" i="28"/>
  <c r="E32" i="28"/>
  <c r="D32" i="28"/>
  <c r="C32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M23" i="28"/>
  <c r="J23" i="28"/>
  <c r="I23" i="28"/>
  <c r="H23" i="28"/>
  <c r="G23" i="28"/>
  <c r="E23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O19" i="28" s="1"/>
  <c r="N18" i="28"/>
  <c r="M18" i="28"/>
  <c r="L18" i="28"/>
  <c r="K18" i="28"/>
  <c r="J18" i="28"/>
  <c r="I18" i="28"/>
  <c r="H18" i="28"/>
  <c r="G18" i="28"/>
  <c r="F18" i="28"/>
  <c r="E18" i="28"/>
  <c r="D18" i="28"/>
  <c r="C18" i="28"/>
  <c r="O18" i="28" s="1"/>
  <c r="N17" i="28"/>
  <c r="M17" i="28"/>
  <c r="L17" i="28"/>
  <c r="K17" i="28"/>
  <c r="J17" i="28"/>
  <c r="I17" i="28"/>
  <c r="H17" i="28"/>
  <c r="G17" i="28"/>
  <c r="F17" i="28"/>
  <c r="E17" i="28"/>
  <c r="D17" i="28"/>
  <c r="C17" i="28"/>
  <c r="O17" i="28" s="1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O15" i="28"/>
  <c r="N15" i="28"/>
  <c r="M15" i="28"/>
  <c r="L15" i="28"/>
  <c r="K15" i="28"/>
  <c r="J15" i="28"/>
  <c r="I15" i="28"/>
  <c r="H15" i="28"/>
  <c r="G15" i="28"/>
  <c r="F15" i="28"/>
  <c r="E15" i="28"/>
  <c r="D15" i="28"/>
  <c r="C15" i="28"/>
  <c r="O14" i="28"/>
  <c r="N14" i="28"/>
  <c r="M14" i="28"/>
  <c r="L14" i="28"/>
  <c r="K14" i="28"/>
  <c r="J14" i="28"/>
  <c r="I14" i="28"/>
  <c r="H14" i="28"/>
  <c r="G14" i="28"/>
  <c r="F14" i="28"/>
  <c r="E14" i="28"/>
  <c r="D14" i="28"/>
  <c r="C14" i="28"/>
  <c r="O13" i="28"/>
  <c r="N13" i="28"/>
  <c r="M13" i="28"/>
  <c r="L13" i="28"/>
  <c r="K13" i="28"/>
  <c r="J13" i="28"/>
  <c r="I13" i="28"/>
  <c r="H13" i="28"/>
  <c r="G13" i="28"/>
  <c r="F13" i="28"/>
  <c r="E13" i="28"/>
  <c r="D13" i="28"/>
  <c r="C13" i="28"/>
  <c r="N12" i="28"/>
  <c r="M12" i="28"/>
  <c r="L12" i="28"/>
  <c r="K12" i="28"/>
  <c r="J12" i="28"/>
  <c r="I12" i="28"/>
  <c r="H12" i="28"/>
  <c r="G12" i="28"/>
  <c r="F12" i="28"/>
  <c r="E12" i="28"/>
  <c r="D12" i="28"/>
  <c r="C12" i="28"/>
  <c r="O12" i="28" s="1"/>
  <c r="N11" i="28"/>
  <c r="N23" i="28" s="1"/>
  <c r="M11" i="28"/>
  <c r="L11" i="28"/>
  <c r="L23" i="28" s="1"/>
  <c r="K11" i="28"/>
  <c r="K23" i="28" s="1"/>
  <c r="J11" i="28"/>
  <c r="I11" i="28"/>
  <c r="H11" i="28"/>
  <c r="G11" i="28"/>
  <c r="F11" i="28"/>
  <c r="F23" i="28" s="1"/>
  <c r="E11" i="28"/>
  <c r="D11" i="28"/>
  <c r="D23" i="28" s="1"/>
  <c r="C11" i="28"/>
  <c r="N23" i="27"/>
  <c r="M23" i="27"/>
  <c r="L23" i="27"/>
  <c r="K23" i="27"/>
  <c r="J23" i="27"/>
  <c r="I23" i="27"/>
  <c r="H23" i="27"/>
  <c r="G23" i="27"/>
  <c r="F23" i="27"/>
  <c r="E23" i="27"/>
  <c r="D23" i="27"/>
  <c r="C23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H16" i="27"/>
  <c r="F16" i="27"/>
  <c r="D16" i="27"/>
  <c r="C16" i="27"/>
  <c r="N15" i="27"/>
  <c r="M15" i="27"/>
  <c r="L15" i="27"/>
  <c r="K15" i="27"/>
  <c r="J15" i="27"/>
  <c r="I15" i="27"/>
  <c r="H15" i="27"/>
  <c r="G15" i="27"/>
  <c r="F15" i="27"/>
  <c r="E15" i="27"/>
  <c r="D15" i="27"/>
  <c r="C15" i="27"/>
  <c r="O15" i="27" s="1"/>
  <c r="O14" i="27"/>
  <c r="N14" i="27"/>
  <c r="M14" i="27"/>
  <c r="L14" i="27"/>
  <c r="K14" i="27"/>
  <c r="J14" i="27"/>
  <c r="I14" i="27"/>
  <c r="H14" i="27"/>
  <c r="G14" i="27"/>
  <c r="F14" i="27"/>
  <c r="E14" i="27"/>
  <c r="D14" i="27"/>
  <c r="C14" i="27"/>
  <c r="N13" i="27"/>
  <c r="M13" i="27"/>
  <c r="L13" i="27"/>
  <c r="K13" i="27"/>
  <c r="J13" i="27"/>
  <c r="I13" i="27"/>
  <c r="H13" i="27"/>
  <c r="G13" i="27"/>
  <c r="F13" i="27"/>
  <c r="E13" i="27"/>
  <c r="D13" i="27"/>
  <c r="C13" i="27"/>
  <c r="O13" i="27" s="1"/>
  <c r="O12" i="27"/>
  <c r="N12" i="27"/>
  <c r="M12" i="27"/>
  <c r="L12" i="27"/>
  <c r="K12" i="27"/>
  <c r="J12" i="27"/>
  <c r="I12" i="27"/>
  <c r="H12" i="27"/>
  <c r="G12" i="27"/>
  <c r="F12" i="27"/>
  <c r="E12" i="27"/>
  <c r="D12" i="27"/>
  <c r="C12" i="27"/>
  <c r="O11" i="27"/>
  <c r="O16" i="27" s="1"/>
  <c r="N11" i="27"/>
  <c r="N16" i="27" s="1"/>
  <c r="M11" i="27"/>
  <c r="M16" i="27" s="1"/>
  <c r="L11" i="27"/>
  <c r="L16" i="27" s="1"/>
  <c r="K11" i="27"/>
  <c r="K16" i="27" s="1"/>
  <c r="J11" i="27"/>
  <c r="J16" i="27" s="1"/>
  <c r="I11" i="27"/>
  <c r="I16" i="27" s="1"/>
  <c r="H11" i="27"/>
  <c r="G11" i="27"/>
  <c r="G16" i="27" s="1"/>
  <c r="F11" i="27"/>
  <c r="E11" i="27"/>
  <c r="E16" i="27" s="1"/>
  <c r="D11" i="27"/>
  <c r="C11" i="27"/>
  <c r="N32" i="26"/>
  <c r="M32" i="26"/>
  <c r="L32" i="26"/>
  <c r="K32" i="26"/>
  <c r="J32" i="26"/>
  <c r="I32" i="26"/>
  <c r="H32" i="26"/>
  <c r="G32" i="26"/>
  <c r="F32" i="26"/>
  <c r="E32" i="26"/>
  <c r="D32" i="26"/>
  <c r="C32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K23" i="26"/>
  <c r="I23" i="26"/>
  <c r="H23" i="26"/>
  <c r="F23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O21" i="26" s="1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O19" i="26" s="1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O16" i="26" s="1"/>
  <c r="O15" i="26"/>
  <c r="N15" i="26"/>
  <c r="M15" i="26"/>
  <c r="L15" i="26"/>
  <c r="K15" i="26"/>
  <c r="J15" i="26"/>
  <c r="I15" i="26"/>
  <c r="H15" i="26"/>
  <c r="G15" i="26"/>
  <c r="F15" i="26"/>
  <c r="E15" i="26"/>
  <c r="D15" i="26"/>
  <c r="C15" i="26"/>
  <c r="N14" i="26"/>
  <c r="M14" i="26"/>
  <c r="L14" i="26"/>
  <c r="K14" i="26"/>
  <c r="J14" i="26"/>
  <c r="I14" i="26"/>
  <c r="H14" i="26"/>
  <c r="G14" i="26"/>
  <c r="F14" i="26"/>
  <c r="E14" i="26"/>
  <c r="D14" i="26"/>
  <c r="C14" i="26"/>
  <c r="O14" i="26" s="1"/>
  <c r="N13" i="26"/>
  <c r="M13" i="26"/>
  <c r="L13" i="26"/>
  <c r="K13" i="26"/>
  <c r="J13" i="26"/>
  <c r="I13" i="26"/>
  <c r="H13" i="26"/>
  <c r="G13" i="26"/>
  <c r="F13" i="26"/>
  <c r="E13" i="26"/>
  <c r="D13" i="26"/>
  <c r="C13" i="26"/>
  <c r="O13" i="26" s="1"/>
  <c r="O12" i="26"/>
  <c r="N12" i="26"/>
  <c r="M12" i="26"/>
  <c r="L12" i="26"/>
  <c r="K12" i="26"/>
  <c r="J12" i="26"/>
  <c r="I12" i="26"/>
  <c r="H12" i="26"/>
  <c r="G12" i="26"/>
  <c r="F12" i="26"/>
  <c r="E12" i="26"/>
  <c r="D12" i="26"/>
  <c r="C12" i="26"/>
  <c r="N11" i="26"/>
  <c r="N23" i="26" s="1"/>
  <c r="M11" i="26"/>
  <c r="M23" i="26" s="1"/>
  <c r="L11" i="26"/>
  <c r="L23" i="26" s="1"/>
  <c r="K11" i="26"/>
  <c r="J11" i="26"/>
  <c r="J23" i="26" s="1"/>
  <c r="I11" i="26"/>
  <c r="H11" i="26"/>
  <c r="G11" i="26"/>
  <c r="G23" i="26" s="1"/>
  <c r="F11" i="26"/>
  <c r="E11" i="26"/>
  <c r="E23" i="26" s="1"/>
  <c r="D11" i="26"/>
  <c r="D23" i="26" s="1"/>
  <c r="C11" i="26"/>
  <c r="O11" i="26" s="1"/>
  <c r="O23" i="26" s="1"/>
  <c r="N32" i="25"/>
  <c r="M32" i="25"/>
  <c r="L32" i="25"/>
  <c r="K32" i="25"/>
  <c r="J32" i="25"/>
  <c r="I32" i="25"/>
  <c r="H32" i="25"/>
  <c r="G32" i="25"/>
  <c r="F32" i="25"/>
  <c r="E32" i="25"/>
  <c r="D32" i="25"/>
  <c r="C32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O23" i="25"/>
  <c r="M23" i="25"/>
  <c r="L23" i="25"/>
  <c r="J23" i="25"/>
  <c r="G23" i="25"/>
  <c r="E23" i="25"/>
  <c r="D23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O20" i="25" s="1"/>
  <c r="N19" i="25"/>
  <c r="M19" i="25"/>
  <c r="L19" i="25"/>
  <c r="K19" i="25"/>
  <c r="J19" i="25"/>
  <c r="I19" i="25"/>
  <c r="H19" i="25"/>
  <c r="G19" i="25"/>
  <c r="F19" i="25"/>
  <c r="E19" i="25"/>
  <c r="D19" i="25"/>
  <c r="C19" i="25"/>
  <c r="O19" i="25" s="1"/>
  <c r="N18" i="25"/>
  <c r="M18" i="25"/>
  <c r="L18" i="25"/>
  <c r="K18" i="25"/>
  <c r="J18" i="25"/>
  <c r="I18" i="25"/>
  <c r="H18" i="25"/>
  <c r="G18" i="25"/>
  <c r="F18" i="25"/>
  <c r="E18" i="25"/>
  <c r="D18" i="25"/>
  <c r="C18" i="25"/>
  <c r="O18" i="25" s="1"/>
  <c r="N17" i="25"/>
  <c r="M17" i="25"/>
  <c r="L17" i="25"/>
  <c r="K17" i="25"/>
  <c r="J17" i="25"/>
  <c r="I17" i="25"/>
  <c r="H17" i="25"/>
  <c r="G17" i="25"/>
  <c r="F17" i="25"/>
  <c r="E17" i="25"/>
  <c r="D17" i="25"/>
  <c r="C17" i="25"/>
  <c r="O17" i="25" s="1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N15" i="25"/>
  <c r="M15" i="25"/>
  <c r="L15" i="25"/>
  <c r="K15" i="25"/>
  <c r="J15" i="25"/>
  <c r="I15" i="25"/>
  <c r="H15" i="25"/>
  <c r="G15" i="25"/>
  <c r="F15" i="25"/>
  <c r="E15" i="25"/>
  <c r="D15" i="25"/>
  <c r="C15" i="25"/>
  <c r="O15" i="25" s="1"/>
  <c r="O14" i="25"/>
  <c r="N14" i="25"/>
  <c r="M14" i="25"/>
  <c r="L14" i="25"/>
  <c r="K14" i="25"/>
  <c r="J14" i="25"/>
  <c r="I14" i="25"/>
  <c r="H14" i="25"/>
  <c r="G14" i="25"/>
  <c r="F14" i="25"/>
  <c r="E14" i="25"/>
  <c r="D14" i="25"/>
  <c r="C14" i="25"/>
  <c r="O13" i="25"/>
  <c r="N13" i="25"/>
  <c r="M13" i="25"/>
  <c r="L13" i="25"/>
  <c r="K13" i="25"/>
  <c r="J13" i="25"/>
  <c r="I13" i="25"/>
  <c r="H13" i="25"/>
  <c r="G13" i="25"/>
  <c r="F13" i="25"/>
  <c r="E13" i="25"/>
  <c r="D13" i="25"/>
  <c r="C13" i="25"/>
  <c r="N12" i="25"/>
  <c r="M12" i="25"/>
  <c r="L12" i="25"/>
  <c r="K12" i="25"/>
  <c r="J12" i="25"/>
  <c r="I12" i="25"/>
  <c r="H12" i="25"/>
  <c r="G12" i="25"/>
  <c r="F12" i="25"/>
  <c r="E12" i="25"/>
  <c r="D12" i="25"/>
  <c r="C12" i="25"/>
  <c r="O12" i="25" s="1"/>
  <c r="O11" i="25"/>
  <c r="N11" i="25"/>
  <c r="N23" i="25" s="1"/>
  <c r="M11" i="25"/>
  <c r="L11" i="25"/>
  <c r="K11" i="25"/>
  <c r="K23" i="25" s="1"/>
  <c r="J11" i="25"/>
  <c r="I11" i="25"/>
  <c r="I23" i="25" s="1"/>
  <c r="H11" i="25"/>
  <c r="H23" i="25" s="1"/>
  <c r="G11" i="25"/>
  <c r="F11" i="25"/>
  <c r="F23" i="25" s="1"/>
  <c r="E11" i="25"/>
  <c r="D11" i="25"/>
  <c r="C11" i="25"/>
  <c r="C23" i="25" s="1"/>
  <c r="N26" i="24"/>
  <c r="M26" i="24"/>
  <c r="L26" i="24"/>
  <c r="K26" i="24"/>
  <c r="J26" i="24"/>
  <c r="I26" i="24"/>
  <c r="H26" i="24"/>
  <c r="G26" i="24"/>
  <c r="F26" i="24"/>
  <c r="E26" i="24"/>
  <c r="D26" i="24"/>
  <c r="C26" i="24"/>
  <c r="N25" i="24"/>
  <c r="M25" i="24"/>
  <c r="L25" i="24"/>
  <c r="K25" i="24"/>
  <c r="J25" i="24"/>
  <c r="I25" i="24"/>
  <c r="H25" i="24"/>
  <c r="G25" i="24"/>
  <c r="F25" i="24"/>
  <c r="E25" i="24"/>
  <c r="D25" i="24"/>
  <c r="C25" i="24"/>
  <c r="N24" i="24"/>
  <c r="M24" i="24"/>
  <c r="L24" i="24"/>
  <c r="K24" i="24"/>
  <c r="J24" i="24"/>
  <c r="I24" i="24"/>
  <c r="H24" i="24"/>
  <c r="G24" i="24"/>
  <c r="F24" i="24"/>
  <c r="E24" i="24"/>
  <c r="D24" i="24"/>
  <c r="C24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N17" i="24"/>
  <c r="M17" i="24"/>
  <c r="L17" i="24"/>
  <c r="F17" i="24"/>
  <c r="E17" i="24"/>
  <c r="D17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O15" i="24"/>
  <c r="N15" i="24"/>
  <c r="M15" i="24"/>
  <c r="L15" i="24"/>
  <c r="K15" i="24"/>
  <c r="J15" i="24"/>
  <c r="I15" i="24"/>
  <c r="H15" i="24"/>
  <c r="G15" i="24"/>
  <c r="F15" i="24"/>
  <c r="E15" i="24"/>
  <c r="D15" i="24"/>
  <c r="C15" i="24"/>
  <c r="N14" i="24"/>
  <c r="M14" i="24"/>
  <c r="L14" i="24"/>
  <c r="K14" i="24"/>
  <c r="J14" i="24"/>
  <c r="I14" i="24"/>
  <c r="H14" i="24"/>
  <c r="G14" i="24"/>
  <c r="F14" i="24"/>
  <c r="E14" i="24"/>
  <c r="D14" i="24"/>
  <c r="C14" i="24"/>
  <c r="O14" i="24" s="1"/>
  <c r="O13" i="24"/>
  <c r="N13" i="24"/>
  <c r="M13" i="24"/>
  <c r="L13" i="24"/>
  <c r="K13" i="24"/>
  <c r="J13" i="24"/>
  <c r="I13" i="24"/>
  <c r="H13" i="24"/>
  <c r="G13" i="24"/>
  <c r="F13" i="24"/>
  <c r="E13" i="24"/>
  <c r="D13" i="24"/>
  <c r="C13" i="24"/>
  <c r="N12" i="24"/>
  <c r="M12" i="24"/>
  <c r="L12" i="24"/>
  <c r="K12" i="24"/>
  <c r="J12" i="24"/>
  <c r="I12" i="24"/>
  <c r="H12" i="24"/>
  <c r="G12" i="24"/>
  <c r="F12" i="24"/>
  <c r="E12" i="24"/>
  <c r="D12" i="24"/>
  <c r="C12" i="24"/>
  <c r="O12" i="24" s="1"/>
  <c r="N11" i="24"/>
  <c r="M11" i="24"/>
  <c r="L11" i="24"/>
  <c r="K11" i="24"/>
  <c r="K17" i="24" s="1"/>
  <c r="J11" i="24"/>
  <c r="J17" i="24" s="1"/>
  <c r="I11" i="24"/>
  <c r="I17" i="24" s="1"/>
  <c r="H11" i="24"/>
  <c r="H17" i="24" s="1"/>
  <c r="G11" i="24"/>
  <c r="G17" i="24" s="1"/>
  <c r="F11" i="24"/>
  <c r="E11" i="24"/>
  <c r="D11" i="24"/>
  <c r="C11" i="24"/>
  <c r="O11" i="24" s="1"/>
  <c r="O17" i="24" s="1"/>
  <c r="N25" i="23"/>
  <c r="M25" i="23"/>
  <c r="L25" i="23"/>
  <c r="K25" i="23"/>
  <c r="J25" i="23"/>
  <c r="I25" i="23"/>
  <c r="H25" i="23"/>
  <c r="G25" i="23"/>
  <c r="F25" i="23"/>
  <c r="E25" i="23"/>
  <c r="D25" i="23"/>
  <c r="C25" i="23"/>
  <c r="N24" i="23"/>
  <c r="M24" i="23"/>
  <c r="L24" i="23"/>
  <c r="K24" i="23"/>
  <c r="J24" i="23"/>
  <c r="I24" i="23"/>
  <c r="H24" i="23"/>
  <c r="G24" i="23"/>
  <c r="F24" i="23"/>
  <c r="E24" i="23"/>
  <c r="D24" i="23"/>
  <c r="C24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N18" i="23"/>
  <c r="M18" i="23"/>
  <c r="K18" i="23"/>
  <c r="F18" i="23"/>
  <c r="E18" i="23"/>
  <c r="D18" i="23"/>
  <c r="C18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O17" i="23" s="1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N15" i="23"/>
  <c r="M15" i="23"/>
  <c r="L15" i="23"/>
  <c r="K15" i="23"/>
  <c r="J15" i="23"/>
  <c r="I15" i="23"/>
  <c r="H15" i="23"/>
  <c r="G15" i="23"/>
  <c r="F15" i="23"/>
  <c r="E15" i="23"/>
  <c r="D15" i="23"/>
  <c r="C15" i="23"/>
  <c r="O15" i="23" s="1"/>
  <c r="O14" i="23"/>
  <c r="N14" i="23"/>
  <c r="M14" i="23"/>
  <c r="L14" i="23"/>
  <c r="K14" i="23"/>
  <c r="J14" i="23"/>
  <c r="I14" i="23"/>
  <c r="H14" i="23"/>
  <c r="G14" i="23"/>
  <c r="F14" i="23"/>
  <c r="E14" i="23"/>
  <c r="D14" i="23"/>
  <c r="C14" i="23"/>
  <c r="O13" i="23"/>
  <c r="N13" i="23"/>
  <c r="M13" i="23"/>
  <c r="L13" i="23"/>
  <c r="K13" i="23"/>
  <c r="J13" i="23"/>
  <c r="I13" i="23"/>
  <c r="H13" i="23"/>
  <c r="G13" i="23"/>
  <c r="F13" i="23"/>
  <c r="E13" i="23"/>
  <c r="D13" i="23"/>
  <c r="C13" i="23"/>
  <c r="N12" i="23"/>
  <c r="M12" i="23"/>
  <c r="L12" i="23"/>
  <c r="K12" i="23"/>
  <c r="J12" i="23"/>
  <c r="I12" i="23"/>
  <c r="H12" i="23"/>
  <c r="G12" i="23"/>
  <c r="F12" i="23"/>
  <c r="E12" i="23"/>
  <c r="D12" i="23"/>
  <c r="C12" i="23"/>
  <c r="O12" i="23" s="1"/>
  <c r="O11" i="23"/>
  <c r="O18" i="23" s="1"/>
  <c r="N11" i="23"/>
  <c r="M11" i="23"/>
  <c r="L11" i="23"/>
  <c r="L18" i="23" s="1"/>
  <c r="K11" i="23"/>
  <c r="J11" i="23"/>
  <c r="J18" i="23" s="1"/>
  <c r="I11" i="23"/>
  <c r="I18" i="23" s="1"/>
  <c r="H11" i="23"/>
  <c r="H18" i="23" s="1"/>
  <c r="G11" i="23"/>
  <c r="G18" i="23" s="1"/>
  <c r="F11" i="23"/>
  <c r="E11" i="23"/>
  <c r="D11" i="23"/>
  <c r="C11" i="23"/>
  <c r="N32" i="22"/>
  <c r="M32" i="22"/>
  <c r="L32" i="22"/>
  <c r="K32" i="22"/>
  <c r="J32" i="22"/>
  <c r="I32" i="22"/>
  <c r="H32" i="22"/>
  <c r="G32" i="22"/>
  <c r="F32" i="22"/>
  <c r="E32" i="22"/>
  <c r="D32" i="22"/>
  <c r="C32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N23" i="22"/>
  <c r="L23" i="22"/>
  <c r="K23" i="22"/>
  <c r="I23" i="22"/>
  <c r="F23" i="22"/>
  <c r="D23" i="22"/>
  <c r="C23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O22" i="22" s="1"/>
  <c r="N21" i="22"/>
  <c r="M21" i="22"/>
  <c r="L21" i="22"/>
  <c r="K21" i="22"/>
  <c r="J21" i="22"/>
  <c r="I21" i="22"/>
  <c r="H21" i="22"/>
  <c r="G21" i="22"/>
  <c r="F21" i="22"/>
  <c r="E21" i="22"/>
  <c r="D21" i="22"/>
  <c r="C21" i="22"/>
  <c r="O21" i="22" s="1"/>
  <c r="N20" i="22"/>
  <c r="M20" i="22"/>
  <c r="L20" i="22"/>
  <c r="K20" i="22"/>
  <c r="J20" i="22"/>
  <c r="I20" i="22"/>
  <c r="H20" i="22"/>
  <c r="G20" i="22"/>
  <c r="F20" i="22"/>
  <c r="E20" i="22"/>
  <c r="D20" i="22"/>
  <c r="C20" i="22"/>
  <c r="O20" i="22" s="1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N15" i="22"/>
  <c r="M15" i="22"/>
  <c r="L15" i="22"/>
  <c r="K15" i="22"/>
  <c r="J15" i="22"/>
  <c r="I15" i="22"/>
  <c r="H15" i="22"/>
  <c r="G15" i="22"/>
  <c r="F15" i="22"/>
  <c r="E15" i="22"/>
  <c r="D15" i="22"/>
  <c r="C15" i="22"/>
  <c r="O15" i="22" s="1"/>
  <c r="N14" i="22"/>
  <c r="M14" i="22"/>
  <c r="L14" i="22"/>
  <c r="K14" i="22"/>
  <c r="J14" i="22"/>
  <c r="I14" i="22"/>
  <c r="H14" i="22"/>
  <c r="G14" i="22"/>
  <c r="F14" i="22"/>
  <c r="E14" i="22"/>
  <c r="D14" i="22"/>
  <c r="C14" i="22"/>
  <c r="O14" i="22" s="1"/>
  <c r="N13" i="22"/>
  <c r="M13" i="22"/>
  <c r="L13" i="22"/>
  <c r="K13" i="22"/>
  <c r="J13" i="22"/>
  <c r="I13" i="22"/>
  <c r="H13" i="22"/>
  <c r="G13" i="22"/>
  <c r="F13" i="22"/>
  <c r="E13" i="22"/>
  <c r="D13" i="22"/>
  <c r="C13" i="22"/>
  <c r="O13" i="22" s="1"/>
  <c r="O12" i="22"/>
  <c r="N12" i="22"/>
  <c r="M12" i="22"/>
  <c r="L12" i="22"/>
  <c r="K12" i="22"/>
  <c r="J12" i="22"/>
  <c r="I12" i="22"/>
  <c r="H12" i="22"/>
  <c r="G12" i="22"/>
  <c r="F12" i="22"/>
  <c r="E12" i="22"/>
  <c r="D12" i="22"/>
  <c r="C12" i="22"/>
  <c r="O11" i="22"/>
  <c r="O23" i="22" s="1"/>
  <c r="N11" i="22"/>
  <c r="M11" i="22"/>
  <c r="M23" i="22" s="1"/>
  <c r="L11" i="22"/>
  <c r="K11" i="22"/>
  <c r="J11" i="22"/>
  <c r="J23" i="22" s="1"/>
  <c r="I11" i="22"/>
  <c r="H11" i="22"/>
  <c r="H23" i="22" s="1"/>
  <c r="G11" i="22"/>
  <c r="G23" i="22" s="1"/>
  <c r="F11" i="22"/>
  <c r="E11" i="22"/>
  <c r="E23" i="22" s="1"/>
  <c r="D11" i="22"/>
  <c r="C11" i="22"/>
  <c r="N32" i="21"/>
  <c r="M32" i="21"/>
  <c r="L32" i="21"/>
  <c r="K32" i="21"/>
  <c r="J32" i="21"/>
  <c r="I32" i="21"/>
  <c r="H32" i="21"/>
  <c r="G32" i="21"/>
  <c r="F32" i="21"/>
  <c r="E32" i="21"/>
  <c r="D32" i="21"/>
  <c r="C32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I23" i="21"/>
  <c r="H23" i="21"/>
  <c r="G23" i="21"/>
  <c r="F23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O21" i="21" s="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O19" i="21" s="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O16" i="21" s="1"/>
  <c r="O15" i="21"/>
  <c r="N15" i="21"/>
  <c r="M15" i="21"/>
  <c r="L15" i="21"/>
  <c r="K15" i="21"/>
  <c r="J15" i="21"/>
  <c r="I15" i="21"/>
  <c r="H15" i="21"/>
  <c r="G15" i="21"/>
  <c r="F15" i="21"/>
  <c r="E15" i="21"/>
  <c r="D15" i="21"/>
  <c r="C15" i="21"/>
  <c r="N14" i="21"/>
  <c r="M14" i="21"/>
  <c r="L14" i="21"/>
  <c r="K14" i="21"/>
  <c r="J14" i="21"/>
  <c r="I14" i="21"/>
  <c r="H14" i="21"/>
  <c r="G14" i="21"/>
  <c r="F14" i="21"/>
  <c r="E14" i="21"/>
  <c r="D14" i="21"/>
  <c r="C14" i="21"/>
  <c r="O14" i="21" s="1"/>
  <c r="N13" i="21"/>
  <c r="M13" i="21"/>
  <c r="L13" i="21"/>
  <c r="K13" i="21"/>
  <c r="J13" i="21"/>
  <c r="I13" i="21"/>
  <c r="H13" i="21"/>
  <c r="G13" i="21"/>
  <c r="F13" i="21"/>
  <c r="E13" i="21"/>
  <c r="D13" i="21"/>
  <c r="C13" i="21"/>
  <c r="O13" i="21" s="1"/>
  <c r="O12" i="21"/>
  <c r="N12" i="21"/>
  <c r="M12" i="21"/>
  <c r="L12" i="21"/>
  <c r="K12" i="21"/>
  <c r="J12" i="21"/>
  <c r="I12" i="21"/>
  <c r="H12" i="21"/>
  <c r="G12" i="21"/>
  <c r="F12" i="21"/>
  <c r="E12" i="21"/>
  <c r="D12" i="21"/>
  <c r="C12" i="21"/>
  <c r="N11" i="21"/>
  <c r="N23" i="21" s="1"/>
  <c r="M11" i="21"/>
  <c r="M23" i="21" s="1"/>
  <c r="L11" i="21"/>
  <c r="L23" i="21" s="1"/>
  <c r="K11" i="21"/>
  <c r="K23" i="21" s="1"/>
  <c r="J11" i="21"/>
  <c r="J23" i="21" s="1"/>
  <c r="I11" i="21"/>
  <c r="H11" i="21"/>
  <c r="G11" i="21"/>
  <c r="F11" i="21"/>
  <c r="E11" i="21"/>
  <c r="E23" i="21" s="1"/>
  <c r="D11" i="21"/>
  <c r="D23" i="21" s="1"/>
  <c r="C11" i="21"/>
  <c r="N32" i="20"/>
  <c r="M32" i="20"/>
  <c r="L32" i="20"/>
  <c r="K32" i="20"/>
  <c r="J32" i="20"/>
  <c r="I32" i="20"/>
  <c r="H32" i="20"/>
  <c r="G32" i="20"/>
  <c r="F32" i="20"/>
  <c r="E32" i="20"/>
  <c r="D32" i="20"/>
  <c r="C32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O23" i="20"/>
  <c r="H23" i="20"/>
  <c r="G23" i="20"/>
  <c r="F23" i="20"/>
  <c r="E23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O22" i="20" s="1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O19" i="20" s="1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O17" i="20" s="1"/>
  <c r="N16" i="20"/>
  <c r="M16" i="20"/>
  <c r="L16" i="20"/>
  <c r="K16" i="20"/>
  <c r="J16" i="20"/>
  <c r="I16" i="20"/>
  <c r="H16" i="20"/>
  <c r="G16" i="20"/>
  <c r="F16" i="20"/>
  <c r="E16" i="20"/>
  <c r="D16" i="20"/>
  <c r="C16" i="20"/>
  <c r="O16" i="20" s="1"/>
  <c r="N15" i="20"/>
  <c r="M15" i="20"/>
  <c r="L15" i="20"/>
  <c r="K15" i="20"/>
  <c r="J15" i="20"/>
  <c r="I15" i="20"/>
  <c r="H15" i="20"/>
  <c r="G15" i="20"/>
  <c r="F15" i="20"/>
  <c r="E15" i="20"/>
  <c r="D15" i="20"/>
  <c r="C15" i="20"/>
  <c r="O15" i="20" s="1"/>
  <c r="N14" i="20"/>
  <c r="M14" i="20"/>
  <c r="L14" i="20"/>
  <c r="K14" i="20"/>
  <c r="J14" i="20"/>
  <c r="I14" i="20"/>
  <c r="H14" i="20"/>
  <c r="G14" i="20"/>
  <c r="F14" i="20"/>
  <c r="E14" i="20"/>
  <c r="D14" i="20"/>
  <c r="C14" i="20"/>
  <c r="O14" i="20" s="1"/>
  <c r="O13" i="20"/>
  <c r="N13" i="20"/>
  <c r="M13" i="20"/>
  <c r="L13" i="20"/>
  <c r="K13" i="20"/>
  <c r="J13" i="20"/>
  <c r="I13" i="20"/>
  <c r="H13" i="20"/>
  <c r="G13" i="20"/>
  <c r="F13" i="20"/>
  <c r="E13" i="20"/>
  <c r="D13" i="20"/>
  <c r="C13" i="20"/>
  <c r="O12" i="20"/>
  <c r="N12" i="20"/>
  <c r="M12" i="20"/>
  <c r="L12" i="20"/>
  <c r="K12" i="20"/>
  <c r="J12" i="20"/>
  <c r="I12" i="20"/>
  <c r="H12" i="20"/>
  <c r="G12" i="20"/>
  <c r="F12" i="20"/>
  <c r="E12" i="20"/>
  <c r="D12" i="20"/>
  <c r="C12" i="20"/>
  <c r="N11" i="20"/>
  <c r="N23" i="20" s="1"/>
  <c r="M11" i="20"/>
  <c r="M23" i="20" s="1"/>
  <c r="L11" i="20"/>
  <c r="L23" i="20" s="1"/>
  <c r="K11" i="20"/>
  <c r="K23" i="20" s="1"/>
  <c r="J11" i="20"/>
  <c r="J23" i="20" s="1"/>
  <c r="I11" i="20"/>
  <c r="I23" i="20" s="1"/>
  <c r="H11" i="20"/>
  <c r="G11" i="20"/>
  <c r="F11" i="20"/>
  <c r="E11" i="20"/>
  <c r="D11" i="20"/>
  <c r="D23" i="20" s="1"/>
  <c r="C11" i="20"/>
  <c r="O11" i="20" s="1"/>
  <c r="N26" i="19"/>
  <c r="M26" i="19"/>
  <c r="L26" i="19"/>
  <c r="K26" i="19"/>
  <c r="J26" i="19"/>
  <c r="I26" i="19"/>
  <c r="H26" i="19"/>
  <c r="G26" i="19"/>
  <c r="F26" i="19"/>
  <c r="E26" i="19"/>
  <c r="D26" i="19"/>
  <c r="C26" i="19"/>
  <c r="N25" i="19"/>
  <c r="M25" i="19"/>
  <c r="L25" i="19"/>
  <c r="K25" i="19"/>
  <c r="J25" i="19"/>
  <c r="I25" i="19"/>
  <c r="H25" i="19"/>
  <c r="G25" i="19"/>
  <c r="F25" i="19"/>
  <c r="E25" i="19"/>
  <c r="D25" i="19"/>
  <c r="C25" i="19"/>
  <c r="N24" i="19"/>
  <c r="M24" i="19"/>
  <c r="L24" i="19"/>
  <c r="K24" i="19"/>
  <c r="J24" i="19"/>
  <c r="I24" i="19"/>
  <c r="H24" i="19"/>
  <c r="G24" i="19"/>
  <c r="F24" i="19"/>
  <c r="E24" i="19"/>
  <c r="D24" i="19"/>
  <c r="C24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O17" i="19"/>
  <c r="N17" i="19"/>
  <c r="L17" i="19"/>
  <c r="K17" i="19"/>
  <c r="F17" i="19"/>
  <c r="D17" i="19"/>
  <c r="C17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O16" i="19" s="1"/>
  <c r="N15" i="19"/>
  <c r="M15" i="19"/>
  <c r="L15" i="19"/>
  <c r="K15" i="19"/>
  <c r="J15" i="19"/>
  <c r="I15" i="19"/>
  <c r="H15" i="19"/>
  <c r="G15" i="19"/>
  <c r="F15" i="19"/>
  <c r="E15" i="19"/>
  <c r="D15" i="19"/>
  <c r="C15" i="19"/>
  <c r="O15" i="19" s="1"/>
  <c r="N14" i="19"/>
  <c r="M14" i="19"/>
  <c r="L14" i="19"/>
  <c r="K14" i="19"/>
  <c r="J14" i="19"/>
  <c r="I14" i="19"/>
  <c r="H14" i="19"/>
  <c r="G14" i="19"/>
  <c r="F14" i="19"/>
  <c r="E14" i="19"/>
  <c r="D14" i="19"/>
  <c r="C14" i="19"/>
  <c r="O14" i="19" s="1"/>
  <c r="O13" i="19"/>
  <c r="N13" i="19"/>
  <c r="M13" i="19"/>
  <c r="L13" i="19"/>
  <c r="K13" i="19"/>
  <c r="J13" i="19"/>
  <c r="I13" i="19"/>
  <c r="H13" i="19"/>
  <c r="G13" i="19"/>
  <c r="F13" i="19"/>
  <c r="E13" i="19"/>
  <c r="D13" i="19"/>
  <c r="C13" i="19"/>
  <c r="N12" i="19"/>
  <c r="M12" i="19"/>
  <c r="L12" i="19"/>
  <c r="K12" i="19"/>
  <c r="J12" i="19"/>
  <c r="I12" i="19"/>
  <c r="H12" i="19"/>
  <c r="G12" i="19"/>
  <c r="F12" i="19"/>
  <c r="E12" i="19"/>
  <c r="D12" i="19"/>
  <c r="C12" i="19"/>
  <c r="O12" i="19" s="1"/>
  <c r="O11" i="19"/>
  <c r="N11" i="19"/>
  <c r="M11" i="19"/>
  <c r="M17" i="19" s="1"/>
  <c r="L11" i="19"/>
  <c r="K11" i="19"/>
  <c r="J11" i="19"/>
  <c r="J17" i="19" s="1"/>
  <c r="I11" i="19"/>
  <c r="I17" i="19" s="1"/>
  <c r="H11" i="19"/>
  <c r="H17" i="19" s="1"/>
  <c r="G11" i="19"/>
  <c r="G17" i="19" s="1"/>
  <c r="F11" i="19"/>
  <c r="E11" i="19"/>
  <c r="E17" i="19" s="1"/>
  <c r="D11" i="19"/>
  <c r="C11" i="19"/>
  <c r="N32" i="18"/>
  <c r="M32" i="18"/>
  <c r="L32" i="18"/>
  <c r="K32" i="18"/>
  <c r="J32" i="18"/>
  <c r="I32" i="18"/>
  <c r="H32" i="18"/>
  <c r="G32" i="18"/>
  <c r="F32" i="18"/>
  <c r="E32" i="18"/>
  <c r="D32" i="18"/>
  <c r="C32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O23" i="18"/>
  <c r="M23" i="18"/>
  <c r="L23" i="18"/>
  <c r="I23" i="18"/>
  <c r="F23" i="18"/>
  <c r="E23" i="18"/>
  <c r="D23" i="18"/>
  <c r="C23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O22" i="18" s="1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O20" i="18" s="1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O18" i="18" s="1"/>
  <c r="N17" i="18"/>
  <c r="M17" i="18"/>
  <c r="L17" i="18"/>
  <c r="K17" i="18"/>
  <c r="J17" i="18"/>
  <c r="I17" i="18"/>
  <c r="H17" i="18"/>
  <c r="G17" i="18"/>
  <c r="F17" i="18"/>
  <c r="E17" i="18"/>
  <c r="D17" i="18"/>
  <c r="C17" i="18"/>
  <c r="O17" i="18" s="1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N15" i="18"/>
  <c r="M15" i="18"/>
  <c r="L15" i="18"/>
  <c r="K15" i="18"/>
  <c r="J15" i="18"/>
  <c r="I15" i="18"/>
  <c r="H15" i="18"/>
  <c r="G15" i="18"/>
  <c r="F15" i="18"/>
  <c r="E15" i="18"/>
  <c r="D15" i="18"/>
  <c r="C15" i="18"/>
  <c r="O15" i="18" s="1"/>
  <c r="O14" i="18"/>
  <c r="N14" i="18"/>
  <c r="M14" i="18"/>
  <c r="L14" i="18"/>
  <c r="K14" i="18"/>
  <c r="J14" i="18"/>
  <c r="I14" i="18"/>
  <c r="H14" i="18"/>
  <c r="G14" i="18"/>
  <c r="F14" i="18"/>
  <c r="E14" i="18"/>
  <c r="D14" i="18"/>
  <c r="C14" i="18"/>
  <c r="O13" i="18"/>
  <c r="N13" i="18"/>
  <c r="M13" i="18"/>
  <c r="L13" i="18"/>
  <c r="K13" i="18"/>
  <c r="J13" i="18"/>
  <c r="I13" i="18"/>
  <c r="H13" i="18"/>
  <c r="G13" i="18"/>
  <c r="F13" i="18"/>
  <c r="E13" i="18"/>
  <c r="D13" i="18"/>
  <c r="C13" i="18"/>
  <c r="N12" i="18"/>
  <c r="M12" i="18"/>
  <c r="L12" i="18"/>
  <c r="K12" i="18"/>
  <c r="J12" i="18"/>
  <c r="I12" i="18"/>
  <c r="H12" i="18"/>
  <c r="G12" i="18"/>
  <c r="F12" i="18"/>
  <c r="E12" i="18"/>
  <c r="D12" i="18"/>
  <c r="C12" i="18"/>
  <c r="O12" i="18" s="1"/>
  <c r="O11" i="18"/>
  <c r="N11" i="18"/>
  <c r="N23" i="18" s="1"/>
  <c r="M11" i="18"/>
  <c r="L11" i="18"/>
  <c r="K11" i="18"/>
  <c r="K23" i="18" s="1"/>
  <c r="J11" i="18"/>
  <c r="J23" i="18" s="1"/>
  <c r="I11" i="18"/>
  <c r="H11" i="18"/>
  <c r="H23" i="18" s="1"/>
  <c r="G11" i="18"/>
  <c r="G23" i="18" s="1"/>
  <c r="F11" i="18"/>
  <c r="E11" i="18"/>
  <c r="D11" i="18"/>
  <c r="C11" i="18"/>
  <c r="N32" i="17"/>
  <c r="M32" i="17"/>
  <c r="L32" i="17"/>
  <c r="K32" i="17"/>
  <c r="J32" i="17"/>
  <c r="I32" i="17"/>
  <c r="H32" i="17"/>
  <c r="G32" i="17"/>
  <c r="F32" i="17"/>
  <c r="E32" i="17"/>
  <c r="D32" i="17"/>
  <c r="C32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M23" i="17"/>
  <c r="L23" i="17"/>
  <c r="K23" i="17"/>
  <c r="J23" i="17"/>
  <c r="E23" i="17"/>
  <c r="D23" i="17"/>
  <c r="C23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O20" i="17" s="1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O18" i="17" s="1"/>
  <c r="N17" i="17"/>
  <c r="M17" i="17"/>
  <c r="L17" i="17"/>
  <c r="K17" i="17"/>
  <c r="J17" i="17"/>
  <c r="I17" i="17"/>
  <c r="H17" i="17"/>
  <c r="G17" i="17"/>
  <c r="F17" i="17"/>
  <c r="E17" i="17"/>
  <c r="D17" i="17"/>
  <c r="C17" i="17"/>
  <c r="O17" i="17" s="1"/>
  <c r="N16" i="17"/>
  <c r="M16" i="17"/>
  <c r="L16" i="17"/>
  <c r="K16" i="17"/>
  <c r="J16" i="17"/>
  <c r="I16" i="17"/>
  <c r="H16" i="17"/>
  <c r="G16" i="17"/>
  <c r="F16" i="17"/>
  <c r="E16" i="17"/>
  <c r="D16" i="17"/>
  <c r="C16" i="17"/>
  <c r="O16" i="17" s="1"/>
  <c r="N15" i="17"/>
  <c r="M15" i="17"/>
  <c r="L15" i="17"/>
  <c r="K15" i="17"/>
  <c r="J15" i="17"/>
  <c r="I15" i="17"/>
  <c r="H15" i="17"/>
  <c r="G15" i="17"/>
  <c r="F15" i="17"/>
  <c r="E15" i="17"/>
  <c r="D15" i="17"/>
  <c r="C15" i="17"/>
  <c r="O15" i="17" s="1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O11" i="17"/>
  <c r="O23" i="17" s="1"/>
  <c r="N11" i="17"/>
  <c r="N23" i="17" s="1"/>
  <c r="M11" i="17"/>
  <c r="L11" i="17"/>
  <c r="K11" i="17"/>
  <c r="J11" i="17"/>
  <c r="I11" i="17"/>
  <c r="I23" i="17" s="1"/>
  <c r="H11" i="17"/>
  <c r="H23" i="17" s="1"/>
  <c r="G11" i="17"/>
  <c r="G23" i="17" s="1"/>
  <c r="F11" i="17"/>
  <c r="F23" i="17" s="1"/>
  <c r="E11" i="17"/>
  <c r="D11" i="17"/>
  <c r="C11" i="17"/>
  <c r="N32" i="16"/>
  <c r="M32" i="16"/>
  <c r="L32" i="16"/>
  <c r="K32" i="16"/>
  <c r="J32" i="16"/>
  <c r="I32" i="16"/>
  <c r="H32" i="16"/>
  <c r="G32" i="16"/>
  <c r="F32" i="16"/>
  <c r="E32" i="16"/>
  <c r="D32" i="16"/>
  <c r="C32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N23" i="16"/>
  <c r="L23" i="16"/>
  <c r="I23" i="16"/>
  <c r="H23" i="16"/>
  <c r="F23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O22" i="16" s="1"/>
  <c r="N21" i="16"/>
  <c r="M21" i="16"/>
  <c r="L21" i="16"/>
  <c r="K21" i="16"/>
  <c r="J21" i="16"/>
  <c r="I21" i="16"/>
  <c r="H21" i="16"/>
  <c r="G21" i="16"/>
  <c r="F21" i="16"/>
  <c r="E21" i="16"/>
  <c r="D21" i="16"/>
  <c r="C21" i="16"/>
  <c r="O21" i="16" s="1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O19" i="16" s="1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O16" i="16" s="1"/>
  <c r="O15" i="16"/>
  <c r="N15" i="16"/>
  <c r="M15" i="16"/>
  <c r="L15" i="16"/>
  <c r="K15" i="16"/>
  <c r="J15" i="16"/>
  <c r="I15" i="16"/>
  <c r="H15" i="16"/>
  <c r="G15" i="16"/>
  <c r="F15" i="16"/>
  <c r="E15" i="16"/>
  <c r="D15" i="16"/>
  <c r="C15" i="16"/>
  <c r="N14" i="16"/>
  <c r="M14" i="16"/>
  <c r="L14" i="16"/>
  <c r="K14" i="16"/>
  <c r="J14" i="16"/>
  <c r="I14" i="16"/>
  <c r="H14" i="16"/>
  <c r="G14" i="16"/>
  <c r="F14" i="16"/>
  <c r="E14" i="16"/>
  <c r="D14" i="16"/>
  <c r="C14" i="16"/>
  <c r="O14" i="16" s="1"/>
  <c r="N13" i="16"/>
  <c r="M13" i="16"/>
  <c r="L13" i="16"/>
  <c r="K13" i="16"/>
  <c r="J13" i="16"/>
  <c r="I13" i="16"/>
  <c r="H13" i="16"/>
  <c r="G13" i="16"/>
  <c r="F13" i="16"/>
  <c r="E13" i="16"/>
  <c r="D13" i="16"/>
  <c r="C13" i="16"/>
  <c r="O13" i="16" s="1"/>
  <c r="O12" i="16"/>
  <c r="N12" i="16"/>
  <c r="M12" i="16"/>
  <c r="L12" i="16"/>
  <c r="K12" i="16"/>
  <c r="J12" i="16"/>
  <c r="I12" i="16"/>
  <c r="H12" i="16"/>
  <c r="G12" i="16"/>
  <c r="F12" i="16"/>
  <c r="E12" i="16"/>
  <c r="D12" i="16"/>
  <c r="C12" i="16"/>
  <c r="N11" i="16"/>
  <c r="M11" i="16"/>
  <c r="M23" i="16" s="1"/>
  <c r="L11" i="16"/>
  <c r="K11" i="16"/>
  <c r="K23" i="16" s="1"/>
  <c r="J11" i="16"/>
  <c r="J23" i="16" s="1"/>
  <c r="I11" i="16"/>
  <c r="H11" i="16"/>
  <c r="G11" i="16"/>
  <c r="G23" i="16" s="1"/>
  <c r="F11" i="16"/>
  <c r="E11" i="16"/>
  <c r="E23" i="16" s="1"/>
  <c r="D11" i="16"/>
  <c r="D23" i="16" s="1"/>
  <c r="C11" i="16"/>
  <c r="O11" i="16" s="1"/>
  <c r="O23" i="16" s="1"/>
  <c r="N32" i="15"/>
  <c r="M32" i="15"/>
  <c r="L32" i="15"/>
  <c r="K32" i="15"/>
  <c r="J32" i="15"/>
  <c r="I32" i="15"/>
  <c r="H32" i="15"/>
  <c r="G32" i="15"/>
  <c r="F32" i="15"/>
  <c r="E32" i="15"/>
  <c r="D32" i="15"/>
  <c r="C32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I23" i="15"/>
  <c r="H23" i="15"/>
  <c r="G23" i="15"/>
  <c r="F23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O22" i="15" s="1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O19" i="15" s="1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O17" i="15" s="1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O15" i="15"/>
  <c r="N15" i="15"/>
  <c r="M15" i="15"/>
  <c r="L15" i="15"/>
  <c r="K15" i="15"/>
  <c r="J15" i="15"/>
  <c r="I15" i="15"/>
  <c r="H15" i="15"/>
  <c r="G15" i="15"/>
  <c r="F15" i="15"/>
  <c r="E15" i="15"/>
  <c r="D15" i="15"/>
  <c r="C15" i="15"/>
  <c r="N14" i="15"/>
  <c r="M14" i="15"/>
  <c r="L14" i="15"/>
  <c r="K14" i="15"/>
  <c r="J14" i="15"/>
  <c r="I14" i="15"/>
  <c r="H14" i="15"/>
  <c r="G14" i="15"/>
  <c r="F14" i="15"/>
  <c r="E14" i="15"/>
  <c r="D14" i="15"/>
  <c r="C14" i="15"/>
  <c r="O14" i="15" s="1"/>
  <c r="O13" i="15"/>
  <c r="N13" i="15"/>
  <c r="M13" i="15"/>
  <c r="L13" i="15"/>
  <c r="K13" i="15"/>
  <c r="J13" i="15"/>
  <c r="I13" i="15"/>
  <c r="H13" i="15"/>
  <c r="G13" i="15"/>
  <c r="F13" i="15"/>
  <c r="E13" i="15"/>
  <c r="D13" i="15"/>
  <c r="C13" i="15"/>
  <c r="N12" i="15"/>
  <c r="M12" i="15"/>
  <c r="L12" i="15"/>
  <c r="K12" i="15"/>
  <c r="J12" i="15"/>
  <c r="I12" i="15"/>
  <c r="H12" i="15"/>
  <c r="G12" i="15"/>
  <c r="F12" i="15"/>
  <c r="E12" i="15"/>
  <c r="D12" i="15"/>
  <c r="C12" i="15"/>
  <c r="O12" i="15" s="1"/>
  <c r="N11" i="15"/>
  <c r="N23" i="15" s="1"/>
  <c r="M11" i="15"/>
  <c r="M23" i="15" s="1"/>
  <c r="L11" i="15"/>
  <c r="L23" i="15" s="1"/>
  <c r="K11" i="15"/>
  <c r="K23" i="15" s="1"/>
  <c r="J11" i="15"/>
  <c r="J23" i="15" s="1"/>
  <c r="I11" i="15"/>
  <c r="H11" i="15"/>
  <c r="G11" i="15"/>
  <c r="F11" i="15"/>
  <c r="E11" i="15"/>
  <c r="E23" i="15" s="1"/>
  <c r="D11" i="15"/>
  <c r="D23" i="15" s="1"/>
  <c r="C11" i="15"/>
  <c r="N30" i="14"/>
  <c r="M30" i="14"/>
  <c r="L30" i="14"/>
  <c r="K30" i="14"/>
  <c r="J30" i="14"/>
  <c r="I30" i="14"/>
  <c r="H30" i="14"/>
  <c r="G30" i="14"/>
  <c r="F30" i="14"/>
  <c r="E30" i="14"/>
  <c r="D30" i="14"/>
  <c r="C30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N26" i="14"/>
  <c r="M26" i="14"/>
  <c r="L26" i="14"/>
  <c r="K26" i="14"/>
  <c r="J26" i="14"/>
  <c r="I26" i="14"/>
  <c r="H26" i="14"/>
  <c r="G26" i="14"/>
  <c r="F26" i="14"/>
  <c r="E26" i="14"/>
  <c r="D26" i="14"/>
  <c r="C26" i="14"/>
  <c r="N25" i="14"/>
  <c r="M25" i="14"/>
  <c r="L25" i="14"/>
  <c r="K25" i="14"/>
  <c r="J25" i="14"/>
  <c r="I25" i="14"/>
  <c r="H25" i="14"/>
  <c r="G25" i="14"/>
  <c r="F25" i="14"/>
  <c r="E25" i="14"/>
  <c r="D25" i="14"/>
  <c r="C25" i="14"/>
  <c r="O21" i="14"/>
  <c r="N21" i="14"/>
  <c r="F21" i="14"/>
  <c r="C21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O16" i="14" s="1"/>
  <c r="N15" i="14"/>
  <c r="M15" i="14"/>
  <c r="L15" i="14"/>
  <c r="K15" i="14"/>
  <c r="J15" i="14"/>
  <c r="I15" i="14"/>
  <c r="H15" i="14"/>
  <c r="G15" i="14"/>
  <c r="F15" i="14"/>
  <c r="E15" i="14"/>
  <c r="D15" i="14"/>
  <c r="C15" i="14"/>
  <c r="O15" i="14" s="1"/>
  <c r="N14" i="14"/>
  <c r="M14" i="14"/>
  <c r="L14" i="14"/>
  <c r="K14" i="14"/>
  <c r="J14" i="14"/>
  <c r="I14" i="14"/>
  <c r="H14" i="14"/>
  <c r="G14" i="14"/>
  <c r="F14" i="14"/>
  <c r="E14" i="14"/>
  <c r="D14" i="14"/>
  <c r="C14" i="14"/>
  <c r="O14" i="14" s="1"/>
  <c r="N13" i="14"/>
  <c r="M13" i="14"/>
  <c r="L13" i="14"/>
  <c r="K13" i="14"/>
  <c r="J13" i="14"/>
  <c r="I13" i="14"/>
  <c r="H13" i="14"/>
  <c r="G13" i="14"/>
  <c r="F13" i="14"/>
  <c r="E13" i="14"/>
  <c r="D13" i="14"/>
  <c r="C13" i="14"/>
  <c r="O13" i="14" s="1"/>
  <c r="O12" i="14"/>
  <c r="N12" i="14"/>
  <c r="M12" i="14"/>
  <c r="L12" i="14"/>
  <c r="K12" i="14"/>
  <c r="J12" i="14"/>
  <c r="I12" i="14"/>
  <c r="H12" i="14"/>
  <c r="G12" i="14"/>
  <c r="F12" i="14"/>
  <c r="E12" i="14"/>
  <c r="D12" i="14"/>
  <c r="C12" i="14"/>
  <c r="N11" i="14"/>
  <c r="M11" i="14"/>
  <c r="M21" i="14" s="1"/>
  <c r="L11" i="14"/>
  <c r="L21" i="14" s="1"/>
  <c r="K11" i="14"/>
  <c r="K21" i="14" s="1"/>
  <c r="J11" i="14"/>
  <c r="J21" i="14" s="1"/>
  <c r="I11" i="14"/>
  <c r="I21" i="14" s="1"/>
  <c r="H11" i="14"/>
  <c r="H21" i="14" s="1"/>
  <c r="G11" i="14"/>
  <c r="G21" i="14" s="1"/>
  <c r="F11" i="14"/>
  <c r="E11" i="14"/>
  <c r="E21" i="14" s="1"/>
  <c r="D11" i="14"/>
  <c r="D21" i="14" s="1"/>
  <c r="C11" i="14"/>
  <c r="O11" i="14" s="1"/>
  <c r="M16" i="13"/>
  <c r="L16" i="13"/>
  <c r="J16" i="13"/>
  <c r="H16" i="13"/>
  <c r="D16" i="13"/>
  <c r="N15" i="13"/>
  <c r="M15" i="13"/>
  <c r="L15" i="13"/>
  <c r="K15" i="13"/>
  <c r="J15" i="13"/>
  <c r="I15" i="13"/>
  <c r="H15" i="13"/>
  <c r="G15" i="13"/>
  <c r="F15" i="13"/>
  <c r="E15" i="13"/>
  <c r="D15" i="13"/>
  <c r="C15" i="13"/>
  <c r="O15" i="13" s="1"/>
  <c r="N14" i="13"/>
  <c r="M14" i="13"/>
  <c r="L14" i="13"/>
  <c r="K14" i="13"/>
  <c r="J14" i="13"/>
  <c r="I14" i="13"/>
  <c r="H14" i="13"/>
  <c r="G14" i="13"/>
  <c r="F14" i="13"/>
  <c r="E14" i="13"/>
  <c r="D14" i="13"/>
  <c r="C14" i="13"/>
  <c r="O14" i="13" s="1"/>
  <c r="O13" i="13"/>
  <c r="N13" i="13"/>
  <c r="M13" i="13"/>
  <c r="L13" i="13"/>
  <c r="K13" i="13"/>
  <c r="J13" i="13"/>
  <c r="I13" i="13"/>
  <c r="H13" i="13"/>
  <c r="G13" i="13"/>
  <c r="F13" i="13"/>
  <c r="E13" i="13"/>
  <c r="D13" i="13"/>
  <c r="C13" i="13"/>
  <c r="N12" i="13"/>
  <c r="M12" i="13"/>
  <c r="L12" i="13"/>
  <c r="K12" i="13"/>
  <c r="J12" i="13"/>
  <c r="I12" i="13"/>
  <c r="H12" i="13"/>
  <c r="G12" i="13"/>
  <c r="F12" i="13"/>
  <c r="E12" i="13"/>
  <c r="D12" i="13"/>
  <c r="C12" i="13"/>
  <c r="O12" i="13" s="1"/>
  <c r="O11" i="13"/>
  <c r="O16" i="13" s="1"/>
  <c r="N11" i="13"/>
  <c r="N16" i="13" s="1"/>
  <c r="M11" i="13"/>
  <c r="L11" i="13"/>
  <c r="K11" i="13"/>
  <c r="K16" i="13" s="1"/>
  <c r="J11" i="13"/>
  <c r="I11" i="13"/>
  <c r="I16" i="13" s="1"/>
  <c r="H11" i="13"/>
  <c r="G11" i="13"/>
  <c r="G16" i="13" s="1"/>
  <c r="F11" i="13"/>
  <c r="F16" i="13" s="1"/>
  <c r="E11" i="13"/>
  <c r="E16" i="13" s="1"/>
  <c r="D11" i="13"/>
  <c r="C11" i="13"/>
  <c r="C16" i="13" s="1"/>
  <c r="N32" i="12"/>
  <c r="M32" i="12"/>
  <c r="L32" i="12"/>
  <c r="K32" i="12"/>
  <c r="J32" i="12"/>
  <c r="I32" i="12"/>
  <c r="H32" i="12"/>
  <c r="G32" i="12"/>
  <c r="F32" i="12"/>
  <c r="E32" i="12"/>
  <c r="D32" i="12"/>
  <c r="C32" i="12"/>
  <c r="N31" i="12"/>
  <c r="M31" i="12"/>
  <c r="L31" i="12"/>
  <c r="K31" i="12"/>
  <c r="J31" i="12"/>
  <c r="I31" i="12"/>
  <c r="H31" i="12"/>
  <c r="G31" i="12"/>
  <c r="F31" i="12"/>
  <c r="E31" i="12"/>
  <c r="D31" i="12"/>
  <c r="C31" i="12"/>
  <c r="N30" i="12"/>
  <c r="M30" i="12"/>
  <c r="L30" i="12"/>
  <c r="K30" i="12"/>
  <c r="J30" i="12"/>
  <c r="I30" i="12"/>
  <c r="H30" i="12"/>
  <c r="G30" i="12"/>
  <c r="F30" i="12"/>
  <c r="E30" i="12"/>
  <c r="D30" i="12"/>
  <c r="C30" i="12"/>
  <c r="N29" i="12"/>
  <c r="M29" i="12"/>
  <c r="L29" i="12"/>
  <c r="K29" i="12"/>
  <c r="J29" i="12"/>
  <c r="I29" i="12"/>
  <c r="H29" i="12"/>
  <c r="G29" i="12"/>
  <c r="F29" i="12"/>
  <c r="E29" i="12"/>
  <c r="D29" i="12"/>
  <c r="C29" i="12"/>
  <c r="N28" i="12"/>
  <c r="M28" i="12"/>
  <c r="L28" i="12"/>
  <c r="K28" i="12"/>
  <c r="J28" i="12"/>
  <c r="I28" i="12"/>
  <c r="H28" i="12"/>
  <c r="G28" i="12"/>
  <c r="F28" i="12"/>
  <c r="E28" i="12"/>
  <c r="D28" i="12"/>
  <c r="C28" i="12"/>
  <c r="N27" i="12"/>
  <c r="M27" i="12"/>
  <c r="L27" i="12"/>
  <c r="K27" i="12"/>
  <c r="J27" i="12"/>
  <c r="I27" i="12"/>
  <c r="H27" i="12"/>
  <c r="G27" i="12"/>
  <c r="F27" i="12"/>
  <c r="E27" i="12"/>
  <c r="D27" i="12"/>
  <c r="C27" i="12"/>
  <c r="N23" i="12"/>
  <c r="M23" i="12"/>
  <c r="L23" i="12"/>
  <c r="K23" i="12"/>
  <c r="E23" i="12"/>
  <c r="D23" i="12"/>
  <c r="C23" i="12"/>
  <c r="O22" i="12"/>
  <c r="N22" i="12"/>
  <c r="M22" i="12"/>
  <c r="L22" i="12"/>
  <c r="K22" i="12"/>
  <c r="J22" i="12"/>
  <c r="I22" i="12"/>
  <c r="H22" i="12"/>
  <c r="G22" i="12"/>
  <c r="F22" i="12"/>
  <c r="E22" i="12"/>
  <c r="D22" i="12"/>
  <c r="C22" i="12"/>
  <c r="O21" i="12"/>
  <c r="N21" i="12"/>
  <c r="M21" i="12"/>
  <c r="L21" i="12"/>
  <c r="K21" i="12"/>
  <c r="J21" i="12"/>
  <c r="I21" i="12"/>
  <c r="H21" i="12"/>
  <c r="G21" i="12"/>
  <c r="F21" i="12"/>
  <c r="E21" i="12"/>
  <c r="D21" i="12"/>
  <c r="C21" i="12"/>
  <c r="N20" i="12"/>
  <c r="M20" i="12"/>
  <c r="L20" i="12"/>
  <c r="K20" i="12"/>
  <c r="J20" i="12"/>
  <c r="I20" i="12"/>
  <c r="H20" i="12"/>
  <c r="G20" i="12"/>
  <c r="F20" i="12"/>
  <c r="E20" i="12"/>
  <c r="D20" i="12"/>
  <c r="C20" i="12"/>
  <c r="O20" i="12" s="1"/>
  <c r="O19" i="12"/>
  <c r="N19" i="12"/>
  <c r="M19" i="12"/>
  <c r="L19" i="12"/>
  <c r="K19" i="12"/>
  <c r="J19" i="12"/>
  <c r="I19" i="12"/>
  <c r="H19" i="12"/>
  <c r="G19" i="12"/>
  <c r="F19" i="12"/>
  <c r="E19" i="12"/>
  <c r="D19" i="12"/>
  <c r="C19" i="12"/>
  <c r="N18" i="12"/>
  <c r="M18" i="12"/>
  <c r="L18" i="12"/>
  <c r="K18" i="12"/>
  <c r="J18" i="12"/>
  <c r="I18" i="12"/>
  <c r="H18" i="12"/>
  <c r="G18" i="12"/>
  <c r="F18" i="12"/>
  <c r="E18" i="12"/>
  <c r="D18" i="12"/>
  <c r="C18" i="12"/>
  <c r="O18" i="12" s="1"/>
  <c r="N17" i="12"/>
  <c r="M17" i="12"/>
  <c r="L17" i="12"/>
  <c r="K17" i="12"/>
  <c r="J17" i="12"/>
  <c r="I17" i="12"/>
  <c r="H17" i="12"/>
  <c r="G17" i="12"/>
  <c r="F17" i="12"/>
  <c r="E17" i="12"/>
  <c r="D17" i="12"/>
  <c r="C17" i="12"/>
  <c r="O17" i="12" s="1"/>
  <c r="O16" i="12"/>
  <c r="N16" i="12"/>
  <c r="M16" i="12"/>
  <c r="L16" i="12"/>
  <c r="K16" i="12"/>
  <c r="J16" i="12"/>
  <c r="I16" i="12"/>
  <c r="H16" i="12"/>
  <c r="G16" i="12"/>
  <c r="F16" i="12"/>
  <c r="E16" i="12"/>
  <c r="D16" i="12"/>
  <c r="C16" i="12"/>
  <c r="N15" i="12"/>
  <c r="M15" i="12"/>
  <c r="L15" i="12"/>
  <c r="K15" i="12"/>
  <c r="J15" i="12"/>
  <c r="I15" i="12"/>
  <c r="H15" i="12"/>
  <c r="G15" i="12"/>
  <c r="F15" i="12"/>
  <c r="E15" i="12"/>
  <c r="D15" i="12"/>
  <c r="C15" i="12"/>
  <c r="O15" i="12" s="1"/>
  <c r="O14" i="12"/>
  <c r="N14" i="12"/>
  <c r="M14" i="12"/>
  <c r="L14" i="12"/>
  <c r="K14" i="12"/>
  <c r="J14" i="12"/>
  <c r="I14" i="12"/>
  <c r="H14" i="12"/>
  <c r="G14" i="12"/>
  <c r="F14" i="12"/>
  <c r="E14" i="12"/>
  <c r="D14" i="12"/>
  <c r="C14" i="12"/>
  <c r="O13" i="12"/>
  <c r="N13" i="12"/>
  <c r="M13" i="12"/>
  <c r="L13" i="12"/>
  <c r="K13" i="12"/>
  <c r="J13" i="12"/>
  <c r="I13" i="12"/>
  <c r="H13" i="12"/>
  <c r="G13" i="12"/>
  <c r="F13" i="12"/>
  <c r="E13" i="12"/>
  <c r="D13" i="12"/>
  <c r="C13" i="12"/>
  <c r="N12" i="12"/>
  <c r="M12" i="12"/>
  <c r="L12" i="12"/>
  <c r="K12" i="12"/>
  <c r="J12" i="12"/>
  <c r="I12" i="12"/>
  <c r="H12" i="12"/>
  <c r="G12" i="12"/>
  <c r="F12" i="12"/>
  <c r="E12" i="12"/>
  <c r="D12" i="12"/>
  <c r="C12" i="12"/>
  <c r="O12" i="12" s="1"/>
  <c r="O11" i="12"/>
  <c r="O23" i="12" s="1"/>
  <c r="N11" i="12"/>
  <c r="M11" i="12"/>
  <c r="L11" i="12"/>
  <c r="K11" i="12"/>
  <c r="J11" i="12"/>
  <c r="J23" i="12" s="1"/>
  <c r="I11" i="12"/>
  <c r="I23" i="12" s="1"/>
  <c r="H11" i="12"/>
  <c r="H23" i="12" s="1"/>
  <c r="G11" i="12"/>
  <c r="G23" i="12" s="1"/>
  <c r="F11" i="12"/>
  <c r="F23" i="12" s="1"/>
  <c r="E11" i="12"/>
  <c r="D11" i="12"/>
  <c r="C11" i="12"/>
  <c r="N32" i="11"/>
  <c r="M32" i="11"/>
  <c r="L32" i="11"/>
  <c r="K32" i="11"/>
  <c r="J32" i="11"/>
  <c r="I32" i="11"/>
  <c r="H32" i="11"/>
  <c r="G32" i="11"/>
  <c r="F32" i="11"/>
  <c r="E32" i="11"/>
  <c r="D32" i="11"/>
  <c r="C32" i="11"/>
  <c r="N31" i="11"/>
  <c r="M31" i="11"/>
  <c r="L31" i="11"/>
  <c r="K31" i="11"/>
  <c r="J31" i="11"/>
  <c r="I31" i="11"/>
  <c r="H31" i="11"/>
  <c r="G31" i="11"/>
  <c r="F31" i="11"/>
  <c r="E31" i="11"/>
  <c r="D31" i="11"/>
  <c r="C31" i="11"/>
  <c r="N30" i="11"/>
  <c r="M30" i="11"/>
  <c r="L30" i="11"/>
  <c r="K30" i="11"/>
  <c r="J30" i="11"/>
  <c r="I30" i="11"/>
  <c r="H30" i="11"/>
  <c r="G30" i="11"/>
  <c r="F30" i="11"/>
  <c r="E30" i="11"/>
  <c r="D30" i="11"/>
  <c r="C30" i="11"/>
  <c r="N29" i="11"/>
  <c r="M29" i="11"/>
  <c r="L29" i="11"/>
  <c r="K29" i="11"/>
  <c r="J29" i="11"/>
  <c r="I29" i="11"/>
  <c r="H29" i="11"/>
  <c r="G29" i="11"/>
  <c r="F29" i="11"/>
  <c r="E29" i="11"/>
  <c r="D29" i="11"/>
  <c r="C29" i="11"/>
  <c r="N28" i="11"/>
  <c r="M28" i="11"/>
  <c r="L28" i="11"/>
  <c r="K28" i="11"/>
  <c r="J28" i="11"/>
  <c r="I28" i="11"/>
  <c r="H28" i="11"/>
  <c r="G28" i="11"/>
  <c r="F28" i="11"/>
  <c r="E28" i="11"/>
  <c r="D28" i="11"/>
  <c r="C28" i="11"/>
  <c r="N27" i="11"/>
  <c r="M27" i="11"/>
  <c r="L27" i="11"/>
  <c r="K27" i="11"/>
  <c r="J27" i="11"/>
  <c r="I27" i="11"/>
  <c r="H27" i="11"/>
  <c r="G27" i="11"/>
  <c r="F27" i="11"/>
  <c r="E27" i="11"/>
  <c r="D27" i="11"/>
  <c r="C27" i="11"/>
  <c r="N23" i="11"/>
  <c r="K23" i="11"/>
  <c r="I23" i="11"/>
  <c r="F23" i="11"/>
  <c r="C23" i="11"/>
  <c r="N22" i="11"/>
  <c r="M22" i="11"/>
  <c r="L22" i="11"/>
  <c r="K22" i="11"/>
  <c r="J22" i="11"/>
  <c r="I22" i="11"/>
  <c r="H22" i="11"/>
  <c r="G22" i="11"/>
  <c r="F22" i="11"/>
  <c r="E22" i="11"/>
  <c r="D22" i="11"/>
  <c r="C22" i="11"/>
  <c r="O22" i="11" s="1"/>
  <c r="N21" i="11"/>
  <c r="M21" i="11"/>
  <c r="L21" i="11"/>
  <c r="K21" i="11"/>
  <c r="J21" i="11"/>
  <c r="I21" i="11"/>
  <c r="H21" i="11"/>
  <c r="G21" i="11"/>
  <c r="F21" i="11"/>
  <c r="E21" i="11"/>
  <c r="D21" i="11"/>
  <c r="C21" i="11"/>
  <c r="O21" i="11" s="1"/>
  <c r="O20" i="11"/>
  <c r="N20" i="11"/>
  <c r="M20" i="11"/>
  <c r="L20" i="11"/>
  <c r="K20" i="11"/>
  <c r="J20" i="11"/>
  <c r="I20" i="11"/>
  <c r="H20" i="11"/>
  <c r="G20" i="11"/>
  <c r="F20" i="11"/>
  <c r="E20" i="11"/>
  <c r="D20" i="11"/>
  <c r="C20" i="11"/>
  <c r="O19" i="11"/>
  <c r="N19" i="11"/>
  <c r="M19" i="11"/>
  <c r="L19" i="11"/>
  <c r="K19" i="11"/>
  <c r="J19" i="11"/>
  <c r="I19" i="11"/>
  <c r="H19" i="11"/>
  <c r="G19" i="11"/>
  <c r="F19" i="11"/>
  <c r="E19" i="11"/>
  <c r="D19" i="11"/>
  <c r="C19" i="11"/>
  <c r="O18" i="11"/>
  <c r="N18" i="11"/>
  <c r="M18" i="11"/>
  <c r="L18" i="11"/>
  <c r="K18" i="11"/>
  <c r="J18" i="11"/>
  <c r="I18" i="11"/>
  <c r="H18" i="11"/>
  <c r="G18" i="11"/>
  <c r="F18" i="11"/>
  <c r="E18" i="11"/>
  <c r="D18" i="11"/>
  <c r="C18" i="11"/>
  <c r="O17" i="11"/>
  <c r="N17" i="11"/>
  <c r="M17" i="11"/>
  <c r="L17" i="11"/>
  <c r="K17" i="11"/>
  <c r="J17" i="11"/>
  <c r="I17" i="11"/>
  <c r="H17" i="11"/>
  <c r="G17" i="11"/>
  <c r="F17" i="11"/>
  <c r="E17" i="11"/>
  <c r="D17" i="11"/>
  <c r="C17" i="11"/>
  <c r="N16" i="11"/>
  <c r="M16" i="11"/>
  <c r="L16" i="11"/>
  <c r="K16" i="11"/>
  <c r="J16" i="11"/>
  <c r="I16" i="11"/>
  <c r="H16" i="11"/>
  <c r="G16" i="11"/>
  <c r="F16" i="11"/>
  <c r="E16" i="11"/>
  <c r="D16" i="11"/>
  <c r="C16" i="11"/>
  <c r="O16" i="11" s="1"/>
  <c r="N15" i="11"/>
  <c r="M15" i="11"/>
  <c r="L15" i="11"/>
  <c r="K15" i="11"/>
  <c r="J15" i="11"/>
  <c r="I15" i="11"/>
  <c r="H15" i="11"/>
  <c r="G15" i="11"/>
  <c r="F15" i="11"/>
  <c r="E15" i="11"/>
  <c r="D15" i="11"/>
  <c r="C15" i="11"/>
  <c r="O15" i="11" s="1"/>
  <c r="N14" i="11"/>
  <c r="M14" i="11"/>
  <c r="L14" i="11"/>
  <c r="K14" i="11"/>
  <c r="J14" i="11"/>
  <c r="I14" i="11"/>
  <c r="H14" i="11"/>
  <c r="G14" i="11"/>
  <c r="F14" i="11"/>
  <c r="E14" i="11"/>
  <c r="D14" i="11"/>
  <c r="C14" i="11"/>
  <c r="O14" i="11" s="1"/>
  <c r="N13" i="11"/>
  <c r="M13" i="11"/>
  <c r="L13" i="11"/>
  <c r="K13" i="11"/>
  <c r="J13" i="11"/>
  <c r="I13" i="11"/>
  <c r="H13" i="11"/>
  <c r="G13" i="11"/>
  <c r="F13" i="11"/>
  <c r="E13" i="11"/>
  <c r="D13" i="11"/>
  <c r="C13" i="11"/>
  <c r="O13" i="11" s="1"/>
  <c r="O12" i="11"/>
  <c r="N12" i="11"/>
  <c r="M12" i="11"/>
  <c r="L12" i="11"/>
  <c r="K12" i="11"/>
  <c r="J12" i="11"/>
  <c r="I12" i="11"/>
  <c r="H12" i="11"/>
  <c r="G12" i="11"/>
  <c r="F12" i="11"/>
  <c r="E12" i="11"/>
  <c r="D12" i="11"/>
  <c r="C12" i="11"/>
  <c r="N11" i="11"/>
  <c r="M11" i="11"/>
  <c r="M23" i="11" s="1"/>
  <c r="L11" i="11"/>
  <c r="L23" i="11" s="1"/>
  <c r="K11" i="11"/>
  <c r="J11" i="11"/>
  <c r="J23" i="11" s="1"/>
  <c r="I11" i="11"/>
  <c r="H11" i="11"/>
  <c r="H23" i="11" s="1"/>
  <c r="G11" i="11"/>
  <c r="G23" i="11" s="1"/>
  <c r="F11" i="11"/>
  <c r="E11" i="11"/>
  <c r="E23" i="11" s="1"/>
  <c r="D11" i="11"/>
  <c r="D23" i="11" s="1"/>
  <c r="C11" i="11"/>
  <c r="O11" i="11" s="1"/>
  <c r="O23" i="11" s="1"/>
  <c r="N32" i="10"/>
  <c r="M32" i="10"/>
  <c r="L32" i="10"/>
  <c r="K32" i="10"/>
  <c r="J32" i="10"/>
  <c r="I32" i="10"/>
  <c r="H32" i="10"/>
  <c r="G32" i="10"/>
  <c r="F32" i="10"/>
  <c r="E32" i="10"/>
  <c r="D32" i="10"/>
  <c r="C32" i="10"/>
  <c r="N31" i="10"/>
  <c r="M31" i="10"/>
  <c r="L31" i="10"/>
  <c r="K31" i="10"/>
  <c r="J31" i="10"/>
  <c r="I31" i="10"/>
  <c r="H31" i="10"/>
  <c r="G31" i="10"/>
  <c r="F31" i="10"/>
  <c r="E31" i="10"/>
  <c r="D31" i="10"/>
  <c r="C31" i="10"/>
  <c r="N30" i="10"/>
  <c r="M30" i="10"/>
  <c r="L30" i="10"/>
  <c r="K30" i="10"/>
  <c r="J30" i="10"/>
  <c r="I30" i="10"/>
  <c r="H30" i="10"/>
  <c r="G30" i="10"/>
  <c r="F30" i="10"/>
  <c r="E30" i="10"/>
  <c r="D30" i="10"/>
  <c r="C30" i="10"/>
  <c r="N29" i="10"/>
  <c r="M29" i="10"/>
  <c r="L29" i="10"/>
  <c r="K29" i="10"/>
  <c r="J29" i="10"/>
  <c r="I29" i="10"/>
  <c r="H29" i="10"/>
  <c r="G29" i="10"/>
  <c r="F29" i="10"/>
  <c r="E29" i="10"/>
  <c r="D29" i="10"/>
  <c r="C29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N27" i="10"/>
  <c r="M27" i="10"/>
  <c r="L27" i="10"/>
  <c r="K27" i="10"/>
  <c r="J27" i="10"/>
  <c r="I27" i="10"/>
  <c r="H27" i="10"/>
  <c r="G27" i="10"/>
  <c r="F27" i="10"/>
  <c r="E27" i="10"/>
  <c r="D27" i="10"/>
  <c r="C27" i="10"/>
  <c r="H23" i="10"/>
  <c r="G23" i="10"/>
  <c r="D23" i="10"/>
  <c r="N22" i="10"/>
  <c r="M22" i="10"/>
  <c r="L22" i="10"/>
  <c r="K22" i="10"/>
  <c r="J22" i="10"/>
  <c r="I22" i="10"/>
  <c r="H22" i="10"/>
  <c r="G22" i="10"/>
  <c r="F22" i="10"/>
  <c r="E22" i="10"/>
  <c r="D22" i="10"/>
  <c r="C22" i="10"/>
  <c r="O22" i="10" s="1"/>
  <c r="N21" i="10"/>
  <c r="M21" i="10"/>
  <c r="L21" i="10"/>
  <c r="K21" i="10"/>
  <c r="J21" i="10"/>
  <c r="I21" i="10"/>
  <c r="H21" i="10"/>
  <c r="G21" i="10"/>
  <c r="F21" i="10"/>
  <c r="E21" i="10"/>
  <c r="D21" i="10"/>
  <c r="C21" i="10"/>
  <c r="O21" i="10" s="1"/>
  <c r="O20" i="10"/>
  <c r="N20" i="10"/>
  <c r="M20" i="10"/>
  <c r="L20" i="10"/>
  <c r="K20" i="10"/>
  <c r="J20" i="10"/>
  <c r="I20" i="10"/>
  <c r="H20" i="10"/>
  <c r="G20" i="10"/>
  <c r="F20" i="10"/>
  <c r="E20" i="10"/>
  <c r="D20" i="10"/>
  <c r="C20" i="10"/>
  <c r="N19" i="10"/>
  <c r="M19" i="10"/>
  <c r="L19" i="10"/>
  <c r="K19" i="10"/>
  <c r="J19" i="10"/>
  <c r="I19" i="10"/>
  <c r="H19" i="10"/>
  <c r="G19" i="10"/>
  <c r="F19" i="10"/>
  <c r="E19" i="10"/>
  <c r="D19" i="10"/>
  <c r="C19" i="10"/>
  <c r="O19" i="10" s="1"/>
  <c r="O18" i="10"/>
  <c r="N18" i="10"/>
  <c r="M18" i="10"/>
  <c r="L18" i="10"/>
  <c r="K18" i="10"/>
  <c r="J18" i="10"/>
  <c r="I18" i="10"/>
  <c r="H18" i="10"/>
  <c r="G18" i="10"/>
  <c r="F18" i="10"/>
  <c r="E18" i="10"/>
  <c r="D18" i="10"/>
  <c r="C18" i="10"/>
  <c r="N17" i="10"/>
  <c r="M17" i="10"/>
  <c r="L17" i="10"/>
  <c r="K17" i="10"/>
  <c r="J17" i="10"/>
  <c r="I17" i="10"/>
  <c r="H17" i="10"/>
  <c r="G17" i="10"/>
  <c r="F17" i="10"/>
  <c r="E17" i="10"/>
  <c r="D17" i="10"/>
  <c r="C17" i="10"/>
  <c r="O17" i="10" s="1"/>
  <c r="N16" i="10"/>
  <c r="M16" i="10"/>
  <c r="L16" i="10"/>
  <c r="K16" i="10"/>
  <c r="J16" i="10"/>
  <c r="I16" i="10"/>
  <c r="H16" i="10"/>
  <c r="G16" i="10"/>
  <c r="F16" i="10"/>
  <c r="E16" i="10"/>
  <c r="D16" i="10"/>
  <c r="C16" i="10"/>
  <c r="O16" i="10" s="1"/>
  <c r="O15" i="10"/>
  <c r="N15" i="10"/>
  <c r="M15" i="10"/>
  <c r="L15" i="10"/>
  <c r="K15" i="10"/>
  <c r="J15" i="10"/>
  <c r="I15" i="10"/>
  <c r="H15" i="10"/>
  <c r="G15" i="10"/>
  <c r="F15" i="10"/>
  <c r="E15" i="10"/>
  <c r="D15" i="10"/>
  <c r="C15" i="10"/>
  <c r="N14" i="10"/>
  <c r="M14" i="10"/>
  <c r="L14" i="10"/>
  <c r="K14" i="10"/>
  <c r="J14" i="10"/>
  <c r="I14" i="10"/>
  <c r="H14" i="10"/>
  <c r="G14" i="10"/>
  <c r="F14" i="10"/>
  <c r="E14" i="10"/>
  <c r="D14" i="10"/>
  <c r="C14" i="10"/>
  <c r="O14" i="10" s="1"/>
  <c r="O13" i="10"/>
  <c r="N13" i="10"/>
  <c r="M13" i="10"/>
  <c r="L13" i="10"/>
  <c r="K13" i="10"/>
  <c r="J13" i="10"/>
  <c r="I13" i="10"/>
  <c r="H13" i="10"/>
  <c r="G13" i="10"/>
  <c r="F13" i="10"/>
  <c r="E13" i="10"/>
  <c r="D13" i="10"/>
  <c r="C13" i="10"/>
  <c r="O12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N11" i="10"/>
  <c r="N23" i="10" s="1"/>
  <c r="M11" i="10"/>
  <c r="M23" i="10" s="1"/>
  <c r="L11" i="10"/>
  <c r="L23" i="10" s="1"/>
  <c r="K11" i="10"/>
  <c r="K23" i="10" s="1"/>
  <c r="J11" i="10"/>
  <c r="J23" i="10" s="1"/>
  <c r="I11" i="10"/>
  <c r="I23" i="10" s="1"/>
  <c r="H11" i="10"/>
  <c r="G11" i="10"/>
  <c r="F11" i="10"/>
  <c r="F23" i="10" s="1"/>
  <c r="E11" i="10"/>
  <c r="E23" i="10" s="1"/>
  <c r="D11" i="10"/>
  <c r="C11" i="10"/>
  <c r="N28" i="9"/>
  <c r="M28" i="9"/>
  <c r="L28" i="9"/>
  <c r="K28" i="9"/>
  <c r="J28" i="9"/>
  <c r="I28" i="9"/>
  <c r="H28" i="9"/>
  <c r="G28" i="9"/>
  <c r="F28" i="9"/>
  <c r="E28" i="9"/>
  <c r="D28" i="9"/>
  <c r="C28" i="9"/>
  <c r="N27" i="9"/>
  <c r="M27" i="9"/>
  <c r="L27" i="9"/>
  <c r="K27" i="9"/>
  <c r="J27" i="9"/>
  <c r="I27" i="9"/>
  <c r="H27" i="9"/>
  <c r="G27" i="9"/>
  <c r="F27" i="9"/>
  <c r="E27" i="9"/>
  <c r="D27" i="9"/>
  <c r="C27" i="9"/>
  <c r="N26" i="9"/>
  <c r="M26" i="9"/>
  <c r="L26" i="9"/>
  <c r="K26" i="9"/>
  <c r="J26" i="9"/>
  <c r="I26" i="9"/>
  <c r="H26" i="9"/>
  <c r="G26" i="9"/>
  <c r="F26" i="9"/>
  <c r="E26" i="9"/>
  <c r="D26" i="9"/>
  <c r="C26" i="9"/>
  <c r="N25" i="9"/>
  <c r="M25" i="9"/>
  <c r="L25" i="9"/>
  <c r="K25" i="9"/>
  <c r="J25" i="9"/>
  <c r="I25" i="9"/>
  <c r="H25" i="9"/>
  <c r="G25" i="9"/>
  <c r="F25" i="9"/>
  <c r="E25" i="9"/>
  <c r="D25" i="9"/>
  <c r="C25" i="9"/>
  <c r="N24" i="9"/>
  <c r="M24" i="9"/>
  <c r="L24" i="9"/>
  <c r="K24" i="9"/>
  <c r="J24" i="9"/>
  <c r="I24" i="9"/>
  <c r="H24" i="9"/>
  <c r="G24" i="9"/>
  <c r="F24" i="9"/>
  <c r="E24" i="9"/>
  <c r="D24" i="9"/>
  <c r="C24" i="9"/>
  <c r="N23" i="9"/>
  <c r="M23" i="9"/>
  <c r="L23" i="9"/>
  <c r="K23" i="9"/>
  <c r="J23" i="9"/>
  <c r="I23" i="9"/>
  <c r="H23" i="9"/>
  <c r="G23" i="9"/>
  <c r="F23" i="9"/>
  <c r="E23" i="9"/>
  <c r="D23" i="9"/>
  <c r="C23" i="9"/>
  <c r="N19" i="9"/>
  <c r="I19" i="9"/>
  <c r="G19" i="9"/>
  <c r="F19" i="9"/>
  <c r="N18" i="9"/>
  <c r="M18" i="9"/>
  <c r="L18" i="9"/>
  <c r="K18" i="9"/>
  <c r="J18" i="9"/>
  <c r="I18" i="9"/>
  <c r="H18" i="9"/>
  <c r="G18" i="9"/>
  <c r="F18" i="9"/>
  <c r="E18" i="9"/>
  <c r="D18" i="9"/>
  <c r="C18" i="9"/>
  <c r="O18" i="9" s="1"/>
  <c r="O17" i="9"/>
  <c r="N17" i="9"/>
  <c r="M17" i="9"/>
  <c r="L17" i="9"/>
  <c r="K17" i="9"/>
  <c r="J17" i="9"/>
  <c r="I17" i="9"/>
  <c r="H17" i="9"/>
  <c r="G17" i="9"/>
  <c r="F17" i="9"/>
  <c r="E17" i="9"/>
  <c r="D17" i="9"/>
  <c r="C17" i="9"/>
  <c r="O16" i="9"/>
  <c r="N16" i="9"/>
  <c r="M16" i="9"/>
  <c r="L16" i="9"/>
  <c r="K16" i="9"/>
  <c r="J16" i="9"/>
  <c r="I16" i="9"/>
  <c r="H16" i="9"/>
  <c r="G16" i="9"/>
  <c r="F16" i="9"/>
  <c r="E16" i="9"/>
  <c r="D16" i="9"/>
  <c r="C16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O14" i="9"/>
  <c r="N14" i="9"/>
  <c r="M14" i="9"/>
  <c r="L14" i="9"/>
  <c r="K14" i="9"/>
  <c r="J14" i="9"/>
  <c r="I14" i="9"/>
  <c r="H14" i="9"/>
  <c r="G14" i="9"/>
  <c r="F14" i="9"/>
  <c r="E14" i="9"/>
  <c r="D14" i="9"/>
  <c r="C14" i="9"/>
  <c r="N13" i="9"/>
  <c r="M13" i="9"/>
  <c r="L13" i="9"/>
  <c r="K13" i="9"/>
  <c r="J13" i="9"/>
  <c r="I13" i="9"/>
  <c r="H13" i="9"/>
  <c r="G13" i="9"/>
  <c r="F13" i="9"/>
  <c r="E13" i="9"/>
  <c r="D13" i="9"/>
  <c r="C13" i="9"/>
  <c r="O13" i="9" s="1"/>
  <c r="N12" i="9"/>
  <c r="M12" i="9"/>
  <c r="L12" i="9"/>
  <c r="K12" i="9"/>
  <c r="J12" i="9"/>
  <c r="I12" i="9"/>
  <c r="H12" i="9"/>
  <c r="G12" i="9"/>
  <c r="F12" i="9"/>
  <c r="E12" i="9"/>
  <c r="D12" i="9"/>
  <c r="C12" i="9"/>
  <c r="O12" i="9" s="1"/>
  <c r="N11" i="9"/>
  <c r="M11" i="9"/>
  <c r="M19" i="9" s="1"/>
  <c r="L11" i="9"/>
  <c r="L19" i="9" s="1"/>
  <c r="K11" i="9"/>
  <c r="K19" i="9" s="1"/>
  <c r="J11" i="9"/>
  <c r="J19" i="9" s="1"/>
  <c r="I11" i="9"/>
  <c r="H11" i="9"/>
  <c r="H19" i="9" s="1"/>
  <c r="G11" i="9"/>
  <c r="F11" i="9"/>
  <c r="E11" i="9"/>
  <c r="E19" i="9" s="1"/>
  <c r="D11" i="9"/>
  <c r="D19" i="9" s="1"/>
  <c r="C11" i="9"/>
  <c r="N27" i="8"/>
  <c r="M27" i="8"/>
  <c r="L27" i="8"/>
  <c r="K27" i="8"/>
  <c r="J27" i="8"/>
  <c r="I27" i="8"/>
  <c r="H27" i="8"/>
  <c r="G27" i="8"/>
  <c r="F27" i="8"/>
  <c r="E27" i="8"/>
  <c r="D27" i="8"/>
  <c r="C27" i="8"/>
  <c r="N26" i="8"/>
  <c r="M26" i="8"/>
  <c r="L26" i="8"/>
  <c r="K26" i="8"/>
  <c r="J26" i="8"/>
  <c r="I26" i="8"/>
  <c r="H26" i="8"/>
  <c r="G26" i="8"/>
  <c r="F26" i="8"/>
  <c r="E26" i="8"/>
  <c r="D26" i="8"/>
  <c r="C26" i="8"/>
  <c r="N25" i="8"/>
  <c r="M25" i="8"/>
  <c r="L25" i="8"/>
  <c r="K25" i="8"/>
  <c r="J25" i="8"/>
  <c r="I25" i="8"/>
  <c r="H25" i="8"/>
  <c r="G25" i="8"/>
  <c r="F25" i="8"/>
  <c r="E25" i="8"/>
  <c r="D25" i="8"/>
  <c r="C25" i="8"/>
  <c r="N24" i="8"/>
  <c r="M24" i="8"/>
  <c r="L24" i="8"/>
  <c r="K24" i="8"/>
  <c r="J24" i="8"/>
  <c r="I24" i="8"/>
  <c r="H24" i="8"/>
  <c r="G24" i="8"/>
  <c r="F24" i="8"/>
  <c r="E24" i="8"/>
  <c r="D24" i="8"/>
  <c r="C24" i="8"/>
  <c r="N23" i="8"/>
  <c r="M23" i="8"/>
  <c r="L23" i="8"/>
  <c r="K23" i="8"/>
  <c r="J23" i="8"/>
  <c r="I23" i="8"/>
  <c r="H23" i="8"/>
  <c r="G23" i="8"/>
  <c r="F23" i="8"/>
  <c r="E23" i="8"/>
  <c r="D23" i="8"/>
  <c r="C23" i="8"/>
  <c r="N22" i="8"/>
  <c r="M22" i="8"/>
  <c r="L22" i="8"/>
  <c r="K22" i="8"/>
  <c r="J22" i="8"/>
  <c r="I22" i="8"/>
  <c r="H22" i="8"/>
  <c r="G22" i="8"/>
  <c r="F22" i="8"/>
  <c r="E22" i="8"/>
  <c r="D22" i="8"/>
  <c r="C22" i="8"/>
  <c r="L18" i="8"/>
  <c r="J18" i="8"/>
  <c r="H18" i="8"/>
  <c r="G18" i="8"/>
  <c r="N17" i="8"/>
  <c r="M17" i="8"/>
  <c r="L17" i="8"/>
  <c r="K17" i="8"/>
  <c r="J17" i="8"/>
  <c r="I17" i="8"/>
  <c r="H17" i="8"/>
  <c r="G17" i="8"/>
  <c r="F17" i="8"/>
  <c r="E17" i="8"/>
  <c r="D17" i="8"/>
  <c r="C17" i="8"/>
  <c r="O17" i="8" s="1"/>
  <c r="O16" i="8"/>
  <c r="N16" i="8"/>
  <c r="M16" i="8"/>
  <c r="L16" i="8"/>
  <c r="K16" i="8"/>
  <c r="J16" i="8"/>
  <c r="I16" i="8"/>
  <c r="H16" i="8"/>
  <c r="G16" i="8"/>
  <c r="F16" i="8"/>
  <c r="E16" i="8"/>
  <c r="D16" i="8"/>
  <c r="C16" i="8"/>
  <c r="O15" i="8"/>
  <c r="N15" i="8"/>
  <c r="M15" i="8"/>
  <c r="L15" i="8"/>
  <c r="K15" i="8"/>
  <c r="J15" i="8"/>
  <c r="I15" i="8"/>
  <c r="H15" i="8"/>
  <c r="G15" i="8"/>
  <c r="F15" i="8"/>
  <c r="E15" i="8"/>
  <c r="D15" i="8"/>
  <c r="C15" i="8"/>
  <c r="N14" i="8"/>
  <c r="M14" i="8"/>
  <c r="L14" i="8"/>
  <c r="K14" i="8"/>
  <c r="J14" i="8"/>
  <c r="I14" i="8"/>
  <c r="H14" i="8"/>
  <c r="G14" i="8"/>
  <c r="F14" i="8"/>
  <c r="E14" i="8"/>
  <c r="D14" i="8"/>
  <c r="C14" i="8"/>
  <c r="O14" i="8" s="1"/>
  <c r="O13" i="8"/>
  <c r="N13" i="8"/>
  <c r="M13" i="8"/>
  <c r="L13" i="8"/>
  <c r="K13" i="8"/>
  <c r="J13" i="8"/>
  <c r="I13" i="8"/>
  <c r="H13" i="8"/>
  <c r="G13" i="8"/>
  <c r="F13" i="8"/>
  <c r="E13" i="8"/>
  <c r="D13" i="8"/>
  <c r="C13" i="8"/>
  <c r="N12" i="8"/>
  <c r="M12" i="8"/>
  <c r="L12" i="8"/>
  <c r="K12" i="8"/>
  <c r="J12" i="8"/>
  <c r="I12" i="8"/>
  <c r="H12" i="8"/>
  <c r="G12" i="8"/>
  <c r="F12" i="8"/>
  <c r="E12" i="8"/>
  <c r="D12" i="8"/>
  <c r="C12" i="8"/>
  <c r="O12" i="8" s="1"/>
  <c r="N11" i="8"/>
  <c r="N18" i="8" s="1"/>
  <c r="M11" i="8"/>
  <c r="M18" i="8" s="1"/>
  <c r="L11" i="8"/>
  <c r="K11" i="8"/>
  <c r="K18" i="8" s="1"/>
  <c r="J11" i="8"/>
  <c r="I11" i="8"/>
  <c r="I18" i="8" s="1"/>
  <c r="H11" i="8"/>
  <c r="G11" i="8"/>
  <c r="F11" i="8"/>
  <c r="F18" i="8" s="1"/>
  <c r="E11" i="8"/>
  <c r="E18" i="8" s="1"/>
  <c r="D11" i="8"/>
  <c r="D18" i="8" s="1"/>
  <c r="C11" i="8"/>
  <c r="N32" i="7"/>
  <c r="M32" i="7"/>
  <c r="L32" i="7"/>
  <c r="K32" i="7"/>
  <c r="J32" i="7"/>
  <c r="I32" i="7"/>
  <c r="H32" i="7"/>
  <c r="G32" i="7"/>
  <c r="F32" i="7"/>
  <c r="E32" i="7"/>
  <c r="D32" i="7"/>
  <c r="C32" i="7"/>
  <c r="N31" i="7"/>
  <c r="M31" i="7"/>
  <c r="L31" i="7"/>
  <c r="K31" i="7"/>
  <c r="J31" i="7"/>
  <c r="I31" i="7"/>
  <c r="H31" i="7"/>
  <c r="G31" i="7"/>
  <c r="F31" i="7"/>
  <c r="E31" i="7"/>
  <c r="D31" i="7"/>
  <c r="C31" i="7"/>
  <c r="N30" i="7"/>
  <c r="M30" i="7"/>
  <c r="L30" i="7"/>
  <c r="K30" i="7"/>
  <c r="J30" i="7"/>
  <c r="I30" i="7"/>
  <c r="H30" i="7"/>
  <c r="G30" i="7"/>
  <c r="F30" i="7"/>
  <c r="E30" i="7"/>
  <c r="D30" i="7"/>
  <c r="C30" i="7"/>
  <c r="N29" i="7"/>
  <c r="M29" i="7"/>
  <c r="L29" i="7"/>
  <c r="K29" i="7"/>
  <c r="J29" i="7"/>
  <c r="I29" i="7"/>
  <c r="H29" i="7"/>
  <c r="G29" i="7"/>
  <c r="F29" i="7"/>
  <c r="E29" i="7"/>
  <c r="D29" i="7"/>
  <c r="C29" i="7"/>
  <c r="N28" i="7"/>
  <c r="M28" i="7"/>
  <c r="L28" i="7"/>
  <c r="K28" i="7"/>
  <c r="J28" i="7"/>
  <c r="I28" i="7"/>
  <c r="H28" i="7"/>
  <c r="G28" i="7"/>
  <c r="F28" i="7"/>
  <c r="E28" i="7"/>
  <c r="D28" i="7"/>
  <c r="C28" i="7"/>
  <c r="N27" i="7"/>
  <c r="M27" i="7"/>
  <c r="L27" i="7"/>
  <c r="K27" i="7"/>
  <c r="J27" i="7"/>
  <c r="I27" i="7"/>
  <c r="H27" i="7"/>
  <c r="G27" i="7"/>
  <c r="F27" i="7"/>
  <c r="E27" i="7"/>
  <c r="D27" i="7"/>
  <c r="C27" i="7"/>
  <c r="J23" i="7"/>
  <c r="H23" i="7"/>
  <c r="G23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N19" i="7"/>
  <c r="M19" i="7"/>
  <c r="L19" i="7"/>
  <c r="K19" i="7"/>
  <c r="J19" i="7"/>
  <c r="I19" i="7"/>
  <c r="H19" i="7"/>
  <c r="G19" i="7"/>
  <c r="F19" i="7"/>
  <c r="E19" i="7"/>
  <c r="D19" i="7"/>
  <c r="C19" i="7"/>
  <c r="O19" i="7" s="1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N17" i="7"/>
  <c r="M17" i="7"/>
  <c r="L17" i="7"/>
  <c r="K17" i="7"/>
  <c r="J17" i="7"/>
  <c r="I17" i="7"/>
  <c r="H17" i="7"/>
  <c r="G17" i="7"/>
  <c r="F17" i="7"/>
  <c r="E17" i="7"/>
  <c r="D17" i="7"/>
  <c r="C17" i="7"/>
  <c r="O17" i="7" s="1"/>
  <c r="N16" i="7"/>
  <c r="M16" i="7"/>
  <c r="L16" i="7"/>
  <c r="K16" i="7"/>
  <c r="J16" i="7"/>
  <c r="I16" i="7"/>
  <c r="H16" i="7"/>
  <c r="G16" i="7"/>
  <c r="F16" i="7"/>
  <c r="E16" i="7"/>
  <c r="D16" i="7"/>
  <c r="C16" i="7"/>
  <c r="O16" i="7" s="1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N13" i="7"/>
  <c r="M13" i="7"/>
  <c r="L13" i="7"/>
  <c r="K13" i="7"/>
  <c r="J13" i="7"/>
  <c r="I13" i="7"/>
  <c r="H13" i="7"/>
  <c r="G13" i="7"/>
  <c r="F13" i="7"/>
  <c r="E13" i="7"/>
  <c r="D13" i="7"/>
  <c r="C13" i="7"/>
  <c r="O13" i="7" s="1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N11" i="7"/>
  <c r="N23" i="7" s="1"/>
  <c r="M11" i="7"/>
  <c r="M23" i="7" s="1"/>
  <c r="L11" i="7"/>
  <c r="L23" i="7" s="1"/>
  <c r="K11" i="7"/>
  <c r="K23" i="7" s="1"/>
  <c r="J11" i="7"/>
  <c r="I11" i="7"/>
  <c r="I23" i="7" s="1"/>
  <c r="H11" i="7"/>
  <c r="G11" i="7"/>
  <c r="F11" i="7"/>
  <c r="F23" i="7" s="1"/>
  <c r="E11" i="7"/>
  <c r="E23" i="7" s="1"/>
  <c r="D11" i="7"/>
  <c r="D23" i="7" s="1"/>
  <c r="C11" i="7"/>
  <c r="N26" i="6"/>
  <c r="M26" i="6"/>
  <c r="L26" i="6"/>
  <c r="K26" i="6"/>
  <c r="J26" i="6"/>
  <c r="I26" i="6"/>
  <c r="H26" i="6"/>
  <c r="G26" i="6"/>
  <c r="F26" i="6"/>
  <c r="E26" i="6"/>
  <c r="D26" i="6"/>
  <c r="C26" i="6"/>
  <c r="N25" i="6"/>
  <c r="M25" i="6"/>
  <c r="L25" i="6"/>
  <c r="K25" i="6"/>
  <c r="J25" i="6"/>
  <c r="I25" i="6"/>
  <c r="H25" i="6"/>
  <c r="G25" i="6"/>
  <c r="F25" i="6"/>
  <c r="E25" i="6"/>
  <c r="D25" i="6"/>
  <c r="C25" i="6"/>
  <c r="N24" i="6"/>
  <c r="M24" i="6"/>
  <c r="L24" i="6"/>
  <c r="K24" i="6"/>
  <c r="J24" i="6"/>
  <c r="I24" i="6"/>
  <c r="H24" i="6"/>
  <c r="G24" i="6"/>
  <c r="F24" i="6"/>
  <c r="E24" i="6"/>
  <c r="D24" i="6"/>
  <c r="C24" i="6"/>
  <c r="N23" i="6"/>
  <c r="M23" i="6"/>
  <c r="L23" i="6"/>
  <c r="K23" i="6"/>
  <c r="J23" i="6"/>
  <c r="I23" i="6"/>
  <c r="H23" i="6"/>
  <c r="G23" i="6"/>
  <c r="F23" i="6"/>
  <c r="E23" i="6"/>
  <c r="D23" i="6"/>
  <c r="C23" i="6"/>
  <c r="N22" i="6"/>
  <c r="M22" i="6"/>
  <c r="L22" i="6"/>
  <c r="K22" i="6"/>
  <c r="J22" i="6"/>
  <c r="I22" i="6"/>
  <c r="H22" i="6"/>
  <c r="G22" i="6"/>
  <c r="F22" i="6"/>
  <c r="E22" i="6"/>
  <c r="D22" i="6"/>
  <c r="C22" i="6"/>
  <c r="N21" i="6"/>
  <c r="M21" i="6"/>
  <c r="L21" i="6"/>
  <c r="K21" i="6"/>
  <c r="J21" i="6"/>
  <c r="I21" i="6"/>
  <c r="H21" i="6"/>
  <c r="G21" i="6"/>
  <c r="F21" i="6"/>
  <c r="E21" i="6"/>
  <c r="D21" i="6"/>
  <c r="C21" i="6"/>
  <c r="K17" i="6"/>
  <c r="H17" i="6"/>
  <c r="C17" i="6"/>
  <c r="N16" i="6"/>
  <c r="M16" i="6"/>
  <c r="L16" i="6"/>
  <c r="K16" i="6"/>
  <c r="J16" i="6"/>
  <c r="I16" i="6"/>
  <c r="H16" i="6"/>
  <c r="G16" i="6"/>
  <c r="F16" i="6"/>
  <c r="E16" i="6"/>
  <c r="D16" i="6"/>
  <c r="C16" i="6"/>
  <c r="O16" i="6" s="1"/>
  <c r="N15" i="6"/>
  <c r="M15" i="6"/>
  <c r="L15" i="6"/>
  <c r="K15" i="6"/>
  <c r="J15" i="6"/>
  <c r="I15" i="6"/>
  <c r="H15" i="6"/>
  <c r="G15" i="6"/>
  <c r="F15" i="6"/>
  <c r="E15" i="6"/>
  <c r="D15" i="6"/>
  <c r="C15" i="6"/>
  <c r="O15" i="6" s="1"/>
  <c r="O14" i="6"/>
  <c r="N14" i="6"/>
  <c r="M14" i="6"/>
  <c r="L14" i="6"/>
  <c r="K14" i="6"/>
  <c r="J14" i="6"/>
  <c r="I14" i="6"/>
  <c r="H14" i="6"/>
  <c r="G14" i="6"/>
  <c r="F14" i="6"/>
  <c r="E14" i="6"/>
  <c r="D14" i="6"/>
  <c r="C14" i="6"/>
  <c r="O13" i="6"/>
  <c r="N13" i="6"/>
  <c r="M13" i="6"/>
  <c r="L13" i="6"/>
  <c r="K13" i="6"/>
  <c r="J13" i="6"/>
  <c r="I13" i="6"/>
  <c r="H13" i="6"/>
  <c r="G13" i="6"/>
  <c r="F13" i="6"/>
  <c r="E13" i="6"/>
  <c r="D13" i="6"/>
  <c r="C13" i="6"/>
  <c r="N12" i="6"/>
  <c r="M12" i="6"/>
  <c r="L12" i="6"/>
  <c r="K12" i="6"/>
  <c r="J12" i="6"/>
  <c r="I12" i="6"/>
  <c r="H12" i="6"/>
  <c r="G12" i="6"/>
  <c r="F12" i="6"/>
  <c r="E12" i="6"/>
  <c r="D12" i="6"/>
  <c r="C12" i="6"/>
  <c r="O12" i="6" s="1"/>
  <c r="O11" i="6"/>
  <c r="O17" i="6" s="1"/>
  <c r="N11" i="6"/>
  <c r="N17" i="6" s="1"/>
  <c r="M11" i="6"/>
  <c r="M17" i="6" s="1"/>
  <c r="L11" i="6"/>
  <c r="L17" i="6" s="1"/>
  <c r="K11" i="6"/>
  <c r="J11" i="6"/>
  <c r="J17" i="6" s="1"/>
  <c r="I11" i="6"/>
  <c r="I17" i="6" s="1"/>
  <c r="H11" i="6"/>
  <c r="G11" i="6"/>
  <c r="G17" i="6" s="1"/>
  <c r="F11" i="6"/>
  <c r="F17" i="6" s="1"/>
  <c r="E11" i="6"/>
  <c r="E17" i="6" s="1"/>
  <c r="D11" i="6"/>
  <c r="D17" i="6" s="1"/>
  <c r="C11" i="6"/>
  <c r="N27" i="5"/>
  <c r="M27" i="5"/>
  <c r="L27" i="5"/>
  <c r="K27" i="5"/>
  <c r="J27" i="5"/>
  <c r="I27" i="5"/>
  <c r="H27" i="5"/>
  <c r="G27" i="5"/>
  <c r="F27" i="5"/>
  <c r="E27" i="5"/>
  <c r="D27" i="5"/>
  <c r="C27" i="5"/>
  <c r="N26" i="5"/>
  <c r="M26" i="5"/>
  <c r="L26" i="5"/>
  <c r="K26" i="5"/>
  <c r="J26" i="5"/>
  <c r="I26" i="5"/>
  <c r="H26" i="5"/>
  <c r="G26" i="5"/>
  <c r="F26" i="5"/>
  <c r="E26" i="5"/>
  <c r="D26" i="5"/>
  <c r="C26" i="5"/>
  <c r="N25" i="5"/>
  <c r="M25" i="5"/>
  <c r="L25" i="5"/>
  <c r="K25" i="5"/>
  <c r="J25" i="5"/>
  <c r="I25" i="5"/>
  <c r="H25" i="5"/>
  <c r="G25" i="5"/>
  <c r="F25" i="5"/>
  <c r="E25" i="5"/>
  <c r="D25" i="5"/>
  <c r="C25" i="5"/>
  <c r="N24" i="5"/>
  <c r="M24" i="5"/>
  <c r="L24" i="5"/>
  <c r="K24" i="5"/>
  <c r="J24" i="5"/>
  <c r="I24" i="5"/>
  <c r="H24" i="5"/>
  <c r="G24" i="5"/>
  <c r="F24" i="5"/>
  <c r="E24" i="5"/>
  <c r="D24" i="5"/>
  <c r="C24" i="5"/>
  <c r="N23" i="5"/>
  <c r="M23" i="5"/>
  <c r="L23" i="5"/>
  <c r="K23" i="5"/>
  <c r="J23" i="5"/>
  <c r="I23" i="5"/>
  <c r="H23" i="5"/>
  <c r="G23" i="5"/>
  <c r="F23" i="5"/>
  <c r="E23" i="5"/>
  <c r="D23" i="5"/>
  <c r="C23" i="5"/>
  <c r="N22" i="5"/>
  <c r="M22" i="5"/>
  <c r="L22" i="5"/>
  <c r="K22" i="5"/>
  <c r="J22" i="5"/>
  <c r="I22" i="5"/>
  <c r="H22" i="5"/>
  <c r="G22" i="5"/>
  <c r="F22" i="5"/>
  <c r="E22" i="5"/>
  <c r="D22" i="5"/>
  <c r="C22" i="5"/>
  <c r="N18" i="5"/>
  <c r="L18" i="5"/>
  <c r="K18" i="5"/>
  <c r="J18" i="5"/>
  <c r="F18" i="5"/>
  <c r="D18" i="5"/>
  <c r="C18" i="5"/>
  <c r="N17" i="5"/>
  <c r="M17" i="5"/>
  <c r="L17" i="5"/>
  <c r="K17" i="5"/>
  <c r="J17" i="5"/>
  <c r="I17" i="5"/>
  <c r="H17" i="5"/>
  <c r="G17" i="5"/>
  <c r="F17" i="5"/>
  <c r="E17" i="5"/>
  <c r="D17" i="5"/>
  <c r="C17" i="5"/>
  <c r="O17" i="5" s="1"/>
  <c r="N16" i="5"/>
  <c r="M16" i="5"/>
  <c r="L16" i="5"/>
  <c r="K16" i="5"/>
  <c r="J16" i="5"/>
  <c r="I16" i="5"/>
  <c r="H16" i="5"/>
  <c r="G16" i="5"/>
  <c r="F16" i="5"/>
  <c r="E16" i="5"/>
  <c r="D16" i="5"/>
  <c r="C16" i="5"/>
  <c r="O16" i="5" s="1"/>
  <c r="N15" i="5"/>
  <c r="M15" i="5"/>
  <c r="L15" i="5"/>
  <c r="K15" i="5"/>
  <c r="J15" i="5"/>
  <c r="I15" i="5"/>
  <c r="H15" i="5"/>
  <c r="G15" i="5"/>
  <c r="F15" i="5"/>
  <c r="E15" i="5"/>
  <c r="D15" i="5"/>
  <c r="C15" i="5"/>
  <c r="O15" i="5" s="1"/>
  <c r="O14" i="5"/>
  <c r="N14" i="5"/>
  <c r="M14" i="5"/>
  <c r="L14" i="5"/>
  <c r="K14" i="5"/>
  <c r="J14" i="5"/>
  <c r="I14" i="5"/>
  <c r="H14" i="5"/>
  <c r="G14" i="5"/>
  <c r="F14" i="5"/>
  <c r="E14" i="5"/>
  <c r="D14" i="5"/>
  <c r="C14" i="5"/>
  <c r="N13" i="5"/>
  <c r="M13" i="5"/>
  <c r="L13" i="5"/>
  <c r="K13" i="5"/>
  <c r="J13" i="5"/>
  <c r="I13" i="5"/>
  <c r="H13" i="5"/>
  <c r="G13" i="5"/>
  <c r="F13" i="5"/>
  <c r="E13" i="5"/>
  <c r="D13" i="5"/>
  <c r="C13" i="5"/>
  <c r="O13" i="5" s="1"/>
  <c r="N12" i="5"/>
  <c r="M12" i="5"/>
  <c r="L12" i="5"/>
  <c r="K12" i="5"/>
  <c r="J12" i="5"/>
  <c r="I12" i="5"/>
  <c r="H12" i="5"/>
  <c r="G12" i="5"/>
  <c r="F12" i="5"/>
  <c r="E12" i="5"/>
  <c r="D12" i="5"/>
  <c r="C12" i="5"/>
  <c r="O12" i="5" s="1"/>
  <c r="O11" i="5"/>
  <c r="O18" i="5" s="1"/>
  <c r="N11" i="5"/>
  <c r="M11" i="5"/>
  <c r="M18" i="5" s="1"/>
  <c r="L11" i="5"/>
  <c r="K11" i="5"/>
  <c r="J11" i="5"/>
  <c r="I11" i="5"/>
  <c r="I18" i="5" s="1"/>
  <c r="H11" i="5"/>
  <c r="H18" i="5" s="1"/>
  <c r="G11" i="5"/>
  <c r="G18" i="5" s="1"/>
  <c r="F11" i="5"/>
  <c r="E11" i="5"/>
  <c r="E18" i="5" s="1"/>
  <c r="D11" i="5"/>
  <c r="C11" i="5"/>
  <c r="N32" i="4"/>
  <c r="M32" i="4"/>
  <c r="L32" i="4"/>
  <c r="K32" i="4"/>
  <c r="J32" i="4"/>
  <c r="I32" i="4"/>
  <c r="H32" i="4"/>
  <c r="G32" i="4"/>
  <c r="F32" i="4"/>
  <c r="E32" i="4"/>
  <c r="D32" i="4"/>
  <c r="C32" i="4"/>
  <c r="N31" i="4"/>
  <c r="M31" i="4"/>
  <c r="L31" i="4"/>
  <c r="K31" i="4"/>
  <c r="J31" i="4"/>
  <c r="I31" i="4"/>
  <c r="H31" i="4"/>
  <c r="G31" i="4"/>
  <c r="F31" i="4"/>
  <c r="E31" i="4"/>
  <c r="D31" i="4"/>
  <c r="C31" i="4"/>
  <c r="N30" i="4"/>
  <c r="M30" i="4"/>
  <c r="L30" i="4"/>
  <c r="K30" i="4"/>
  <c r="J30" i="4"/>
  <c r="I30" i="4"/>
  <c r="H30" i="4"/>
  <c r="G30" i="4"/>
  <c r="F30" i="4"/>
  <c r="E30" i="4"/>
  <c r="D30" i="4"/>
  <c r="C30" i="4"/>
  <c r="N29" i="4"/>
  <c r="M29" i="4"/>
  <c r="L29" i="4"/>
  <c r="K29" i="4"/>
  <c r="J29" i="4"/>
  <c r="I29" i="4"/>
  <c r="H29" i="4"/>
  <c r="G29" i="4"/>
  <c r="F29" i="4"/>
  <c r="E29" i="4"/>
  <c r="D29" i="4"/>
  <c r="C29" i="4"/>
  <c r="N28" i="4"/>
  <c r="M28" i="4"/>
  <c r="L28" i="4"/>
  <c r="K28" i="4"/>
  <c r="J28" i="4"/>
  <c r="I28" i="4"/>
  <c r="H28" i="4"/>
  <c r="G28" i="4"/>
  <c r="F28" i="4"/>
  <c r="E28" i="4"/>
  <c r="D28" i="4"/>
  <c r="C28" i="4"/>
  <c r="N27" i="4"/>
  <c r="M27" i="4"/>
  <c r="L27" i="4"/>
  <c r="K27" i="4"/>
  <c r="J27" i="4"/>
  <c r="I27" i="4"/>
  <c r="H27" i="4"/>
  <c r="G27" i="4"/>
  <c r="F27" i="4"/>
  <c r="E27" i="4"/>
  <c r="D27" i="4"/>
  <c r="C27" i="4"/>
  <c r="N23" i="4"/>
  <c r="L23" i="4"/>
  <c r="K23" i="4"/>
  <c r="J23" i="4"/>
  <c r="F23" i="4"/>
  <c r="D23" i="4"/>
  <c r="C23" i="4"/>
  <c r="N22" i="4"/>
  <c r="M22" i="4"/>
  <c r="L22" i="4"/>
  <c r="K22" i="4"/>
  <c r="J22" i="4"/>
  <c r="I22" i="4"/>
  <c r="H22" i="4"/>
  <c r="G22" i="4"/>
  <c r="F22" i="4"/>
  <c r="E22" i="4"/>
  <c r="D22" i="4"/>
  <c r="C22" i="4"/>
  <c r="O22" i="4" s="1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N20" i="4"/>
  <c r="M20" i="4"/>
  <c r="L20" i="4"/>
  <c r="K20" i="4"/>
  <c r="J20" i="4"/>
  <c r="I20" i="4"/>
  <c r="H20" i="4"/>
  <c r="G20" i="4"/>
  <c r="F20" i="4"/>
  <c r="E20" i="4"/>
  <c r="D20" i="4"/>
  <c r="C20" i="4"/>
  <c r="O20" i="4" s="1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N18" i="4"/>
  <c r="M18" i="4"/>
  <c r="L18" i="4"/>
  <c r="K18" i="4"/>
  <c r="J18" i="4"/>
  <c r="I18" i="4"/>
  <c r="H18" i="4"/>
  <c r="G18" i="4"/>
  <c r="F18" i="4"/>
  <c r="E18" i="4"/>
  <c r="D18" i="4"/>
  <c r="C18" i="4"/>
  <c r="O18" i="4" s="1"/>
  <c r="N17" i="4"/>
  <c r="M17" i="4"/>
  <c r="L17" i="4"/>
  <c r="K17" i="4"/>
  <c r="J17" i="4"/>
  <c r="I17" i="4"/>
  <c r="H17" i="4"/>
  <c r="G17" i="4"/>
  <c r="F17" i="4"/>
  <c r="E17" i="4"/>
  <c r="D17" i="4"/>
  <c r="C17" i="4"/>
  <c r="O17" i="4" s="1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N15" i="4"/>
  <c r="M15" i="4"/>
  <c r="L15" i="4"/>
  <c r="K15" i="4"/>
  <c r="J15" i="4"/>
  <c r="I15" i="4"/>
  <c r="H15" i="4"/>
  <c r="G15" i="4"/>
  <c r="F15" i="4"/>
  <c r="E15" i="4"/>
  <c r="D15" i="4"/>
  <c r="C15" i="4"/>
  <c r="O15" i="4" s="1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N12" i="4"/>
  <c r="M12" i="4"/>
  <c r="L12" i="4"/>
  <c r="K12" i="4"/>
  <c r="J12" i="4"/>
  <c r="I12" i="4"/>
  <c r="H12" i="4"/>
  <c r="G12" i="4"/>
  <c r="F12" i="4"/>
  <c r="E12" i="4"/>
  <c r="D12" i="4"/>
  <c r="C12" i="4"/>
  <c r="O12" i="4" s="1"/>
  <c r="O11" i="4"/>
  <c r="O23" i="4" s="1"/>
  <c r="N11" i="4"/>
  <c r="M11" i="4"/>
  <c r="M23" i="4" s="1"/>
  <c r="L11" i="4"/>
  <c r="K11" i="4"/>
  <c r="J11" i="4"/>
  <c r="I11" i="4"/>
  <c r="I23" i="4" s="1"/>
  <c r="H11" i="4"/>
  <c r="H23" i="4" s="1"/>
  <c r="G11" i="4"/>
  <c r="G23" i="4" s="1"/>
  <c r="F11" i="4"/>
  <c r="E11" i="4"/>
  <c r="E23" i="4" s="1"/>
  <c r="D11" i="4"/>
  <c r="C11" i="4"/>
  <c r="N27" i="3"/>
  <c r="M27" i="3"/>
  <c r="L27" i="3"/>
  <c r="K27" i="3"/>
  <c r="J27" i="3"/>
  <c r="I27" i="3"/>
  <c r="H27" i="3"/>
  <c r="G27" i="3"/>
  <c r="F27" i="3"/>
  <c r="E27" i="3"/>
  <c r="D27" i="3"/>
  <c r="C27" i="3"/>
  <c r="N26" i="3"/>
  <c r="M26" i="3"/>
  <c r="L26" i="3"/>
  <c r="K26" i="3"/>
  <c r="J26" i="3"/>
  <c r="I26" i="3"/>
  <c r="H26" i="3"/>
  <c r="G26" i="3"/>
  <c r="F26" i="3"/>
  <c r="E26" i="3"/>
  <c r="D26" i="3"/>
  <c r="C26" i="3"/>
  <c r="N25" i="3"/>
  <c r="M25" i="3"/>
  <c r="L25" i="3"/>
  <c r="K25" i="3"/>
  <c r="J25" i="3"/>
  <c r="I25" i="3"/>
  <c r="H25" i="3"/>
  <c r="G25" i="3"/>
  <c r="F25" i="3"/>
  <c r="E25" i="3"/>
  <c r="D25" i="3"/>
  <c r="C25" i="3"/>
  <c r="N24" i="3"/>
  <c r="M24" i="3"/>
  <c r="L24" i="3"/>
  <c r="K24" i="3"/>
  <c r="J24" i="3"/>
  <c r="I24" i="3"/>
  <c r="H24" i="3"/>
  <c r="G24" i="3"/>
  <c r="F24" i="3"/>
  <c r="E24" i="3"/>
  <c r="D24" i="3"/>
  <c r="C24" i="3"/>
  <c r="N23" i="3"/>
  <c r="M23" i="3"/>
  <c r="L23" i="3"/>
  <c r="K23" i="3"/>
  <c r="J23" i="3"/>
  <c r="I23" i="3"/>
  <c r="H23" i="3"/>
  <c r="G23" i="3"/>
  <c r="F23" i="3"/>
  <c r="E23" i="3"/>
  <c r="D23" i="3"/>
  <c r="C23" i="3"/>
  <c r="N22" i="3"/>
  <c r="M22" i="3"/>
  <c r="L22" i="3"/>
  <c r="K22" i="3"/>
  <c r="J22" i="3"/>
  <c r="I22" i="3"/>
  <c r="H22" i="3"/>
  <c r="G22" i="3"/>
  <c r="F22" i="3"/>
  <c r="E22" i="3"/>
  <c r="D22" i="3"/>
  <c r="C22" i="3"/>
  <c r="M18" i="3"/>
  <c r="L18" i="3"/>
  <c r="K18" i="3"/>
  <c r="G18" i="3"/>
  <c r="E18" i="3"/>
  <c r="D18" i="3"/>
  <c r="C18" i="3"/>
  <c r="N17" i="3"/>
  <c r="M17" i="3"/>
  <c r="L17" i="3"/>
  <c r="K17" i="3"/>
  <c r="J17" i="3"/>
  <c r="I17" i="3"/>
  <c r="H17" i="3"/>
  <c r="G17" i="3"/>
  <c r="F17" i="3"/>
  <c r="E17" i="3"/>
  <c r="D17" i="3"/>
  <c r="C17" i="3"/>
  <c r="O17" i="3" s="1"/>
  <c r="O16" i="3"/>
  <c r="N16" i="3"/>
  <c r="M16" i="3"/>
  <c r="L16" i="3"/>
  <c r="K16" i="3"/>
  <c r="J16" i="3"/>
  <c r="I16" i="3"/>
  <c r="H16" i="3"/>
  <c r="G16" i="3"/>
  <c r="F16" i="3"/>
  <c r="E16" i="3"/>
  <c r="D16" i="3"/>
  <c r="C16" i="3"/>
  <c r="N15" i="3"/>
  <c r="M15" i="3"/>
  <c r="L15" i="3"/>
  <c r="K15" i="3"/>
  <c r="J15" i="3"/>
  <c r="I15" i="3"/>
  <c r="H15" i="3"/>
  <c r="G15" i="3"/>
  <c r="F15" i="3"/>
  <c r="E15" i="3"/>
  <c r="D15" i="3"/>
  <c r="C15" i="3"/>
  <c r="O15" i="3" s="1"/>
  <c r="O14" i="3"/>
  <c r="N14" i="3"/>
  <c r="M14" i="3"/>
  <c r="L14" i="3"/>
  <c r="K14" i="3"/>
  <c r="J14" i="3"/>
  <c r="I14" i="3"/>
  <c r="H14" i="3"/>
  <c r="G14" i="3"/>
  <c r="F14" i="3"/>
  <c r="E14" i="3"/>
  <c r="D14" i="3"/>
  <c r="C14" i="3"/>
  <c r="O13" i="3"/>
  <c r="N13" i="3"/>
  <c r="M13" i="3"/>
  <c r="L13" i="3"/>
  <c r="K13" i="3"/>
  <c r="J13" i="3"/>
  <c r="I13" i="3"/>
  <c r="H13" i="3"/>
  <c r="G13" i="3"/>
  <c r="F13" i="3"/>
  <c r="E13" i="3"/>
  <c r="D13" i="3"/>
  <c r="C13" i="3"/>
  <c r="N12" i="3"/>
  <c r="M12" i="3"/>
  <c r="L12" i="3"/>
  <c r="K12" i="3"/>
  <c r="J12" i="3"/>
  <c r="I12" i="3"/>
  <c r="H12" i="3"/>
  <c r="G12" i="3"/>
  <c r="F12" i="3"/>
  <c r="E12" i="3"/>
  <c r="D12" i="3"/>
  <c r="C12" i="3"/>
  <c r="O12" i="3" s="1"/>
  <c r="O11" i="3"/>
  <c r="O18" i="3" s="1"/>
  <c r="N11" i="3"/>
  <c r="N18" i="3" s="1"/>
  <c r="M11" i="3"/>
  <c r="L11" i="3"/>
  <c r="K11" i="3"/>
  <c r="J11" i="3"/>
  <c r="J18" i="3" s="1"/>
  <c r="I11" i="3"/>
  <c r="I18" i="3" s="1"/>
  <c r="H11" i="3"/>
  <c r="H18" i="3" s="1"/>
  <c r="G11" i="3"/>
  <c r="F11" i="3"/>
  <c r="F18" i="3" s="1"/>
  <c r="E11" i="3"/>
  <c r="D11" i="3"/>
  <c r="C11" i="3"/>
  <c r="N32" i="2"/>
  <c r="M32" i="2"/>
  <c r="L32" i="2"/>
  <c r="K32" i="2"/>
  <c r="J32" i="2"/>
  <c r="I32" i="2"/>
  <c r="H32" i="2"/>
  <c r="G32" i="2"/>
  <c r="F32" i="2"/>
  <c r="E32" i="2"/>
  <c r="D32" i="2"/>
  <c r="C32" i="2"/>
  <c r="N31" i="2"/>
  <c r="M31" i="2"/>
  <c r="L31" i="2"/>
  <c r="K31" i="2"/>
  <c r="J31" i="2"/>
  <c r="I31" i="2"/>
  <c r="H31" i="2"/>
  <c r="G31" i="2"/>
  <c r="F31" i="2"/>
  <c r="E31" i="2"/>
  <c r="D31" i="2"/>
  <c r="C31" i="2"/>
  <c r="N30" i="2"/>
  <c r="M30" i="2"/>
  <c r="L30" i="2"/>
  <c r="K30" i="2"/>
  <c r="J30" i="2"/>
  <c r="I30" i="2"/>
  <c r="H30" i="2"/>
  <c r="G30" i="2"/>
  <c r="F30" i="2"/>
  <c r="E30" i="2"/>
  <c r="D30" i="2"/>
  <c r="C30" i="2"/>
  <c r="N29" i="2"/>
  <c r="M29" i="2"/>
  <c r="L29" i="2"/>
  <c r="K29" i="2"/>
  <c r="J29" i="2"/>
  <c r="I29" i="2"/>
  <c r="H29" i="2"/>
  <c r="G29" i="2"/>
  <c r="F29" i="2"/>
  <c r="E29" i="2"/>
  <c r="D29" i="2"/>
  <c r="C29" i="2"/>
  <c r="N28" i="2"/>
  <c r="M28" i="2"/>
  <c r="L28" i="2"/>
  <c r="K28" i="2"/>
  <c r="J28" i="2"/>
  <c r="I28" i="2"/>
  <c r="H28" i="2"/>
  <c r="G28" i="2"/>
  <c r="F28" i="2"/>
  <c r="E28" i="2"/>
  <c r="D28" i="2"/>
  <c r="C28" i="2"/>
  <c r="N27" i="2"/>
  <c r="M27" i="2"/>
  <c r="L27" i="2"/>
  <c r="K27" i="2"/>
  <c r="J27" i="2"/>
  <c r="I27" i="2"/>
  <c r="H27" i="2"/>
  <c r="G27" i="2"/>
  <c r="F27" i="2"/>
  <c r="E27" i="2"/>
  <c r="D27" i="2"/>
  <c r="C27" i="2"/>
  <c r="N23" i="2"/>
  <c r="M23" i="2"/>
  <c r="L23" i="2"/>
  <c r="K23" i="2"/>
  <c r="G23" i="2"/>
  <c r="F23" i="2"/>
  <c r="E23" i="2"/>
  <c r="D23" i="2"/>
  <c r="C23" i="2"/>
  <c r="N22" i="2"/>
  <c r="M22" i="2"/>
  <c r="L22" i="2"/>
  <c r="K22" i="2"/>
  <c r="J22" i="2"/>
  <c r="I22" i="2"/>
  <c r="H22" i="2"/>
  <c r="G22" i="2"/>
  <c r="F22" i="2"/>
  <c r="E22" i="2"/>
  <c r="D22" i="2"/>
  <c r="C22" i="2"/>
  <c r="O22" i="2" s="1"/>
  <c r="O21" i="2"/>
  <c r="N21" i="2"/>
  <c r="M21" i="2"/>
  <c r="L21" i="2"/>
  <c r="K21" i="2"/>
  <c r="J21" i="2"/>
  <c r="I21" i="2"/>
  <c r="H21" i="2"/>
  <c r="G21" i="2"/>
  <c r="F21" i="2"/>
  <c r="E21" i="2"/>
  <c r="D21" i="2"/>
  <c r="C21" i="2"/>
  <c r="N20" i="2"/>
  <c r="M20" i="2"/>
  <c r="L20" i="2"/>
  <c r="K20" i="2"/>
  <c r="J20" i="2"/>
  <c r="I20" i="2"/>
  <c r="H20" i="2"/>
  <c r="G20" i="2"/>
  <c r="F20" i="2"/>
  <c r="E20" i="2"/>
  <c r="D20" i="2"/>
  <c r="C20" i="2"/>
  <c r="O20" i="2" s="1"/>
  <c r="O19" i="2"/>
  <c r="N19" i="2"/>
  <c r="M19" i="2"/>
  <c r="L19" i="2"/>
  <c r="K19" i="2"/>
  <c r="J19" i="2"/>
  <c r="I19" i="2"/>
  <c r="H19" i="2"/>
  <c r="G19" i="2"/>
  <c r="F19" i="2"/>
  <c r="E19" i="2"/>
  <c r="D19" i="2"/>
  <c r="C19" i="2"/>
  <c r="O18" i="2"/>
  <c r="N18" i="2"/>
  <c r="M18" i="2"/>
  <c r="L18" i="2"/>
  <c r="K18" i="2"/>
  <c r="J18" i="2"/>
  <c r="I18" i="2"/>
  <c r="H18" i="2"/>
  <c r="G18" i="2"/>
  <c r="F18" i="2"/>
  <c r="E18" i="2"/>
  <c r="D18" i="2"/>
  <c r="C18" i="2"/>
  <c r="N17" i="2"/>
  <c r="M17" i="2"/>
  <c r="L17" i="2"/>
  <c r="K17" i="2"/>
  <c r="J17" i="2"/>
  <c r="I17" i="2"/>
  <c r="H17" i="2"/>
  <c r="G17" i="2"/>
  <c r="F17" i="2"/>
  <c r="E17" i="2"/>
  <c r="D17" i="2"/>
  <c r="C17" i="2"/>
  <c r="O17" i="2" s="1"/>
  <c r="O16" i="2"/>
  <c r="N16" i="2"/>
  <c r="M16" i="2"/>
  <c r="L16" i="2"/>
  <c r="K16" i="2"/>
  <c r="J16" i="2"/>
  <c r="I16" i="2"/>
  <c r="H16" i="2"/>
  <c r="G16" i="2"/>
  <c r="F16" i="2"/>
  <c r="E16" i="2"/>
  <c r="D16" i="2"/>
  <c r="C16" i="2"/>
  <c r="N15" i="2"/>
  <c r="M15" i="2"/>
  <c r="L15" i="2"/>
  <c r="K15" i="2"/>
  <c r="J15" i="2"/>
  <c r="I15" i="2"/>
  <c r="H15" i="2"/>
  <c r="G15" i="2"/>
  <c r="F15" i="2"/>
  <c r="E15" i="2"/>
  <c r="D15" i="2"/>
  <c r="C15" i="2"/>
  <c r="O15" i="2" s="1"/>
  <c r="N14" i="2"/>
  <c r="M14" i="2"/>
  <c r="L14" i="2"/>
  <c r="K14" i="2"/>
  <c r="J14" i="2"/>
  <c r="I14" i="2"/>
  <c r="H14" i="2"/>
  <c r="G14" i="2"/>
  <c r="F14" i="2"/>
  <c r="E14" i="2"/>
  <c r="D14" i="2"/>
  <c r="C14" i="2"/>
  <c r="O14" i="2" s="1"/>
  <c r="O13" i="2"/>
  <c r="N13" i="2"/>
  <c r="M13" i="2"/>
  <c r="L13" i="2"/>
  <c r="K13" i="2"/>
  <c r="J13" i="2"/>
  <c r="I13" i="2"/>
  <c r="H13" i="2"/>
  <c r="G13" i="2"/>
  <c r="F13" i="2"/>
  <c r="E13" i="2"/>
  <c r="D13" i="2"/>
  <c r="C13" i="2"/>
  <c r="N12" i="2"/>
  <c r="M12" i="2"/>
  <c r="L12" i="2"/>
  <c r="K12" i="2"/>
  <c r="J12" i="2"/>
  <c r="I12" i="2"/>
  <c r="H12" i="2"/>
  <c r="G12" i="2"/>
  <c r="F12" i="2"/>
  <c r="E12" i="2"/>
  <c r="D12" i="2"/>
  <c r="C12" i="2"/>
  <c r="O12" i="2" s="1"/>
  <c r="O11" i="2"/>
  <c r="O23" i="2" s="1"/>
  <c r="N11" i="2"/>
  <c r="M11" i="2"/>
  <c r="L11" i="2"/>
  <c r="K11" i="2"/>
  <c r="J11" i="2"/>
  <c r="J23" i="2" s="1"/>
  <c r="I11" i="2"/>
  <c r="I23" i="2" s="1"/>
  <c r="H11" i="2"/>
  <c r="H23" i="2" s="1"/>
  <c r="G11" i="2"/>
  <c r="F11" i="2"/>
  <c r="E11" i="2"/>
  <c r="D11" i="2"/>
  <c r="C11" i="2"/>
  <c r="O11" i="28" l="1"/>
  <c r="O23" i="28" s="1"/>
  <c r="C23" i="28"/>
  <c r="C23" i="10"/>
  <c r="O11" i="10"/>
  <c r="O23" i="10" s="1"/>
  <c r="O11" i="8"/>
  <c r="O18" i="8" s="1"/>
  <c r="C18" i="8"/>
  <c r="C23" i="16"/>
  <c r="C17" i="24"/>
  <c r="C17" i="29"/>
  <c r="O11" i="29"/>
  <c r="O17" i="29" s="1"/>
  <c r="C23" i="7"/>
  <c r="O11" i="7"/>
  <c r="O23" i="7" s="1"/>
  <c r="C19" i="9"/>
  <c r="O11" i="9"/>
  <c r="O19" i="9" s="1"/>
  <c r="C23" i="21"/>
  <c r="O11" i="21"/>
  <c r="O23" i="21" s="1"/>
  <c r="C23" i="32"/>
  <c r="O11" i="32"/>
  <c r="O23" i="32" s="1"/>
  <c r="C23" i="15"/>
  <c r="O11" i="15"/>
  <c r="O23" i="15" s="1"/>
  <c r="C23" i="26"/>
  <c r="C23" i="20"/>
</calcChain>
</file>

<file path=xl/sharedStrings.xml><?xml version="1.0" encoding="utf-8"?>
<sst xmlns="http://schemas.openxmlformats.org/spreadsheetml/2006/main" count="2493" uniqueCount="731">
  <si>
    <t>Open EPM — Setup</t>
  </si>
  <si>
    <t>1. Import VBA module: Alt+F11 → File → Import → OpenEPM.bas</t>
  </si>
  <si>
    <t>2. Save as .xlsm (macro-enabled workbook)</t>
  </si>
  <si>
    <t>3. Close &amp; reopen to activate Auto_Open</t>
  </si>
  <si>
    <t>4. Go to any entity sheet, press Ctrl+Shift+R to refresh</t>
  </si>
  <si>
    <t>Parameters (yellow cells):</t>
  </si>
  <si>
    <t xml:space="preserve">  B5 = Entity code (pre-filled per sheet)</t>
  </si>
  <si>
    <t xml:space="preserve">  B6 = Fiscal year (set to year with most data)</t>
  </si>
  <si>
    <t xml:space="preserve">  B7 = Scenario: actuals, budget, or variance</t>
  </si>
  <si>
    <t>API server: http://localhost:8080 (change via Alt+F8 → EPM_SetServer)</t>
  </si>
  <si>
    <t>Open EPM — AFSN</t>
  </si>
  <si>
    <t>Press Ctrl+Shift+R to refresh all EPM formulas.</t>
  </si>
  <si>
    <t>PARAMETERS</t>
  </si>
  <si>
    <t>Entity:</t>
  </si>
  <si>
    <t>AFSN</t>
  </si>
  <si>
    <t>Year:</t>
  </si>
  <si>
    <t>Scenario:</t>
  </si>
  <si>
    <t>actuals</t>
  </si>
  <si>
    <t>PROFIT &amp; LOSS</t>
  </si>
  <si>
    <t>Account</t>
  </si>
  <si>
    <t>Description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</si>
  <si>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</si>
  <si>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</si>
  <si>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</si>
  <si>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</si>
  <si>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</si>
  <si>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</si>
  <si>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</si>
  <si>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</si>
  <si>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</si>
  <si>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</si>
  <si>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</si>
  <si>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</si>
  <si>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YTD</t>
  </si>
  <si>
    <t>510310</t>
  </si>
  <si>
    <t>Purchase Price Variance</t>
  </si>
  <si>
    <t>618900</t>
  </si>
  <si>
    <t>Miscellaneous expense</t>
  </si>
  <si>
    <t>606700</t>
  </si>
  <si>
    <t>Moving Expense</t>
  </si>
  <si>
    <t>6000</t>
  </si>
  <si>
    <t>Raumaufwand</t>
  </si>
  <si>
    <t>8000</t>
  </si>
  <si>
    <t>Revenue/Sales (high rate)</t>
  </si>
  <si>
    <t>401100</t>
  </si>
  <si>
    <t>Product Sales</t>
  </si>
  <si>
    <t>9010</t>
  </si>
  <si>
    <t>Rounding difference</t>
  </si>
  <si>
    <t>5020</t>
  </si>
  <si>
    <t>COGS - Finished Goods</t>
  </si>
  <si>
    <t>8200</t>
  </si>
  <si>
    <t>Revenue – VAT exempt</t>
  </si>
  <si>
    <t>500100</t>
  </si>
  <si>
    <t>3000</t>
  </si>
  <si>
    <t>Produktionserlöse Fahrräder</t>
  </si>
  <si>
    <t>6010</t>
  </si>
  <si>
    <t>Discount &amp; Allowances Received</t>
  </si>
  <si>
    <t>TOTAL P&amp;L</t>
  </si>
  <si>
    <t>BALANCE SHEET</t>
  </si>
  <si>
    <t>200140</t>
  </si>
  <si>
    <t>Accrued Purchases - Received Not Invoiced</t>
  </si>
  <si>
    <t>140200</t>
  </si>
  <si>
    <t>Finished Goods Inventory</t>
  </si>
  <si>
    <t>1600</t>
  </si>
  <si>
    <t>Intangible Assets</t>
  </si>
  <si>
    <t>1300</t>
  </si>
  <si>
    <t>Other Inventory</t>
  </si>
  <si>
    <t>3010</t>
  </si>
  <si>
    <t>1640</t>
  </si>
  <si>
    <t>Purchased material</t>
  </si>
  <si>
    <t>Open EPM — BEL</t>
  </si>
  <si>
    <t>BEL</t>
  </si>
  <si>
    <t>550103</t>
  </si>
  <si>
    <t>工会经费</t>
  </si>
  <si>
    <t>400000</t>
  </si>
  <si>
    <t>Expenses</t>
  </si>
  <si>
    <t>700000</t>
  </si>
  <si>
    <t>Gross Sales</t>
  </si>
  <si>
    <t>612200</t>
  </si>
  <si>
    <t>Travel expenses</t>
  </si>
  <si>
    <t>619000</t>
  </si>
  <si>
    <t>Rab. Rem. Rist. s/Serv Exter</t>
  </si>
  <si>
    <t>6000001</t>
  </si>
  <si>
    <t>general costs</t>
  </si>
  <si>
    <t>614300</t>
  </si>
  <si>
    <t>Advertising &amp; Promotion</t>
  </si>
  <si>
    <t>BNP Produo test account</t>
  </si>
  <si>
    <t>Revenue</t>
  </si>
  <si>
    <t>580200</t>
  </si>
  <si>
    <t>Clearing account Adyen</t>
  </si>
  <si>
    <t>580100</t>
  </si>
  <si>
    <t>Cash deposit store</t>
  </si>
  <si>
    <t>440000</t>
  </si>
  <si>
    <t>Vendor</t>
  </si>
  <si>
    <t>499999</t>
  </si>
  <si>
    <t>Not found - waiting acc</t>
  </si>
  <si>
    <t>Open EPM — BRMF</t>
  </si>
  <si>
    <t>BRMF</t>
  </si>
  <si>
    <t>6.1.1.1.10</t>
  </si>
  <si>
    <t>Vendas de Produtos de Fabricação Própria</t>
  </si>
  <si>
    <t>6.1.1.1.01</t>
  </si>
  <si>
    <t>Vendas de Mercadorias</t>
  </si>
  <si>
    <t>5.1.1.1.01</t>
  </si>
  <si>
    <t>Custo das Mercadorias Vendidas</t>
  </si>
  <si>
    <t>5.1.1.9.01</t>
  </si>
  <si>
    <t>Apropriação de custos diretos</t>
  </si>
  <si>
    <t>5.1.1.1.02</t>
  </si>
  <si>
    <t>Custo dos Produtos Vendidos</t>
  </si>
  <si>
    <t>6.1.1.1.20</t>
  </si>
  <si>
    <t>Vendas de Serviços Prestados</t>
  </si>
  <si>
    <t>6.1.1.2.03</t>
  </si>
  <si>
    <t>ICMS</t>
  </si>
  <si>
    <t>6.1.1.2.07</t>
  </si>
  <si>
    <t>IPI</t>
  </si>
  <si>
    <t>5.1.1.3.08</t>
  </si>
  <si>
    <t>Material de Consumo</t>
  </si>
  <si>
    <t>6.1.1.2.05</t>
  </si>
  <si>
    <t>COFINS</t>
  </si>
  <si>
    <t>6.1.1.2.06</t>
  </si>
  <si>
    <t>PIS</t>
  </si>
  <si>
    <t>6.1.2.1.02</t>
  </si>
  <si>
    <t>Outras Receitas</t>
  </si>
  <si>
    <t>1.2.2.1.01</t>
  </si>
  <si>
    <t>CLIENTES</t>
  </si>
  <si>
    <t>1.1.3.9.01</t>
  </si>
  <si>
    <t>Importações em andamento</t>
  </si>
  <si>
    <t>1.1.1.2.01</t>
  </si>
  <si>
    <t>Banco A</t>
  </si>
  <si>
    <t>1.1.3.2.02</t>
  </si>
  <si>
    <t>Produtos em elaboração</t>
  </si>
  <si>
    <t>2.1.1.4.01</t>
  </si>
  <si>
    <t>FORNECEDORES</t>
  </si>
  <si>
    <t>1.1.3.1.01</t>
  </si>
  <si>
    <t>MERCADORIAS PARA REVENDA</t>
  </si>
  <si>
    <t>Open EPM — BSW7</t>
  </si>
  <si>
    <t>BSW7</t>
  </si>
  <si>
    <t>401300</t>
  </si>
  <si>
    <t>Other Revenues</t>
  </si>
  <si>
    <t>801100</t>
  </si>
  <si>
    <t>Gain &amp; Loss - Disposal of Assets</t>
  </si>
  <si>
    <t>601400</t>
  </si>
  <si>
    <t>Entertainment &amp; Public Relations Expense</t>
  </si>
  <si>
    <t>607200</t>
  </si>
  <si>
    <t>Depreciation Expense - Tangible Assets</t>
  </si>
  <si>
    <t>600150</t>
  </si>
  <si>
    <t>Other miscellaneous expenses</t>
  </si>
  <si>
    <t>700200</t>
  </si>
  <si>
    <t>Interest Income - Customers</t>
  </si>
  <si>
    <t>801300</t>
  </si>
  <si>
    <t>Currency adjustment loss - Realized</t>
  </si>
  <si>
    <t>130100</t>
  </si>
  <si>
    <t>Trade Receivables - Domestic</t>
  </si>
  <si>
    <t>300160</t>
  </si>
  <si>
    <t>Retained Earnings</t>
  </si>
  <si>
    <t>180100</t>
  </si>
  <si>
    <t>Computer Equipment</t>
  </si>
  <si>
    <t>222200</t>
  </si>
  <si>
    <t>VAT Tax Payable</t>
  </si>
  <si>
    <t>1000BSW</t>
  </si>
  <si>
    <t>BSW Cash</t>
  </si>
  <si>
    <t>180200</t>
  </si>
  <si>
    <t>Accumulated Depreciation - Computer Equipment</t>
  </si>
  <si>
    <t>Open EPM — CBD</t>
  </si>
  <si>
    <t>CBD</t>
  </si>
  <si>
    <t>5136003</t>
  </si>
  <si>
    <t>Rent - Office</t>
  </si>
  <si>
    <t>4221004</t>
  </si>
  <si>
    <t>Forex gain- unrealised gain/loss</t>
  </si>
  <si>
    <t>4221001</t>
  </si>
  <si>
    <t>Fair value - realised gain/loss</t>
  </si>
  <si>
    <t>5111001</t>
  </si>
  <si>
    <t>COGS - Project Material</t>
  </si>
  <si>
    <t>4221002</t>
  </si>
  <si>
    <t>Fair value - unrealised gain/loss</t>
  </si>
  <si>
    <t>5139011</t>
  </si>
  <si>
    <t>Exhibition Expenses</t>
  </si>
  <si>
    <t>2233004</t>
  </si>
  <si>
    <t>Other Payable</t>
  </si>
  <si>
    <t>1251001</t>
  </si>
  <si>
    <t>Cash in hand</t>
  </si>
  <si>
    <t>1114001</t>
  </si>
  <si>
    <t>CWIP - Buildings</t>
  </si>
  <si>
    <t>1211001</t>
  </si>
  <si>
    <t>Contract WIP - Project Material</t>
  </si>
  <si>
    <t>1261001</t>
  </si>
  <si>
    <t>Asset held for sale - Short Term</t>
  </si>
  <si>
    <t>1111003</t>
  </si>
  <si>
    <t>CWIP</t>
  </si>
  <si>
    <t>Open EPM — CCG</t>
  </si>
  <si>
    <t>CCG</t>
  </si>
  <si>
    <t>601200</t>
  </si>
  <si>
    <t>Selling Expense</t>
  </si>
  <si>
    <t>Other Miscellaneous Expenses</t>
  </si>
  <si>
    <t>Depreciation expense - Tangible assets</t>
  </si>
  <si>
    <t>Entertainment &amp; public relations expense</t>
  </si>
  <si>
    <t>601502</t>
  </si>
  <si>
    <t>Conference Account</t>
  </si>
  <si>
    <t>600170</t>
  </si>
  <si>
    <t>Purchase Expense</t>
  </si>
  <si>
    <t>403150</t>
  </si>
  <si>
    <t>Miscellaneous Charges</t>
  </si>
  <si>
    <t>600500</t>
  </si>
  <si>
    <t>Direct Labor Applied</t>
  </si>
  <si>
    <t>200100</t>
  </si>
  <si>
    <t>Accounts Payable - Domestic</t>
  </si>
  <si>
    <t>Goods in Transit - RM/SS</t>
  </si>
  <si>
    <t>140100</t>
  </si>
  <si>
    <t>Raw Materials Inventory</t>
  </si>
  <si>
    <t>1000MV</t>
  </si>
  <si>
    <t>MV Cash</t>
  </si>
  <si>
    <t>Open EPM — CN01</t>
  </si>
  <si>
    <t>CN01</t>
  </si>
  <si>
    <t>530102</t>
  </si>
  <si>
    <t>处理固定资产净收益</t>
  </si>
  <si>
    <t>550208</t>
  </si>
  <si>
    <t>租赁费</t>
  </si>
  <si>
    <t>51010101</t>
  </si>
  <si>
    <t>实际收入</t>
  </si>
  <si>
    <t>54010101</t>
  </si>
  <si>
    <t>实际销售成本</t>
  </si>
  <si>
    <t>410504</t>
  </si>
  <si>
    <t>折旧费</t>
  </si>
  <si>
    <t>550113</t>
  </si>
  <si>
    <t>电话费</t>
  </si>
  <si>
    <t>550209</t>
  </si>
  <si>
    <t>运输费</t>
  </si>
  <si>
    <t>1501</t>
  </si>
  <si>
    <t>固定资产</t>
  </si>
  <si>
    <t>212101</t>
  </si>
  <si>
    <t>实际应付账款</t>
  </si>
  <si>
    <t>113101</t>
  </si>
  <si>
    <t>实际应收账款</t>
  </si>
  <si>
    <t>110110</t>
  </si>
  <si>
    <t>其它</t>
  </si>
  <si>
    <t>1502</t>
  </si>
  <si>
    <t>累计折旧</t>
  </si>
  <si>
    <t>21710105</t>
  </si>
  <si>
    <t>销项税额</t>
  </si>
  <si>
    <t>Open EPM — CNET</t>
  </si>
  <si>
    <t>CNET</t>
  </si>
  <si>
    <t>601501</t>
  </si>
  <si>
    <t>Car Rental Expenses</t>
  </si>
  <si>
    <t>540100</t>
  </si>
  <si>
    <t>Cost of Project  - Labor</t>
  </si>
  <si>
    <t>601506</t>
  </si>
  <si>
    <t>Hotel Expenses</t>
  </si>
  <si>
    <t>600120</t>
  </si>
  <si>
    <t>601500</t>
  </si>
  <si>
    <t>Travel Expense</t>
  </si>
  <si>
    <t>Selling expense</t>
  </si>
  <si>
    <t>801400</t>
  </si>
  <si>
    <t>Currency adjustment loss - Unrealized</t>
  </si>
  <si>
    <t>801500</t>
  </si>
  <si>
    <t>Currency Adjustment Profits - Realized</t>
  </si>
  <si>
    <t>200110A</t>
  </si>
  <si>
    <t>Account Payable Other</t>
  </si>
  <si>
    <t>110130</t>
  </si>
  <si>
    <t>Bank Account - MYR</t>
  </si>
  <si>
    <t>222100</t>
  </si>
  <si>
    <t>Withholding tax payable</t>
  </si>
  <si>
    <t>Effets Escomptes non Echus</t>
  </si>
  <si>
    <t>130800</t>
  </si>
  <si>
    <t>VAT Tax Receivable</t>
  </si>
  <si>
    <t>Open EPM — CNMF</t>
  </si>
  <si>
    <t>CNMF</t>
  </si>
  <si>
    <t>550201</t>
  </si>
  <si>
    <t>工资</t>
  </si>
  <si>
    <t>560106</t>
  </si>
  <si>
    <t>库存盘亏</t>
  </si>
  <si>
    <t>550202</t>
  </si>
  <si>
    <t>职工福利费</t>
  </si>
  <si>
    <t>54010402</t>
  </si>
  <si>
    <t>成本价值-服务(小时)</t>
  </si>
  <si>
    <t>530105</t>
  </si>
  <si>
    <t>库存盘盈</t>
  </si>
  <si>
    <t>54010102</t>
  </si>
  <si>
    <t>预估销售成本</t>
  </si>
  <si>
    <t>550302</t>
  </si>
  <si>
    <t>利息支出</t>
  </si>
  <si>
    <t>550203</t>
  </si>
  <si>
    <t>职工教育经费</t>
  </si>
  <si>
    <t>410101</t>
  </si>
  <si>
    <t>基本生产成本</t>
  </si>
  <si>
    <t>51010102</t>
  </si>
  <si>
    <t>预估收入</t>
  </si>
  <si>
    <t>100201</t>
  </si>
  <si>
    <t>工商银行北京分行高开区支行人民币300-12345678</t>
  </si>
  <si>
    <t>124201</t>
  </si>
  <si>
    <t>实际库存</t>
  </si>
  <si>
    <t>191101</t>
  </si>
  <si>
    <t>待处理流动资产损溢</t>
  </si>
  <si>
    <t>31010102</t>
  </si>
  <si>
    <t>国有</t>
  </si>
  <si>
    <t>Open EPM — CONS</t>
  </si>
  <si>
    <t>CONS</t>
  </si>
  <si>
    <t>420200</t>
  </si>
  <si>
    <t>Accrued Revenue</t>
  </si>
  <si>
    <t>602100</t>
  </si>
  <si>
    <t>Salaries - Wages expense</t>
  </si>
  <si>
    <t>Project COGS - Project hours</t>
  </si>
  <si>
    <t>510500</t>
  </si>
  <si>
    <t>Inventory Profit/Loss</t>
  </si>
  <si>
    <t>618160</t>
  </si>
  <si>
    <t>Rounding Difference</t>
  </si>
  <si>
    <t>411100</t>
  </si>
  <si>
    <t>Invoiced Revenue - Hours</t>
  </si>
  <si>
    <t>500150</t>
  </si>
  <si>
    <t>Deferred COGS</t>
  </si>
  <si>
    <t>Retained earnings</t>
  </si>
  <si>
    <t>160100</t>
  </si>
  <si>
    <t>WIP - Labor</t>
  </si>
  <si>
    <t>Open EPM — DEMF</t>
  </si>
  <si>
    <t>DEMF</t>
  </si>
  <si>
    <t>601300</t>
  </si>
  <si>
    <t>Advertising expense</t>
  </si>
  <si>
    <t>618170</t>
  </si>
  <si>
    <t>Bad Debt Expense</t>
  </si>
  <si>
    <t>Salaries - Wages Expense</t>
  </si>
  <si>
    <t>Miscellaneous Expense</t>
  </si>
  <si>
    <t>602120</t>
  </si>
  <si>
    <t>Payroll Tax Expense</t>
  </si>
  <si>
    <t>602180</t>
  </si>
  <si>
    <t>Pension/Profit-Sharing Plan Expense</t>
  </si>
  <si>
    <t>606300</t>
  </si>
  <si>
    <t>Office Expense</t>
  </si>
  <si>
    <t>Short term loan from secured bank</t>
  </si>
  <si>
    <t>300120</t>
  </si>
  <si>
    <t>Paid-in Capital</t>
  </si>
  <si>
    <t>Open EPM — ERF1</t>
  </si>
  <si>
    <t>ERF1</t>
  </si>
  <si>
    <t>88888</t>
  </si>
  <si>
    <t>Technical account</t>
  </si>
  <si>
    <t>14093</t>
  </si>
  <si>
    <t>I/C Dividends to be paid (BS/supplier)</t>
  </si>
  <si>
    <t>10020</t>
  </si>
  <si>
    <t>Retained earning</t>
  </si>
  <si>
    <t>140921</t>
  </si>
  <si>
    <t>Accrued Interest on I/C Loans - Liabilities (BS)</t>
  </si>
  <si>
    <t>73090</t>
  </si>
  <si>
    <t>I/C Interest Expense (P&amp;L)</t>
  </si>
  <si>
    <t>Open EPM — FRRT</t>
  </si>
  <si>
    <t>FRRT</t>
  </si>
  <si>
    <t>603700</t>
  </si>
  <si>
    <t>Variation Stocks Marchand</t>
  </si>
  <si>
    <t>707000</t>
  </si>
  <si>
    <t>Ventes de Marchandises</t>
  </si>
  <si>
    <t>641000</t>
  </si>
  <si>
    <t>Charges de personnel</t>
  </si>
  <si>
    <t>613000</t>
  </si>
  <si>
    <t>Location</t>
  </si>
  <si>
    <t>623000</t>
  </si>
  <si>
    <t>Publicite</t>
  </si>
  <si>
    <t>658000</t>
  </si>
  <si>
    <t>Charges Diverses de Gestion Co</t>
  </si>
  <si>
    <t>645000</t>
  </si>
  <si>
    <t>Charges Sociales sur Salaire</t>
  </si>
  <si>
    <t>691000</t>
  </si>
  <si>
    <t>Participation des salariés aux résultats</t>
  </si>
  <si>
    <t>661000</t>
  </si>
  <si>
    <t>Charges d'intérêts</t>
  </si>
  <si>
    <t>666800</t>
  </si>
  <si>
    <t>Arrondis de Conversion EUR</t>
  </si>
  <si>
    <t>101000</t>
  </si>
  <si>
    <t>Capital</t>
  </si>
  <si>
    <t>370000</t>
  </si>
  <si>
    <t>Stocks de Marchandises</t>
  </si>
  <si>
    <t>512030</t>
  </si>
  <si>
    <t>Banque EUBANK</t>
  </si>
  <si>
    <t>531120</t>
  </si>
  <si>
    <t>Remise en Carte de Credit</t>
  </si>
  <si>
    <t>401000</t>
  </si>
  <si>
    <t>Fournisseurs</t>
  </si>
  <si>
    <t>531100</t>
  </si>
  <si>
    <t>Remise en Liquide</t>
  </si>
  <si>
    <t>Open EPM — FRSI</t>
  </si>
  <si>
    <t>FRSI</t>
  </si>
  <si>
    <t>706000</t>
  </si>
  <si>
    <t>Prestations de Services</t>
  </si>
  <si>
    <t>643100</t>
  </si>
  <si>
    <t>Projet répartition des salaires</t>
  </si>
  <si>
    <t>626200</t>
  </si>
  <si>
    <t>Coût du projet - Labor</t>
  </si>
  <si>
    <t>626400</t>
  </si>
  <si>
    <t>Coût du projet - dépenses</t>
  </si>
  <si>
    <t>641400</t>
  </si>
  <si>
    <t>Repas des Employés</t>
  </si>
  <si>
    <t>625200</t>
  </si>
  <si>
    <t>Frais d'Hôtel</t>
  </si>
  <si>
    <t>Professional service expense</t>
  </si>
  <si>
    <t>625100</t>
  </si>
  <si>
    <t>Frais de Vols</t>
  </si>
  <si>
    <t>411001</t>
  </si>
  <si>
    <t>Client Centralisateur</t>
  </si>
  <si>
    <t>467000</t>
  </si>
  <si>
    <t>Debiteurs/Crediteurs Divers</t>
  </si>
  <si>
    <t>120000</t>
  </si>
  <si>
    <t>Current Assets</t>
  </si>
  <si>
    <t>512010</t>
  </si>
  <si>
    <t>Banque USBANK</t>
  </si>
  <si>
    <t>Open EPM — GBSI</t>
  </si>
  <si>
    <t>GBSI</t>
  </si>
  <si>
    <t>Accrued Revenue - Sales Value</t>
  </si>
  <si>
    <t>999999</t>
  </si>
  <si>
    <t>Error account</t>
  </si>
  <si>
    <t>601505</t>
  </si>
  <si>
    <t>Fuel Expenses</t>
  </si>
  <si>
    <t>540210</t>
  </si>
  <si>
    <t>Cost of Project  - Expenses</t>
  </si>
  <si>
    <t>Revenue - Labor</t>
  </si>
  <si>
    <t>Office supplies expense</t>
  </si>
  <si>
    <t>601507</t>
  </si>
  <si>
    <t>Employee Meals</t>
  </si>
  <si>
    <t>601504</t>
  </si>
  <si>
    <t>Flight Expenses</t>
  </si>
  <si>
    <t>180150</t>
  </si>
  <si>
    <t>Vehicles</t>
  </si>
  <si>
    <t>Accounts Receivable - Domestic</t>
  </si>
  <si>
    <t>250800</t>
  </si>
  <si>
    <t>Notes Payable - Loans from Former Partners</t>
  </si>
  <si>
    <t>Error Account</t>
  </si>
  <si>
    <t>250601</t>
  </si>
  <si>
    <t>Long Term Obligation - Finance Leases</t>
  </si>
  <si>
    <t>Open EPM — GLCO</t>
  </si>
  <si>
    <t>GLCO</t>
  </si>
  <si>
    <t>Advertising Expense</t>
  </si>
  <si>
    <t>Bank Account - USD</t>
  </si>
  <si>
    <t>Goodwill and development</t>
  </si>
  <si>
    <t>Open EPM — GLMF</t>
  </si>
  <si>
    <t>GLMF</t>
  </si>
  <si>
    <t>401200</t>
  </si>
  <si>
    <t>Service Revenues</t>
  </si>
  <si>
    <t>Cost Change Variance</t>
  </si>
  <si>
    <t>510330</t>
  </si>
  <si>
    <t>Other Variance</t>
  </si>
  <si>
    <t>Office Supplies Expense</t>
  </si>
  <si>
    <t>Preference share capital</t>
  </si>
  <si>
    <t>Bank Account - EUR</t>
  </si>
  <si>
    <t>Open EPM — GLRT</t>
  </si>
  <si>
    <t>GLRT</t>
  </si>
  <si>
    <t>403500</t>
  </si>
  <si>
    <t>Freight - Outbound</t>
  </si>
  <si>
    <t>601700</t>
  </si>
  <si>
    <t>Rebates Expense</t>
  </si>
  <si>
    <t>403300</t>
  </si>
  <si>
    <t>Vendor Discounts</t>
  </si>
  <si>
    <t>132110</t>
  </si>
  <si>
    <t>Prepaid Commissions</t>
  </si>
  <si>
    <t>200190</t>
  </si>
  <si>
    <t>Accrued Purchases</t>
  </si>
  <si>
    <t>112100</t>
  </si>
  <si>
    <t>Deposits - Cash</t>
  </si>
  <si>
    <t>202310</t>
  </si>
  <si>
    <t>Washington State Tax Payable</t>
  </si>
  <si>
    <t>Open EPM — INMF</t>
  </si>
  <si>
    <t>INMF</t>
  </si>
  <si>
    <t>401120</t>
  </si>
  <si>
    <t>Sales - Raw materials</t>
  </si>
  <si>
    <t>130700</t>
  </si>
  <si>
    <t>Withholding tax expense</t>
  </si>
  <si>
    <t>500110</t>
  </si>
  <si>
    <t>COGS - Raw Materials</t>
  </si>
  <si>
    <t>600180</t>
  </si>
  <si>
    <t>Raw materials receipts</t>
  </si>
  <si>
    <t>401110</t>
  </si>
  <si>
    <t>Sales - Finished Product</t>
  </si>
  <si>
    <t>605150</t>
  </si>
  <si>
    <t>Rent expense</t>
  </si>
  <si>
    <t>401140</t>
  </si>
  <si>
    <t>Sales - Services</t>
  </si>
  <si>
    <t>Other Receivables</t>
  </si>
  <si>
    <t>301010</t>
  </si>
  <si>
    <t>General Reserve</t>
  </si>
  <si>
    <t>110125</t>
  </si>
  <si>
    <t>Bank Account - AUD</t>
  </si>
  <si>
    <t>Open EPM — ITCO</t>
  </si>
  <si>
    <t>ITCO</t>
  </si>
  <si>
    <t>510520</t>
  </si>
  <si>
    <t>Inventory Adjustment</t>
  </si>
  <si>
    <t>500210</t>
  </si>
  <si>
    <t>Cost of Returned Goods - Raw Materials</t>
  </si>
  <si>
    <t>100001</t>
  </si>
  <si>
    <t>Allocated Account 1</t>
  </si>
  <si>
    <t>803100</t>
  </si>
  <si>
    <t>Extraordinary income</t>
  </si>
  <si>
    <t>540110</t>
  </si>
  <si>
    <t>Project COGS - Service hours</t>
  </si>
  <si>
    <t>411200</t>
  </si>
  <si>
    <t>Invoiced Revenue - Items</t>
  </si>
  <si>
    <t>402800</t>
  </si>
  <si>
    <t>Intercompany Sales - USMF/USRT</t>
  </si>
  <si>
    <t>Raw Materials Receipts</t>
  </si>
  <si>
    <t>Open EPM — JPMF</t>
  </si>
  <si>
    <t>JPMF</t>
  </si>
  <si>
    <t>82610</t>
  </si>
  <si>
    <t>減価償却費</t>
  </si>
  <si>
    <t>92600</t>
  </si>
  <si>
    <t>固定資産圧縮損</t>
  </si>
  <si>
    <t>84700</t>
  </si>
  <si>
    <t>88500</t>
  </si>
  <si>
    <t>新株発行費償却</t>
  </si>
  <si>
    <t>84701</t>
  </si>
  <si>
    <t>無形資産償還費</t>
  </si>
  <si>
    <t>92500</t>
  </si>
  <si>
    <t>減損損失</t>
  </si>
  <si>
    <t>81110</t>
  </si>
  <si>
    <t>製品売上高</t>
  </si>
  <si>
    <t>89900</t>
  </si>
  <si>
    <t>雑損失</t>
  </si>
  <si>
    <t>82630</t>
  </si>
  <si>
    <t>棚卸減耗費</t>
  </si>
  <si>
    <t>82330</t>
  </si>
  <si>
    <t>材料仕入高</t>
  </si>
  <si>
    <t>81160</t>
  </si>
  <si>
    <t>役務収益</t>
  </si>
  <si>
    <t>12599</t>
  </si>
  <si>
    <t>原材料清算</t>
  </si>
  <si>
    <t>71100</t>
  </si>
  <si>
    <t>資本金</t>
  </si>
  <si>
    <t>21110</t>
  </si>
  <si>
    <t>建物</t>
  </si>
  <si>
    <t>41550</t>
  </si>
  <si>
    <t>未払金</t>
  </si>
  <si>
    <t>21210</t>
  </si>
  <si>
    <t>構築物</t>
  </si>
  <si>
    <t>22100</t>
  </si>
  <si>
    <t>土地</t>
  </si>
  <si>
    <t>73300</t>
  </si>
  <si>
    <t>繰越利益剰余金</t>
  </si>
  <si>
    <t>Open EPM — LRP</t>
  </si>
  <si>
    <t>LRP</t>
  </si>
  <si>
    <t>400</t>
  </si>
  <si>
    <t>Workshop material charges</t>
  </si>
  <si>
    <t>620</t>
  </si>
  <si>
    <t>Existencias</t>
  </si>
  <si>
    <t>600</t>
  </si>
  <si>
    <t>Purchases of goods</t>
  </si>
  <si>
    <t>601</t>
  </si>
  <si>
    <t>IC_EXPENSES_GOODS</t>
  </si>
  <si>
    <t>703</t>
  </si>
  <si>
    <t>IC_REVENUE_SERVICES</t>
  </si>
  <si>
    <t>602</t>
  </si>
  <si>
    <t>IC_EXPENSES_SERVICES</t>
  </si>
  <si>
    <t>210</t>
  </si>
  <si>
    <t>Renovations / leasehold improvements</t>
  </si>
  <si>
    <t>310</t>
  </si>
  <si>
    <t>Raw materials</t>
  </si>
  <si>
    <t>150</t>
  </si>
  <si>
    <t>WIP asset account</t>
  </si>
  <si>
    <t>330</t>
  </si>
  <si>
    <t>Finished goods</t>
  </si>
  <si>
    <t>Open EPM — MXMF</t>
  </si>
  <si>
    <t>MXMF</t>
  </si>
  <si>
    <t>6001003</t>
  </si>
  <si>
    <t>Material de consumo</t>
  </si>
  <si>
    <t>4010002</t>
  </si>
  <si>
    <t>Venta de servicios</t>
  </si>
  <si>
    <t>5000001</t>
  </si>
  <si>
    <t>Costo</t>
  </si>
  <si>
    <t>4010001</t>
  </si>
  <si>
    <t>Venta de productos</t>
  </si>
  <si>
    <t>6001004</t>
  </si>
  <si>
    <t>Telefono</t>
  </si>
  <si>
    <t>6002003</t>
  </si>
  <si>
    <t>Honorarios y servicios varios</t>
  </si>
  <si>
    <t>1155002</t>
  </si>
  <si>
    <t>Inventario producto acabado</t>
  </si>
  <si>
    <t>2100002</t>
  </si>
  <si>
    <t>Provedores extranjeros</t>
  </si>
  <si>
    <t>2100001</t>
  </si>
  <si>
    <t>Provedores nacionales</t>
  </si>
  <si>
    <t>1120001</t>
  </si>
  <si>
    <t>3000002</t>
  </si>
  <si>
    <t>Capital fijo</t>
  </si>
  <si>
    <t>1150001</t>
  </si>
  <si>
    <t>Clientes nacionales</t>
  </si>
  <si>
    <t>Open EPM — MYMF</t>
  </si>
  <si>
    <t>MYMF</t>
  </si>
  <si>
    <t>Penny difference in reporting curr.</t>
  </si>
  <si>
    <t>411500</t>
  </si>
  <si>
    <t>Revenue - On Account</t>
  </si>
  <si>
    <t>500130</t>
  </si>
  <si>
    <t>COGS - Services</t>
  </si>
  <si>
    <t>500610</t>
  </si>
  <si>
    <t>Accounts Payable</t>
  </si>
  <si>
    <t>Divers</t>
  </si>
  <si>
    <t>110180</t>
  </si>
  <si>
    <t>Petty Cash</t>
  </si>
  <si>
    <t>600182</t>
  </si>
  <si>
    <t>Fisihed goods - Receipt</t>
  </si>
  <si>
    <t>Open EPM — NHVG</t>
  </si>
  <si>
    <t>NHVG</t>
  </si>
  <si>
    <t>606200</t>
  </si>
  <si>
    <t>Insurance Expense</t>
  </si>
  <si>
    <t>Rent Expense</t>
  </si>
  <si>
    <t>604400</t>
  </si>
  <si>
    <t>Vehicle Insurance Expense</t>
  </si>
  <si>
    <t>6112020</t>
  </si>
  <si>
    <t>COGS – Labor</t>
  </si>
  <si>
    <t>600155</t>
  </si>
  <si>
    <t>Bankcard Fees</t>
  </si>
  <si>
    <t>Use Tax Payable</t>
  </si>
  <si>
    <t>130750</t>
  </si>
  <si>
    <t>Use Tax Receivable</t>
  </si>
  <si>
    <t>Open EPM — RPG</t>
  </si>
  <si>
    <t>RPG</t>
  </si>
  <si>
    <t>600001</t>
  </si>
  <si>
    <t>Sales of Goods</t>
  </si>
  <si>
    <t>150150</t>
  </si>
  <si>
    <t>Production WIP-Materials</t>
  </si>
  <si>
    <t>Open EPM — RUMF</t>
  </si>
  <si>
    <t>RUMF</t>
  </si>
  <si>
    <t>90.110</t>
  </si>
  <si>
    <t>Выручка от продажи товаров с НДС 18%</t>
  </si>
  <si>
    <t>90.210</t>
  </si>
  <si>
    <t>С/с проданных товаров</t>
  </si>
  <si>
    <t>90.310</t>
  </si>
  <si>
    <t>НДС по товарам 18%</t>
  </si>
  <si>
    <t>90.700</t>
  </si>
  <si>
    <t>Коммерческие расходы</t>
  </si>
  <si>
    <t>90.900</t>
  </si>
  <si>
    <t>Прибыль/убыток от продаж</t>
  </si>
  <si>
    <t>99.100</t>
  </si>
  <si>
    <t>Прибыль (убыток) от продаж</t>
  </si>
  <si>
    <t>99.410</t>
  </si>
  <si>
    <t>Налог на прибыль (усл.доход/расход)</t>
  </si>
  <si>
    <t>44.220</t>
  </si>
  <si>
    <t>Расходы на оплату труда</t>
  </si>
  <si>
    <t>44.990</t>
  </si>
  <si>
    <t>Прочие косвенные расходы</t>
  </si>
  <si>
    <t>44.270</t>
  </si>
  <si>
    <t>Расходы на рекламу</t>
  </si>
  <si>
    <t>91.390</t>
  </si>
  <si>
    <t>Сальдо прочих доходов/расходов</t>
  </si>
  <si>
    <t>91.237</t>
  </si>
  <si>
    <t>налоги, сборы, платежи</t>
  </si>
  <si>
    <t>68.211</t>
  </si>
  <si>
    <t>НДС 18% по реализации</t>
  </si>
  <si>
    <t>68.240</t>
  </si>
  <si>
    <t>НДС к вычету (от поставщиков и подрядчиков)</t>
  </si>
  <si>
    <t>62.210</t>
  </si>
  <si>
    <t>Расчеты по авансам полученным (краткосроч.)</t>
  </si>
  <si>
    <t>41.100</t>
  </si>
  <si>
    <t>Товары на складах</t>
  </si>
  <si>
    <t>51.100</t>
  </si>
  <si>
    <t>Расчетный счет в Сбербанке</t>
  </si>
  <si>
    <t>80.100</t>
  </si>
  <si>
    <t>Уставный капитал</t>
  </si>
  <si>
    <t>Open EPM — TDBF</t>
  </si>
  <si>
    <t>TDBF</t>
  </si>
  <si>
    <t>410010</t>
  </si>
  <si>
    <t>Revenue from Sales (General)</t>
  </si>
  <si>
    <t>410040</t>
  </si>
  <si>
    <t>Rental income</t>
  </si>
  <si>
    <t>310030</t>
  </si>
  <si>
    <t>Interest expense</t>
  </si>
  <si>
    <t>310010</t>
  </si>
  <si>
    <t>Rent</t>
  </si>
  <si>
    <t>410050</t>
  </si>
  <si>
    <t>Other incomes</t>
  </si>
  <si>
    <t>310020</t>
  </si>
  <si>
    <t>Transportation charges</t>
  </si>
  <si>
    <t>210030</t>
  </si>
  <si>
    <t>Creditors-Local</t>
  </si>
  <si>
    <t>Accounts Payable - Other</t>
  </si>
  <si>
    <t>110030</t>
  </si>
  <si>
    <t>Computers</t>
  </si>
  <si>
    <t>130000</t>
  </si>
  <si>
    <t>230000</t>
  </si>
  <si>
    <t>Plant, machinery and equipment _Acquisition value</t>
  </si>
  <si>
    <t>120050</t>
  </si>
  <si>
    <t>Bank account</t>
  </si>
  <si>
    <t>Open EPM — THMF</t>
  </si>
  <si>
    <t>THMF</t>
  </si>
  <si>
    <t>600140</t>
  </si>
  <si>
    <t>Freight Expense - Intercompany</t>
  </si>
  <si>
    <t>618700</t>
  </si>
  <si>
    <t>Goodwill Impairment</t>
  </si>
  <si>
    <t>200200</t>
  </si>
  <si>
    <t>Accounts Payable - Foreign</t>
  </si>
  <si>
    <t>132100</t>
  </si>
  <si>
    <t>Prepaid Insurance</t>
  </si>
  <si>
    <t>132200</t>
  </si>
  <si>
    <t>TDS- Contract Individual</t>
  </si>
  <si>
    <t>110200</t>
  </si>
  <si>
    <t>Bank Account - THB</t>
  </si>
  <si>
    <t>Open EPM — TLE</t>
  </si>
  <si>
    <t>TLE</t>
  </si>
  <si>
    <t>500200</t>
  </si>
  <si>
    <t>COGS - Intercompany</t>
  </si>
  <si>
    <t>Insurance expense</t>
  </si>
  <si>
    <t>605110</t>
  </si>
  <si>
    <t>Cleaning Expense</t>
  </si>
  <si>
    <t>Inventory Cost Revaluation</t>
  </si>
  <si>
    <t>666663 SGA</t>
  </si>
  <si>
    <t>Advertising Expense SGA</t>
  </si>
  <si>
    <t>150200</t>
  </si>
  <si>
    <t>Production WIP-Labor</t>
  </si>
  <si>
    <t>Open EPM — USMF</t>
  </si>
  <si>
    <t>USMF</t>
  </si>
  <si>
    <t>Bad Dept Expense</t>
  </si>
  <si>
    <t>Open EPM — USP2</t>
  </si>
  <si>
    <t>USP2</t>
  </si>
  <si>
    <t>600510</t>
  </si>
  <si>
    <t>Variable Overhead Applied</t>
  </si>
  <si>
    <t>605120</t>
  </si>
  <si>
    <t>Electricity Expense</t>
  </si>
  <si>
    <t>Paid -in Equity Share  capital</t>
  </si>
  <si>
    <t>Open EPM — USPI</t>
  </si>
  <si>
    <t>USPI</t>
  </si>
  <si>
    <t>600520</t>
  </si>
  <si>
    <t>Fixed overhead applied</t>
  </si>
  <si>
    <t>800200</t>
  </si>
  <si>
    <t>Interest on bank loans</t>
  </si>
  <si>
    <t>110160</t>
  </si>
  <si>
    <t>Bank Account - Payroll</t>
  </si>
  <si>
    <t>Open EPM — USRT</t>
  </si>
  <si>
    <t>USRT</t>
  </si>
  <si>
    <t>510600</t>
  </si>
  <si>
    <t>Moving average price difference</t>
  </si>
  <si>
    <t>602110</t>
  </si>
  <si>
    <t>Salaries - Other expense</t>
  </si>
  <si>
    <t>Interim Transit Account</t>
  </si>
  <si>
    <t>Open EPM — USSI</t>
  </si>
  <si>
    <t>USSI</t>
  </si>
  <si>
    <t>603100</t>
  </si>
  <si>
    <t>Project Payroll Allocation</t>
  </si>
  <si>
    <t>411300</t>
  </si>
  <si>
    <t>Revenue - Expenses</t>
  </si>
  <si>
    <t>Cost of Project  - Products</t>
  </si>
  <si>
    <t>160600</t>
  </si>
  <si>
    <t>WIP - Invoiced On Account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</si>
</sst>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4"/>
      <color rgb="FF1F4E79"/>
      <name val="Calibri"/>
    </font>
    <font>
      <i/>
      <sz val="11"/>
      <color rgb="FF808080"/>
      <name val="Calibri"/>
    </font>
    <font>
      <b/>
      <sz val="12"/>
      <color rgb="FF1F4E79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1F4E79"/>
        <bgColor rgb="FF1F4E79"/>
      </patternFill>
    </fill>
    <fill>
      <patternFill patternType="solid">
        <fgColor rgb="FFD9E2F3"/>
        <bgColor rgb="FFD9E2F3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9D9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4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5" fillId="3" borderId="0" xfId="0" applyFont="1" applyFill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4" fontId="4" fillId="0" borderId="1" xfId="0" applyNumberFormat="1" applyFont="1" applyBorder="1"/>
    <xf numFmtId="0" fontId="6" fillId="0" borderId="0" xfId="0" applyFont="1"/>
    <xf numFmtId="4" fontId="6" fillId="4" borderId="0" xfId="0" applyNumberFormat="1" applyFont="1" applyFill="1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DD6D5ED-47F9-41B6-ADE4-E58EF0988772}">
  <we:reference id="wa200006575" version="1.0.0.5" store="en-US" storeType="OMEX"/>
  <we:alternateReferences>
    <we:reference id="wa200006575" version="1.0.0.5" store="wa200006575" storeType="OMEX"/>
  </we:alternateReferences>
  <we:properties/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workbookViewId="0"/>
  </sheetViews>
  <sheetFormatPr defaultRowHeight="14.5" x14ac:dyDescent="0.35"/>
  <cols>
    <col min="1" max="1" width="80" customWidth="1"/>
  </cols>
  <sheetData>
    <row r="1" spans="1:1" ht="18.5" x14ac:dyDescent="0.45">
      <c r="A1" s="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6" spans="1:1" x14ac:dyDescent="0.35">
      <c r="A6" t="s">
        <v>4</v>
      </c>
    </row>
    <row r="8" spans="1:1" x14ac:dyDescent="0.35">
      <c r="A8" s="2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3" spans="1:1" x14ac:dyDescent="0.35">
      <c r="A13" s="3" t="s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2"/>
  <sheetViews>
    <sheetView workbookViewId="0">
      <selection sqref="A1:O1"/>
    </sheetView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10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14</v>
      </c>
    </row>
    <row r="6" spans="1:15" x14ac:dyDescent="0.35">
      <c r="A6" s="2" t="s">
        <v>15</v>
      </c>
      <c r="B6" s="5">
        <v>2026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34</v>
      </c>
      <c r="B11" s="7" t="s">
        <v>35</v>
      </c>
      <c r="C11" s="8" t="e">
        <f t="shared" ref="C11:C22" ca="1" si="0">EPM($B$5,$B$6,1,A11,"period_net_amount",$B$7)</f>
        <v>#NAME?</v>
      </c>
      <c r="D11" s="8" t="e">
        <f t="shared" ref="D11:D22" ca="1" si="1">EPM($B$5,$B$6,2,A11,"period_net_amount",$B$7)</f>
        <v>#NAME?</v>
      </c>
      <c r="E11" s="8" t="e">
        <f t="shared" ref="E11:E22" ca="1" si="2">EPM($B$5,$B$6,3,A11,"period_net_amount",$B$7)</f>
        <v>#NAME?</v>
      </c>
      <c r="F11" s="8" t="e">
        <f t="shared" ref="F11:F22" ca="1" si="3">EPM($B$5,$B$6,4,A11,"period_net_amount",$B$7)</f>
        <v>#NAME?</v>
      </c>
      <c r="G11" s="8" t="e">
        <f t="shared" ref="G11:G22" ca="1" si="4">EPM($B$5,$B$6,5,A11,"period_net_amount",$B$7)</f>
        <v>#NAME?</v>
      </c>
      <c r="H11" s="8" t="e">
        <f t="shared" ref="H11:H22" ca="1" si="5">EPM($B$5,$B$6,6,A11,"period_net_amount",$B$7)</f>
        <v>#NAME?</v>
      </c>
      <c r="I11" s="8" t="e">
        <f t="shared" ref="I11:I22" ca="1" si="6">EPM($B$5,$B$6,7,A11,"period_net_amount",$B$7)</f>
        <v>#NAME?</v>
      </c>
      <c r="J11" s="8" t="e">
        <f t="shared" ref="J11:J22" ca="1" si="7">EPM($B$5,$B$6,8,A11,"period_net_amount",$B$7)</f>
        <v>#NAME?</v>
      </c>
      <c r="K11" s="8" t="e">
        <f t="shared" ref="K11:K22" ca="1" si="8">EPM($B$5,$B$6,9,A11,"period_net_amount",$B$7)</f>
        <v>#NAME?</v>
      </c>
      <c r="L11" s="8" t="e">
        <f t="shared" ref="L11:L22" ca="1" si="9">EPM($B$5,$B$6,10,A11,"period_net_amount",$B$7)</f>
        <v>#NAME?</v>
      </c>
      <c r="M11" s="8" t="e">
        <f t="shared" ref="M11:M22" ca="1" si="10">EPM($B$5,$B$6,11,A11,"period_net_amount",$B$7)</f>
        <v>#NAME?</v>
      </c>
      <c r="N11" s="8" t="e">
        <f t="shared" ref="N11:N22" ca="1" si="11">EPM($B$5,$B$6,12,A11,"period_net_amount",$B$7)</f>
        <v>#NAME?</v>
      </c>
      <c r="O11" s="9" t="e">
        <f t="shared" ref="O11:O22" ca="1" si="12">SUM(C11:N11)</f>
        <v>#NAME?</v>
      </c>
    </row>
    <row r="12" spans="1:15" x14ac:dyDescent="0.35">
      <c r="A12" s="7" t="s">
        <v>36</v>
      </c>
      <c r="B12" s="7" t="s">
        <v>37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38</v>
      </c>
      <c r="B13" s="7" t="s">
        <v>39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40</v>
      </c>
      <c r="B14" s="7" t="s">
        <v>41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42</v>
      </c>
      <c r="B15" s="7" t="s">
        <v>43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44</v>
      </c>
      <c r="B16" s="7" t="s">
        <v>45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46</v>
      </c>
      <c r="B17" s="7" t="s">
        <v>47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A18" s="7" t="s">
        <v>48</v>
      </c>
      <c r="B18" s="7" t="s">
        <v>49</v>
      </c>
      <c r="C18" s="8" t="e">
        <f t="shared" ca="1" si="0"/>
        <v>#NAME?</v>
      </c>
      <c r="D18" s="8" t="e">
        <f t="shared" ca="1" si="1"/>
        <v>#NAME?</v>
      </c>
      <c r="E18" s="8" t="e">
        <f t="shared" ca="1" si="2"/>
        <v>#NAME?</v>
      </c>
      <c r="F18" s="8" t="e">
        <f t="shared" ca="1" si="3"/>
        <v>#NAME?</v>
      </c>
      <c r="G18" s="8" t="e">
        <f t="shared" ca="1" si="4"/>
        <v>#NAME?</v>
      </c>
      <c r="H18" s="8" t="e">
        <f t="shared" ca="1" si="5"/>
        <v>#NAME?</v>
      </c>
      <c r="I18" s="8" t="e">
        <f t="shared" ca="1" si="6"/>
        <v>#NAME?</v>
      </c>
      <c r="J18" s="8" t="e">
        <f t="shared" ca="1" si="7"/>
        <v>#NAME?</v>
      </c>
      <c r="K18" s="8" t="e">
        <f t="shared" ca="1" si="8"/>
        <v>#NAME?</v>
      </c>
      <c r="L18" s="8" t="e">
        <f t="shared" ca="1" si="9"/>
        <v>#NAME?</v>
      </c>
      <c r="M18" s="8" t="e">
        <f t="shared" ca="1" si="10"/>
        <v>#NAME?</v>
      </c>
      <c r="N18" s="8" t="e">
        <f t="shared" ca="1" si="11"/>
        <v>#NAME?</v>
      </c>
      <c r="O18" s="9" t="e">
        <f t="shared" ca="1" si="12"/>
        <v>#NAME?</v>
      </c>
    </row>
    <row r="19" spans="1:15" x14ac:dyDescent="0.35">
      <c r="A19" s="7" t="s">
        <v>50</v>
      </c>
      <c r="B19" s="7" t="s">
        <v>51</v>
      </c>
      <c r="C19" s="8" t="e">
        <f t="shared" ca="1" si="0"/>
        <v>#NAME?</v>
      </c>
      <c r="D19" s="8" t="e">
        <f t="shared" ca="1" si="1"/>
        <v>#NAME?</v>
      </c>
      <c r="E19" s="8" t="e">
        <f t="shared" ca="1" si="2"/>
        <v>#NAME?</v>
      </c>
      <c r="F19" s="8" t="e">
        <f t="shared" ca="1" si="3"/>
        <v>#NAME?</v>
      </c>
      <c r="G19" s="8" t="e">
        <f t="shared" ca="1" si="4"/>
        <v>#NAME?</v>
      </c>
      <c r="H19" s="8" t="e">
        <f t="shared" ca="1" si="5"/>
        <v>#NAME?</v>
      </c>
      <c r="I19" s="8" t="e">
        <f t="shared" ca="1" si="6"/>
        <v>#NAME?</v>
      </c>
      <c r="J19" s="8" t="e">
        <f t="shared" ca="1" si="7"/>
        <v>#NAME?</v>
      </c>
      <c r="K19" s="8" t="e">
        <f t="shared" ca="1" si="8"/>
        <v>#NAME?</v>
      </c>
      <c r="L19" s="8" t="e">
        <f t="shared" ca="1" si="9"/>
        <v>#NAME?</v>
      </c>
      <c r="M19" s="8" t="e">
        <f t="shared" ca="1" si="10"/>
        <v>#NAME?</v>
      </c>
      <c r="N19" s="8" t="e">
        <f t="shared" ca="1" si="11"/>
        <v>#NAME?</v>
      </c>
      <c r="O19" s="9" t="e">
        <f t="shared" ca="1" si="12"/>
        <v>#NAME?</v>
      </c>
    </row>
    <row r="20" spans="1:15" x14ac:dyDescent="0.35">
      <c r="A20" s="7" t="s">
        <v>52</v>
      </c>
      <c r="B20" s="7" t="s">
        <v>49</v>
      </c>
      <c r="C20" s="8" t="e">
        <f t="shared" ca="1" si="0"/>
        <v>#NAME?</v>
      </c>
      <c r="D20" s="8" t="e">
        <f t="shared" ca="1" si="1"/>
        <v>#NAME?</v>
      </c>
      <c r="E20" s="8" t="e">
        <f t="shared" ca="1" si="2"/>
        <v>#NAME?</v>
      </c>
      <c r="F20" s="8" t="e">
        <f t="shared" ca="1" si="3"/>
        <v>#NAME?</v>
      </c>
      <c r="G20" s="8" t="e">
        <f t="shared" ca="1" si="4"/>
        <v>#NAME?</v>
      </c>
      <c r="H20" s="8" t="e">
        <f t="shared" ca="1" si="5"/>
        <v>#NAME?</v>
      </c>
      <c r="I20" s="8" t="e">
        <f t="shared" ca="1" si="6"/>
        <v>#NAME?</v>
      </c>
      <c r="J20" s="8" t="e">
        <f t="shared" ca="1" si="7"/>
        <v>#NAME?</v>
      </c>
      <c r="K20" s="8" t="e">
        <f t="shared" ca="1" si="8"/>
        <v>#NAME?</v>
      </c>
      <c r="L20" s="8" t="e">
        <f t="shared" ca="1" si="9"/>
        <v>#NAME?</v>
      </c>
      <c r="M20" s="8" t="e">
        <f t="shared" ca="1" si="10"/>
        <v>#NAME?</v>
      </c>
      <c r="N20" s="8" t="e">
        <f t="shared" ca="1" si="11"/>
        <v>#NAME?</v>
      </c>
      <c r="O20" s="9" t="e">
        <f t="shared" ca="1" si="12"/>
        <v>#NAME?</v>
      </c>
    </row>
    <row r="21" spans="1:15" x14ac:dyDescent="0.35">
      <c r="A21" s="7" t="s">
        <v>53</v>
      </c>
      <c r="B21" s="7" t="s">
        <v>54</v>
      </c>
      <c r="C21" s="8" t="e">
        <f t="shared" ca="1" si="0"/>
        <v>#NAME?</v>
      </c>
      <c r="D21" s="8" t="e">
        <f t="shared" ca="1" si="1"/>
        <v>#NAME?</v>
      </c>
      <c r="E21" s="8" t="e">
        <f t="shared" ca="1" si="2"/>
        <v>#NAME?</v>
      </c>
      <c r="F21" s="8" t="e">
        <f t="shared" ca="1" si="3"/>
        <v>#NAME?</v>
      </c>
      <c r="G21" s="8" t="e">
        <f t="shared" ca="1" si="4"/>
        <v>#NAME?</v>
      </c>
      <c r="H21" s="8" t="e">
        <f t="shared" ca="1" si="5"/>
        <v>#NAME?</v>
      </c>
      <c r="I21" s="8" t="e">
        <f t="shared" ca="1" si="6"/>
        <v>#NAME?</v>
      </c>
      <c r="J21" s="8" t="e">
        <f t="shared" ca="1" si="7"/>
        <v>#NAME?</v>
      </c>
      <c r="K21" s="8" t="e">
        <f t="shared" ca="1" si="8"/>
        <v>#NAME?</v>
      </c>
      <c r="L21" s="8" t="e">
        <f t="shared" ca="1" si="9"/>
        <v>#NAME?</v>
      </c>
      <c r="M21" s="8" t="e">
        <f t="shared" ca="1" si="10"/>
        <v>#NAME?</v>
      </c>
      <c r="N21" s="8" t="e">
        <f t="shared" ca="1" si="11"/>
        <v>#NAME?</v>
      </c>
      <c r="O21" s="9" t="e">
        <f t="shared" ca="1" si="12"/>
        <v>#NAME?</v>
      </c>
    </row>
    <row r="22" spans="1:15" x14ac:dyDescent="0.35">
      <c r="A22" s="7" t="s">
        <v>55</v>
      </c>
      <c r="B22" s="7" t="s">
        <v>56</v>
      </c>
      <c r="C22" s="8" t="e">
        <f t="shared" ca="1" si="0"/>
        <v>#NAME?</v>
      </c>
      <c r="D22" s="8" t="e">
        <f t="shared" ca="1" si="1"/>
        <v>#NAME?</v>
      </c>
      <c r="E22" s="8" t="e">
        <f t="shared" ca="1" si="2"/>
        <v>#NAME?</v>
      </c>
      <c r="F22" s="8" t="e">
        <f t="shared" ca="1" si="3"/>
        <v>#NAME?</v>
      </c>
      <c r="G22" s="8" t="e">
        <f t="shared" ca="1" si="4"/>
        <v>#NAME?</v>
      </c>
      <c r="H22" s="8" t="e">
        <f t="shared" ca="1" si="5"/>
        <v>#NAME?</v>
      </c>
      <c r="I22" s="8" t="e">
        <f t="shared" ca="1" si="6"/>
        <v>#NAME?</v>
      </c>
      <c r="J22" s="8" t="e">
        <f t="shared" ca="1" si="7"/>
        <v>#NAME?</v>
      </c>
      <c r="K22" s="8" t="e">
        <f t="shared" ca="1" si="8"/>
        <v>#NAME?</v>
      </c>
      <c r="L22" s="8" t="e">
        <f t="shared" ca="1" si="9"/>
        <v>#NAME?</v>
      </c>
      <c r="M22" s="8" t="e">
        <f t="shared" ca="1" si="10"/>
        <v>#NAME?</v>
      </c>
      <c r="N22" s="8" t="e">
        <f t="shared" ca="1" si="11"/>
        <v>#NAME?</v>
      </c>
      <c r="O22" s="9" t="e">
        <f t="shared" ca="1" si="12"/>
        <v>#NAME?</v>
      </c>
    </row>
    <row r="23" spans="1:15" x14ac:dyDescent="0.35">
      <c r="B23" s="10" t="s">
        <v>57</v>
      </c>
      <c r="C23" s="11" t="e">
        <f t="shared" ref="C23:O23" ca="1" si="13">SUM(C11:C22)</f>
        <v>#NAME?</v>
      </c>
      <c r="D23" s="11" t="e">
        <f t="shared" ca="1" si="13"/>
        <v>#NAME?</v>
      </c>
      <c r="E23" s="11" t="e">
        <f t="shared" ca="1" si="13"/>
        <v>#NAME?</v>
      </c>
      <c r="F23" s="11" t="e">
        <f t="shared" ca="1" si="13"/>
        <v>#NAME?</v>
      </c>
      <c r="G23" s="11" t="e">
        <f t="shared" ca="1" si="13"/>
        <v>#NAME?</v>
      </c>
      <c r="H23" s="11" t="e">
        <f t="shared" ca="1" si="13"/>
        <v>#NAME?</v>
      </c>
      <c r="I23" s="11" t="e">
        <f t="shared" ca="1" si="13"/>
        <v>#NAME?</v>
      </c>
      <c r="J23" s="11" t="e">
        <f t="shared" ca="1" si="13"/>
        <v>#NAME?</v>
      </c>
      <c r="K23" s="11" t="e">
        <f t="shared" ca="1" si="13"/>
        <v>#NAME?</v>
      </c>
      <c r="L23" s="11" t="e">
        <f t="shared" ca="1" si="13"/>
        <v>#NAME?</v>
      </c>
      <c r="M23" s="11" t="e">
        <f t="shared" ca="1" si="13"/>
        <v>#NAME?</v>
      </c>
      <c r="N23" s="11" t="e">
        <f t="shared" ca="1" si="13"/>
        <v>#NAME?</v>
      </c>
      <c r="O23" s="11" t="e">
        <f t="shared" ca="1" si="13"/>
        <v>#NAME?</v>
      </c>
    </row>
    <row r="25" spans="1:15" ht="15.5" x14ac:dyDescent="0.35">
      <c r="A25" s="4" t="s">
        <v>58</v>
      </c>
    </row>
    <row r="26" spans="1:15" x14ac:dyDescent="0.35">
      <c r="A26" s="6" t="s">
        <v>19</v>
      </c>
      <c r="B26" s="6" t="s">
        <v>20</v>
      </c>
      <c r="C26" s="6" t="s">
        <v>21</v>
      </c>
      <c r="D26" s="6" t="s">
        <v>22</v>
      </c>
      <c r="E26" s="6" t="s">
        <v>23</v>
      </c>
      <c r="F26" s="6" t="s">
        <v>24</v>
      </c>
      <c r="G26" s="6" t="s">
        <v>25</v>
      </c>
      <c r="H26" s="6" t="s">
        <v>26</v>
      </c>
      <c r="I26" s="6" t="s">
        <v>27</v>
      </c>
      <c r="J26" s="6" t="s">
        <v>28</v>
      </c>
      <c r="K26" s="6" t="s">
        <v>29</v>
      </c>
      <c r="L26" s="6" t="s">
        <v>30</v>
      </c>
      <c r="M26" s="6" t="s">
        <v>31</v>
      </c>
      <c r="N26" s="6" t="s">
        <v>32</v>
      </c>
    </row>
    <row r="27" spans="1:15" x14ac:dyDescent="0.35">
      <c r="A27" s="7" t="s">
        <v>59</v>
      </c>
      <c r="B27" s="7" t="s">
        <v>60</v>
      </c>
      <c r="C27" s="8" t="e">
        <f t="shared" ref="C27:C32" ca="1" si="14">EPM($B$5,$B$6,1,A27,"period_net_amount",$B$7)</f>
        <v>#NAME?</v>
      </c>
      <c r="D27" s="8" t="e">
        <f t="shared" ref="D27:D32" ca="1" si="15">EPM($B$5,$B$6,2,A27,"period_net_amount",$B$7)</f>
        <v>#NAME?</v>
      </c>
      <c r="E27" s="8" t="e">
        <f t="shared" ref="E27:E32" ca="1" si="16">EPM($B$5,$B$6,3,A27,"period_net_amount",$B$7)</f>
        <v>#NAME?</v>
      </c>
      <c r="F27" s="8" t="e">
        <f t="shared" ref="F27:F32" ca="1" si="17">EPM($B$5,$B$6,4,A27,"period_net_amount",$B$7)</f>
        <v>#NAME?</v>
      </c>
      <c r="G27" s="8" t="e">
        <f t="shared" ref="G27:G32" ca="1" si="18">EPM($B$5,$B$6,5,A27,"period_net_amount",$B$7)</f>
        <v>#NAME?</v>
      </c>
      <c r="H27" s="8" t="e">
        <f t="shared" ref="H27:H32" ca="1" si="19">EPM($B$5,$B$6,6,A27,"period_net_amount",$B$7)</f>
        <v>#NAME?</v>
      </c>
      <c r="I27" s="8" t="e">
        <f t="shared" ref="I27:I32" ca="1" si="20">EPM($B$5,$B$6,7,A27,"period_net_amount",$B$7)</f>
        <v>#NAME?</v>
      </c>
      <c r="J27" s="8" t="e">
        <f t="shared" ref="J27:J32" ca="1" si="21">EPM($B$5,$B$6,8,A27,"period_net_amount",$B$7)</f>
        <v>#NAME?</v>
      </c>
      <c r="K27" s="8" t="e">
        <f t="shared" ref="K27:K32" ca="1" si="22">EPM($B$5,$B$6,9,A27,"period_net_amount",$B$7)</f>
        <v>#NAME?</v>
      </c>
      <c r="L27" s="8" t="e">
        <f t="shared" ref="L27:L32" ca="1" si="23">EPM($B$5,$B$6,10,A27,"period_net_amount",$B$7)</f>
        <v>#NAME?</v>
      </c>
      <c r="M27" s="8" t="e">
        <f t="shared" ref="M27:M32" ca="1" si="24">EPM($B$5,$B$6,11,A27,"period_net_amount",$B$7)</f>
        <v>#NAME?</v>
      </c>
      <c r="N27" s="8" t="e">
        <f t="shared" ref="N27:N32" ca="1" si="25">EPM($B$5,$B$6,12,A27,"period_net_amount",$B$7)</f>
        <v>#NAME?</v>
      </c>
    </row>
    <row r="28" spans="1:15" x14ac:dyDescent="0.35">
      <c r="A28" s="7" t="s">
        <v>61</v>
      </c>
      <c r="B28" s="7" t="s">
        <v>62</v>
      </c>
      <c r="C28" s="8" t="e">
        <f t="shared" ca="1" si="14"/>
        <v>#NAME?</v>
      </c>
      <c r="D28" s="8" t="e">
        <f t="shared" ca="1" si="15"/>
        <v>#NAME?</v>
      </c>
      <c r="E28" s="8" t="e">
        <f t="shared" ca="1" si="16"/>
        <v>#NAME?</v>
      </c>
      <c r="F28" s="8" t="e">
        <f t="shared" ca="1" si="17"/>
        <v>#NAME?</v>
      </c>
      <c r="G28" s="8" t="e">
        <f t="shared" ca="1" si="18"/>
        <v>#NAME?</v>
      </c>
      <c r="H28" s="8" t="e">
        <f t="shared" ca="1" si="19"/>
        <v>#NAME?</v>
      </c>
      <c r="I28" s="8" t="e">
        <f t="shared" ca="1" si="20"/>
        <v>#NAME?</v>
      </c>
      <c r="J28" s="8" t="e">
        <f t="shared" ca="1" si="21"/>
        <v>#NAME?</v>
      </c>
      <c r="K28" s="8" t="e">
        <f t="shared" ca="1" si="22"/>
        <v>#NAME?</v>
      </c>
      <c r="L28" s="8" t="e">
        <f t="shared" ca="1" si="23"/>
        <v>#NAME?</v>
      </c>
      <c r="M28" s="8" t="e">
        <f t="shared" ca="1" si="24"/>
        <v>#NAME?</v>
      </c>
      <c r="N28" s="8" t="e">
        <f t="shared" ca="1" si="25"/>
        <v>#NAME?</v>
      </c>
    </row>
    <row r="29" spans="1:15" x14ac:dyDescent="0.35">
      <c r="A29" s="7" t="s">
        <v>63</v>
      </c>
      <c r="B29" s="7" t="s">
        <v>64</v>
      </c>
      <c r="C29" s="8" t="e">
        <f t="shared" ca="1" si="14"/>
        <v>#NAME?</v>
      </c>
      <c r="D29" s="8" t="e">
        <f t="shared" ca="1" si="15"/>
        <v>#NAME?</v>
      </c>
      <c r="E29" s="8" t="e">
        <f t="shared" ca="1" si="16"/>
        <v>#NAME?</v>
      </c>
      <c r="F29" s="8" t="e">
        <f t="shared" ca="1" si="17"/>
        <v>#NAME?</v>
      </c>
      <c r="G29" s="8" t="e">
        <f t="shared" ca="1" si="18"/>
        <v>#NAME?</v>
      </c>
      <c r="H29" s="8" t="e">
        <f t="shared" ca="1" si="19"/>
        <v>#NAME?</v>
      </c>
      <c r="I29" s="8" t="e">
        <f t="shared" ca="1" si="20"/>
        <v>#NAME?</v>
      </c>
      <c r="J29" s="8" t="e">
        <f t="shared" ca="1" si="21"/>
        <v>#NAME?</v>
      </c>
      <c r="K29" s="8" t="e">
        <f t="shared" ca="1" si="22"/>
        <v>#NAME?</v>
      </c>
      <c r="L29" s="8" t="e">
        <f t="shared" ca="1" si="23"/>
        <v>#NAME?</v>
      </c>
      <c r="M29" s="8" t="e">
        <f t="shared" ca="1" si="24"/>
        <v>#NAME?</v>
      </c>
      <c r="N29" s="8" t="e">
        <f t="shared" ca="1" si="25"/>
        <v>#NAME?</v>
      </c>
    </row>
    <row r="30" spans="1:15" x14ac:dyDescent="0.35">
      <c r="A30" s="7" t="s">
        <v>65</v>
      </c>
      <c r="B30" s="7" t="s">
        <v>66</v>
      </c>
      <c r="C30" s="8" t="e">
        <f t="shared" ca="1" si="14"/>
        <v>#NAME?</v>
      </c>
      <c r="D30" s="8" t="e">
        <f t="shared" ca="1" si="15"/>
        <v>#NAME?</v>
      </c>
      <c r="E30" s="8" t="e">
        <f t="shared" ca="1" si="16"/>
        <v>#NAME?</v>
      </c>
      <c r="F30" s="8" t="e">
        <f t="shared" ca="1" si="17"/>
        <v>#NAME?</v>
      </c>
      <c r="G30" s="8" t="e">
        <f t="shared" ca="1" si="18"/>
        <v>#NAME?</v>
      </c>
      <c r="H30" s="8" t="e">
        <f t="shared" ca="1" si="19"/>
        <v>#NAME?</v>
      </c>
      <c r="I30" s="8" t="e">
        <f t="shared" ca="1" si="20"/>
        <v>#NAME?</v>
      </c>
      <c r="J30" s="8" t="e">
        <f t="shared" ca="1" si="21"/>
        <v>#NAME?</v>
      </c>
      <c r="K30" s="8" t="e">
        <f t="shared" ca="1" si="22"/>
        <v>#NAME?</v>
      </c>
      <c r="L30" s="8" t="e">
        <f t="shared" ca="1" si="23"/>
        <v>#NAME?</v>
      </c>
      <c r="M30" s="8" t="e">
        <f t="shared" ca="1" si="24"/>
        <v>#NAME?</v>
      </c>
      <c r="N30" s="8" t="e">
        <f t="shared" ca="1" si="25"/>
        <v>#NAME?</v>
      </c>
    </row>
    <row r="31" spans="1:15" x14ac:dyDescent="0.35">
      <c r="A31" s="7" t="s">
        <v>67</v>
      </c>
      <c r="B31" s="7" t="s">
        <v>62</v>
      </c>
      <c r="C31" s="8" t="e">
        <f t="shared" ca="1" si="14"/>
        <v>#NAME?</v>
      </c>
      <c r="D31" s="8" t="e">
        <f t="shared" ca="1" si="15"/>
        <v>#NAME?</v>
      </c>
      <c r="E31" s="8" t="e">
        <f t="shared" ca="1" si="16"/>
        <v>#NAME?</v>
      </c>
      <c r="F31" s="8" t="e">
        <f t="shared" ca="1" si="17"/>
        <v>#NAME?</v>
      </c>
      <c r="G31" s="8" t="e">
        <f t="shared" ca="1" si="18"/>
        <v>#NAME?</v>
      </c>
      <c r="H31" s="8" t="e">
        <f t="shared" ca="1" si="19"/>
        <v>#NAME?</v>
      </c>
      <c r="I31" s="8" t="e">
        <f t="shared" ca="1" si="20"/>
        <v>#NAME?</v>
      </c>
      <c r="J31" s="8" t="e">
        <f t="shared" ca="1" si="21"/>
        <v>#NAME?</v>
      </c>
      <c r="K31" s="8" t="e">
        <f t="shared" ca="1" si="22"/>
        <v>#NAME?</v>
      </c>
      <c r="L31" s="8" t="e">
        <f t="shared" ca="1" si="23"/>
        <v>#NAME?</v>
      </c>
      <c r="M31" s="8" t="e">
        <f t="shared" ca="1" si="24"/>
        <v>#NAME?</v>
      </c>
      <c r="N31" s="8" t="e">
        <f t="shared" ca="1" si="25"/>
        <v>#NAME?</v>
      </c>
    </row>
    <row r="32" spans="1:15" x14ac:dyDescent="0.35">
      <c r="A32" s="7" t="s">
        <v>68</v>
      </c>
      <c r="B32" s="7" t="s">
        <v>69</v>
      </c>
      <c r="C32" s="8" t="e">
        <f t="shared" ca="1" si="14"/>
        <v>#NAME?</v>
      </c>
      <c r="D32" s="8" t="e">
        <f t="shared" ca="1" si="15"/>
        <v>#NAME?</v>
      </c>
      <c r="E32" s="8" t="e">
        <f t="shared" ca="1" si="16"/>
        <v>#NAME?</v>
      </c>
      <c r="F32" s="8" t="e">
        <f t="shared" ca="1" si="17"/>
        <v>#NAME?</v>
      </c>
      <c r="G32" s="8" t="e">
        <f t="shared" ca="1" si="18"/>
        <v>#NAME?</v>
      </c>
      <c r="H32" s="8" t="e">
        <f t="shared" ca="1" si="19"/>
        <v>#NAME?</v>
      </c>
      <c r="I32" s="8" t="e">
        <f t="shared" ca="1" si="20"/>
        <v>#NAME?</v>
      </c>
      <c r="J32" s="8" t="e">
        <f t="shared" ca="1" si="21"/>
        <v>#NAME?</v>
      </c>
      <c r="K32" s="8" t="e">
        <f t="shared" ca="1" si="22"/>
        <v>#NAME?</v>
      </c>
      <c r="L32" s="8" t="e">
        <f t="shared" ca="1" si="23"/>
        <v>#NAME?</v>
      </c>
      <c r="M32" s="8" t="e">
        <f t="shared" ca="1" si="24"/>
        <v>#NAME?</v>
      </c>
      <c r="N32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7"/>
  <sheetViews>
    <sheetView workbookViewId="0">
      <selection sqref="A1:O1"/>
    </sheetView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70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71</v>
      </c>
    </row>
    <row r="6" spans="1:15" x14ac:dyDescent="0.35">
      <c r="A6" s="2" t="s">
        <v>15</v>
      </c>
      <c r="B6" s="5">
        <v>2024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72</v>
      </c>
      <c r="B11" s="7" t="s">
        <v>73</v>
      </c>
      <c r="C11" s="8" t="e">
        <f t="shared" ref="C11:C17" ca="1" si="0">EPM($B$5,$B$6,1,A11,"period_net_amount",$B$7)</f>
        <v>#NAME?</v>
      </c>
      <c r="D11" s="8" t="e">
        <f t="shared" ref="D11:D17" ca="1" si="1">EPM($B$5,$B$6,2,A11,"period_net_amount",$B$7)</f>
        <v>#NAME?</v>
      </c>
      <c r="E11" s="8" t="e">
        <f t="shared" ref="E11:E17" ca="1" si="2">EPM($B$5,$B$6,3,A11,"period_net_amount",$B$7)</f>
        <v>#NAME?</v>
      </c>
      <c r="F11" s="8" t="e">
        <f t="shared" ref="F11:F17" ca="1" si="3">EPM($B$5,$B$6,4,A11,"period_net_amount",$B$7)</f>
        <v>#NAME?</v>
      </c>
      <c r="G11" s="8" t="e">
        <f t="shared" ref="G11:G17" ca="1" si="4">EPM($B$5,$B$6,5,A11,"period_net_amount",$B$7)</f>
        <v>#NAME?</v>
      </c>
      <c r="H11" s="8" t="e">
        <f t="shared" ref="H11:H17" ca="1" si="5">EPM($B$5,$B$6,6,A11,"period_net_amount",$B$7)</f>
        <v>#NAME?</v>
      </c>
      <c r="I11" s="8" t="e">
        <f t="shared" ref="I11:I17" ca="1" si="6">EPM($B$5,$B$6,7,A11,"period_net_amount",$B$7)</f>
        <v>#NAME?</v>
      </c>
      <c r="J11" s="8" t="e">
        <f t="shared" ref="J11:J17" ca="1" si="7">EPM($B$5,$B$6,8,A11,"period_net_amount",$B$7)</f>
        <v>#NAME?</v>
      </c>
      <c r="K11" s="8" t="e">
        <f t="shared" ref="K11:K17" ca="1" si="8">EPM($B$5,$B$6,9,A11,"period_net_amount",$B$7)</f>
        <v>#NAME?</v>
      </c>
      <c r="L11" s="8" t="e">
        <f t="shared" ref="L11:L17" ca="1" si="9">EPM($B$5,$B$6,10,A11,"period_net_amount",$B$7)</f>
        <v>#NAME?</v>
      </c>
      <c r="M11" s="8" t="e">
        <f t="shared" ref="M11:M17" ca="1" si="10">EPM($B$5,$B$6,11,A11,"period_net_amount",$B$7)</f>
        <v>#NAME?</v>
      </c>
      <c r="N11" s="8" t="e">
        <f t="shared" ref="N11:N17" ca="1" si="11">EPM($B$5,$B$6,12,A11,"period_net_amount",$B$7)</f>
        <v>#NAME?</v>
      </c>
      <c r="O11" s="9" t="e">
        <f t="shared" ref="O11:O17" ca="1" si="12">SUM(C11:N11)</f>
        <v>#NAME?</v>
      </c>
    </row>
    <row r="12" spans="1:15" x14ac:dyDescent="0.35">
      <c r="A12" s="7" t="s">
        <v>74</v>
      </c>
      <c r="B12" s="7" t="s">
        <v>75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76</v>
      </c>
      <c r="B13" s="7" t="s">
        <v>77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78</v>
      </c>
      <c r="B14" s="7" t="s">
        <v>79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80</v>
      </c>
      <c r="B15" s="7" t="s">
        <v>81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82</v>
      </c>
      <c r="B16" s="7" t="s">
        <v>83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84</v>
      </c>
      <c r="B17" s="7" t="s">
        <v>85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B18" s="10" t="s">
        <v>57</v>
      </c>
      <c r="C18" s="11" t="e">
        <f t="shared" ref="C18:O18" ca="1" si="13">SUM(C11:C17)</f>
        <v>#NAME?</v>
      </c>
      <c r="D18" s="11" t="e">
        <f t="shared" ca="1" si="13"/>
        <v>#NAME?</v>
      </c>
      <c r="E18" s="11" t="e">
        <f t="shared" ca="1" si="13"/>
        <v>#NAME?</v>
      </c>
      <c r="F18" s="11" t="e">
        <f t="shared" ca="1" si="13"/>
        <v>#NAME?</v>
      </c>
      <c r="G18" s="11" t="e">
        <f t="shared" ca="1" si="13"/>
        <v>#NAME?</v>
      </c>
      <c r="H18" s="11" t="e">
        <f t="shared" ca="1" si="13"/>
        <v>#NAME?</v>
      </c>
      <c r="I18" s="11" t="e">
        <f t="shared" ca="1" si="13"/>
        <v>#NAME?</v>
      </c>
      <c r="J18" s="11" t="e">
        <f t="shared" ca="1" si="13"/>
        <v>#NAME?</v>
      </c>
      <c r="K18" s="11" t="e">
        <f t="shared" ca="1" si="13"/>
        <v>#NAME?</v>
      </c>
      <c r="L18" s="11" t="e">
        <f t="shared" ca="1" si="13"/>
        <v>#NAME?</v>
      </c>
      <c r="M18" s="11" t="e">
        <f t="shared" ca="1" si="13"/>
        <v>#NAME?</v>
      </c>
      <c r="N18" s="11" t="e">
        <f t="shared" ca="1" si="13"/>
        <v>#NAME?</v>
      </c>
      <c r="O18" s="11" t="e">
        <f t="shared" ca="1" si="13"/>
        <v>#NAME?</v>
      </c>
    </row>
    <row r="20" spans="1:15" ht="15.5" x14ac:dyDescent="0.35">
      <c r="A20" s="4" t="s">
        <v>58</v>
      </c>
    </row>
    <row r="21" spans="1:15" x14ac:dyDescent="0.35">
      <c r="A21" s="6" t="s">
        <v>19</v>
      </c>
      <c r="B21" s="6" t="s">
        <v>20</v>
      </c>
      <c r="C21" s="6" t="s">
        <v>21</v>
      </c>
      <c r="D21" s="6" t="s">
        <v>22</v>
      </c>
      <c r="E21" s="6" t="s">
        <v>23</v>
      </c>
      <c r="F21" s="6" t="s">
        <v>24</v>
      </c>
      <c r="G21" s="6" t="s">
        <v>25</v>
      </c>
      <c r="H21" s="6" t="s">
        <v>26</v>
      </c>
      <c r="I21" s="6" t="s">
        <v>27</v>
      </c>
      <c r="J21" s="6" t="s">
        <v>28</v>
      </c>
      <c r="K21" s="6" t="s">
        <v>29</v>
      </c>
      <c r="L21" s="6" t="s">
        <v>30</v>
      </c>
      <c r="M21" s="6" t="s">
        <v>31</v>
      </c>
      <c r="N21" s="6" t="s">
        <v>32</v>
      </c>
    </row>
    <row r="22" spans="1:15" x14ac:dyDescent="0.35">
      <c r="A22" s="7" t="s">
        <v>72</v>
      </c>
      <c r="B22" s="7" t="s">
        <v>86</v>
      </c>
      <c r="C22" s="8" t="e">
        <f t="shared" ref="C22:C27" ca="1" si="14">EPM($B$5,$B$6,1,A22,"period_net_amount",$B$7)</f>
        <v>#NAME?</v>
      </c>
      <c r="D22" s="8" t="e">
        <f t="shared" ref="D22:D27" ca="1" si="15">EPM($B$5,$B$6,2,A22,"period_net_amount",$B$7)</f>
        <v>#NAME?</v>
      </c>
      <c r="E22" s="8" t="e">
        <f t="shared" ref="E22:E27" ca="1" si="16">EPM($B$5,$B$6,3,A22,"period_net_amount",$B$7)</f>
        <v>#NAME?</v>
      </c>
      <c r="F22" s="8" t="e">
        <f t="shared" ref="F22:F27" ca="1" si="17">EPM($B$5,$B$6,4,A22,"period_net_amount",$B$7)</f>
        <v>#NAME?</v>
      </c>
      <c r="G22" s="8" t="e">
        <f t="shared" ref="G22:G27" ca="1" si="18">EPM($B$5,$B$6,5,A22,"period_net_amount",$B$7)</f>
        <v>#NAME?</v>
      </c>
      <c r="H22" s="8" t="e">
        <f t="shared" ref="H22:H27" ca="1" si="19">EPM($B$5,$B$6,6,A22,"period_net_amount",$B$7)</f>
        <v>#NAME?</v>
      </c>
      <c r="I22" s="8" t="e">
        <f t="shared" ref="I22:I27" ca="1" si="20">EPM($B$5,$B$6,7,A22,"period_net_amount",$B$7)</f>
        <v>#NAME?</v>
      </c>
      <c r="J22" s="8" t="e">
        <f t="shared" ref="J22:J27" ca="1" si="21">EPM($B$5,$B$6,8,A22,"period_net_amount",$B$7)</f>
        <v>#NAME?</v>
      </c>
      <c r="K22" s="8" t="e">
        <f t="shared" ref="K22:K27" ca="1" si="22">EPM($B$5,$B$6,9,A22,"period_net_amount",$B$7)</f>
        <v>#NAME?</v>
      </c>
      <c r="L22" s="8" t="e">
        <f t="shared" ref="L22:L27" ca="1" si="23">EPM($B$5,$B$6,10,A22,"period_net_amount",$B$7)</f>
        <v>#NAME?</v>
      </c>
      <c r="M22" s="8" t="e">
        <f t="shared" ref="M22:M27" ca="1" si="24">EPM($B$5,$B$6,11,A22,"period_net_amount",$B$7)</f>
        <v>#NAME?</v>
      </c>
      <c r="N22" s="8" t="e">
        <f t="shared" ref="N22:N27" ca="1" si="25">EPM($B$5,$B$6,12,A22,"period_net_amount",$B$7)</f>
        <v>#NAME?</v>
      </c>
    </row>
    <row r="23" spans="1:15" x14ac:dyDescent="0.35">
      <c r="A23" s="7" t="s">
        <v>74</v>
      </c>
      <c r="B23" s="7" t="s">
        <v>87</v>
      </c>
      <c r="C23" s="8" t="e">
        <f t="shared" ca="1" si="14"/>
        <v>#NAME?</v>
      </c>
      <c r="D23" s="8" t="e">
        <f t="shared" ca="1" si="15"/>
        <v>#NAME?</v>
      </c>
      <c r="E23" s="8" t="e">
        <f t="shared" ca="1" si="16"/>
        <v>#NAME?</v>
      </c>
      <c r="F23" s="8" t="e">
        <f t="shared" ca="1" si="17"/>
        <v>#NAME?</v>
      </c>
      <c r="G23" s="8" t="e">
        <f t="shared" ca="1" si="18"/>
        <v>#NAME?</v>
      </c>
      <c r="H23" s="8" t="e">
        <f t="shared" ca="1" si="19"/>
        <v>#NAME?</v>
      </c>
      <c r="I23" s="8" t="e">
        <f t="shared" ca="1" si="20"/>
        <v>#NAME?</v>
      </c>
      <c r="J23" s="8" t="e">
        <f t="shared" ca="1" si="21"/>
        <v>#NAME?</v>
      </c>
      <c r="K23" s="8" t="e">
        <f t="shared" ca="1" si="22"/>
        <v>#NAME?</v>
      </c>
      <c r="L23" s="8" t="e">
        <f t="shared" ca="1" si="23"/>
        <v>#NAME?</v>
      </c>
      <c r="M23" s="8" t="e">
        <f t="shared" ca="1" si="24"/>
        <v>#NAME?</v>
      </c>
      <c r="N23" s="8" t="e">
        <f t="shared" ca="1" si="25"/>
        <v>#NAME?</v>
      </c>
    </row>
    <row r="24" spans="1:15" x14ac:dyDescent="0.35">
      <c r="A24" s="7" t="s">
        <v>88</v>
      </c>
      <c r="B24" s="7" t="s">
        <v>89</v>
      </c>
      <c r="C24" s="8" t="e">
        <f t="shared" ca="1" si="14"/>
        <v>#NAME?</v>
      </c>
      <c r="D24" s="8" t="e">
        <f t="shared" ca="1" si="15"/>
        <v>#NAME?</v>
      </c>
      <c r="E24" s="8" t="e">
        <f t="shared" ca="1" si="16"/>
        <v>#NAME?</v>
      </c>
      <c r="F24" s="8" t="e">
        <f t="shared" ca="1" si="17"/>
        <v>#NAME?</v>
      </c>
      <c r="G24" s="8" t="e">
        <f t="shared" ca="1" si="18"/>
        <v>#NAME?</v>
      </c>
      <c r="H24" s="8" t="e">
        <f t="shared" ca="1" si="19"/>
        <v>#NAME?</v>
      </c>
      <c r="I24" s="8" t="e">
        <f t="shared" ca="1" si="20"/>
        <v>#NAME?</v>
      </c>
      <c r="J24" s="8" t="e">
        <f t="shared" ca="1" si="21"/>
        <v>#NAME?</v>
      </c>
      <c r="K24" s="8" t="e">
        <f t="shared" ca="1" si="22"/>
        <v>#NAME?</v>
      </c>
      <c r="L24" s="8" t="e">
        <f t="shared" ca="1" si="23"/>
        <v>#NAME?</v>
      </c>
      <c r="M24" s="8" t="e">
        <f t="shared" ca="1" si="24"/>
        <v>#NAME?</v>
      </c>
      <c r="N24" s="8" t="e">
        <f t="shared" ca="1" si="25"/>
        <v>#NAME?</v>
      </c>
    </row>
    <row r="25" spans="1:15" x14ac:dyDescent="0.35">
      <c r="A25" s="7" t="s">
        <v>90</v>
      </c>
      <c r="B25" s="7" t="s">
        <v>91</v>
      </c>
      <c r="C25" s="8" t="e">
        <f t="shared" ca="1" si="14"/>
        <v>#NAME?</v>
      </c>
      <c r="D25" s="8" t="e">
        <f t="shared" ca="1" si="15"/>
        <v>#NAME?</v>
      </c>
      <c r="E25" s="8" t="e">
        <f t="shared" ca="1" si="16"/>
        <v>#NAME?</v>
      </c>
      <c r="F25" s="8" t="e">
        <f t="shared" ca="1" si="17"/>
        <v>#NAME?</v>
      </c>
      <c r="G25" s="8" t="e">
        <f t="shared" ca="1" si="18"/>
        <v>#NAME?</v>
      </c>
      <c r="H25" s="8" t="e">
        <f t="shared" ca="1" si="19"/>
        <v>#NAME?</v>
      </c>
      <c r="I25" s="8" t="e">
        <f t="shared" ca="1" si="20"/>
        <v>#NAME?</v>
      </c>
      <c r="J25" s="8" t="e">
        <f t="shared" ca="1" si="21"/>
        <v>#NAME?</v>
      </c>
      <c r="K25" s="8" t="e">
        <f t="shared" ca="1" si="22"/>
        <v>#NAME?</v>
      </c>
      <c r="L25" s="8" t="e">
        <f t="shared" ca="1" si="23"/>
        <v>#NAME?</v>
      </c>
      <c r="M25" s="8" t="e">
        <f t="shared" ca="1" si="24"/>
        <v>#NAME?</v>
      </c>
      <c r="N25" s="8" t="e">
        <f t="shared" ca="1" si="25"/>
        <v>#NAME?</v>
      </c>
    </row>
    <row r="26" spans="1:15" x14ac:dyDescent="0.35">
      <c r="A26" s="7" t="s">
        <v>92</v>
      </c>
      <c r="B26" s="7" t="s">
        <v>93</v>
      </c>
      <c r="C26" s="8" t="e">
        <f t="shared" ca="1" si="14"/>
        <v>#NAME?</v>
      </c>
      <c r="D26" s="8" t="e">
        <f t="shared" ca="1" si="15"/>
        <v>#NAME?</v>
      </c>
      <c r="E26" s="8" t="e">
        <f t="shared" ca="1" si="16"/>
        <v>#NAME?</v>
      </c>
      <c r="F26" s="8" t="e">
        <f t="shared" ca="1" si="17"/>
        <v>#NAME?</v>
      </c>
      <c r="G26" s="8" t="e">
        <f t="shared" ca="1" si="18"/>
        <v>#NAME?</v>
      </c>
      <c r="H26" s="8" t="e">
        <f t="shared" ca="1" si="19"/>
        <v>#NAME?</v>
      </c>
      <c r="I26" s="8" t="e">
        <f t="shared" ca="1" si="20"/>
        <v>#NAME?</v>
      </c>
      <c r="J26" s="8" t="e">
        <f t="shared" ca="1" si="21"/>
        <v>#NAME?</v>
      </c>
      <c r="K26" s="8" t="e">
        <f t="shared" ca="1" si="22"/>
        <v>#NAME?</v>
      </c>
      <c r="L26" s="8" t="e">
        <f t="shared" ca="1" si="23"/>
        <v>#NAME?</v>
      </c>
      <c r="M26" s="8" t="e">
        <f t="shared" ca="1" si="24"/>
        <v>#NAME?</v>
      </c>
      <c r="N26" s="8" t="e">
        <f t="shared" ca="1" si="25"/>
        <v>#NAME?</v>
      </c>
    </row>
    <row r="27" spans="1:15" x14ac:dyDescent="0.35">
      <c r="A27" s="7" t="s">
        <v>94</v>
      </c>
      <c r="B27" s="7" t="s">
        <v>95</v>
      </c>
      <c r="C27" s="8" t="e">
        <f t="shared" ca="1" si="14"/>
        <v>#NAME?</v>
      </c>
      <c r="D27" s="8" t="e">
        <f t="shared" ca="1" si="15"/>
        <v>#NAME?</v>
      </c>
      <c r="E27" s="8" t="e">
        <f t="shared" ca="1" si="16"/>
        <v>#NAME?</v>
      </c>
      <c r="F27" s="8" t="e">
        <f t="shared" ca="1" si="17"/>
        <v>#NAME?</v>
      </c>
      <c r="G27" s="8" t="e">
        <f t="shared" ca="1" si="18"/>
        <v>#NAME?</v>
      </c>
      <c r="H27" s="8" t="e">
        <f t="shared" ca="1" si="19"/>
        <v>#NAME?</v>
      </c>
      <c r="I27" s="8" t="e">
        <f t="shared" ca="1" si="20"/>
        <v>#NAME?</v>
      </c>
      <c r="J27" s="8" t="e">
        <f t="shared" ca="1" si="21"/>
        <v>#NAME?</v>
      </c>
      <c r="K27" s="8" t="e">
        <f t="shared" ca="1" si="22"/>
        <v>#NAME?</v>
      </c>
      <c r="L27" s="8" t="e">
        <f t="shared" ca="1" si="23"/>
        <v>#NAME?</v>
      </c>
      <c r="M27" s="8" t="e">
        <f t="shared" ca="1" si="24"/>
        <v>#NAME?</v>
      </c>
      <c r="N27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32"/>
  <sheetViews>
    <sheetView tabSelected="1" workbookViewId="0">
      <selection sqref="A1:O1"/>
    </sheetView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96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97</v>
      </c>
    </row>
    <row r="6" spans="1:15" x14ac:dyDescent="0.35">
      <c r="A6" s="2" t="s">
        <v>15</v>
      </c>
      <c r="B6" s="5">
        <v>2016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98</v>
      </c>
      <c r="B11" s="7" t="s">
        <v>99</v>
      </c>
      <c r="C11" s="8" t="e">
        <f t="shared" ref="C11:C22" ca="1" si="0">EPM($B$5,$B$6,1,A11,"period_net_amount",$B$7)</f>
        <v>#NAME?</v>
      </c>
      <c r="D11" s="8" t="e">
        <f t="shared" ref="D11:D22" ca="1" si="1">EPM($B$5,$B$6,2,A11,"period_net_amount",$B$7)</f>
        <v>#NAME?</v>
      </c>
      <c r="E11" s="8" t="e">
        <f t="shared" ref="E11:E22" ca="1" si="2">EPM($B$5,$B$6,3,A11,"period_net_amount",$B$7)</f>
        <v>#NAME?</v>
      </c>
      <c r="F11" s="8" t="e">
        <f t="shared" ref="F11:F22" ca="1" si="3">EPM($B$5,$B$6,4,A11,"period_net_amount",$B$7)</f>
        <v>#NAME?</v>
      </c>
      <c r="G11" s="8" t="e">
        <f t="shared" ref="G11:G22" ca="1" si="4">EPM($B$5,$B$6,5,A11,"period_net_amount",$B$7)</f>
        <v>#NAME?</v>
      </c>
      <c r="H11" s="8" t="e">
        <f t="shared" ref="H11:H22" ca="1" si="5">EPM($B$5,$B$6,6,A11,"period_net_amount",$B$7)</f>
        <v>#NAME?</v>
      </c>
      <c r="I11" s="8" t="e">
        <f t="shared" ref="I11:I22" ca="1" si="6">EPM($B$5,$B$6,7,A11,"period_net_amount",$B$7)</f>
        <v>#NAME?</v>
      </c>
      <c r="J11" s="8" t="e">
        <f t="shared" ref="J11:J22" ca="1" si="7">EPM($B$5,$B$6,8,A11,"period_net_amount",$B$7)</f>
        <v>#NAME?</v>
      </c>
      <c r="K11" s="8" t="e">
        <f t="shared" ref="K11:K22" ca="1" si="8">EPM($B$5,$B$6,9,A11,"period_net_amount",$B$7)</f>
        <v>#NAME?</v>
      </c>
      <c r="L11" s="8" t="e">
        <f t="shared" ref="L11:L22" ca="1" si="9">EPM($B$5,$B$6,10,A11,"period_net_amount",$B$7)</f>
        <v>#NAME?</v>
      </c>
      <c r="M11" s="8" t="e">
        <f t="shared" ref="M11:M22" ca="1" si="10">EPM($B$5,$B$6,11,A11,"period_net_amount",$B$7)</f>
        <v>#NAME?</v>
      </c>
      <c r="N11" s="8" t="e">
        <f t="shared" ref="N11:N22" ca="1" si="11">EPM($B$5,$B$6,12,A11,"period_net_amount",$B$7)</f>
        <v>#NAME?</v>
      </c>
      <c r="O11" s="9" t="e">
        <f t="shared" ref="O11:O22" ca="1" si="12">SUM(C11:N11)</f>
        <v>#NAME?</v>
      </c>
    </row>
    <row r="12" spans="1:15" x14ac:dyDescent="0.35">
      <c r="A12" s="7" t="s">
        <v>100</v>
      </c>
      <c r="B12" s="7" t="s">
        <v>101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102</v>
      </c>
      <c r="B13" s="7" t="s">
        <v>103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104</v>
      </c>
      <c r="B14" s="7" t="s">
        <v>105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106</v>
      </c>
      <c r="B15" s="7" t="s">
        <v>107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108</v>
      </c>
      <c r="B16" s="7" t="s">
        <v>109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110</v>
      </c>
      <c r="B17" s="7" t="s">
        <v>111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A18" s="7" t="s">
        <v>112</v>
      </c>
      <c r="B18" s="7" t="s">
        <v>113</v>
      </c>
      <c r="C18" s="8" t="e">
        <f t="shared" ca="1" si="0"/>
        <v>#NAME?</v>
      </c>
      <c r="D18" s="8" t="e">
        <f t="shared" ca="1" si="1"/>
        <v>#NAME?</v>
      </c>
      <c r="E18" s="8" t="e">
        <f t="shared" ca="1" si="2"/>
        <v>#NAME?</v>
      </c>
      <c r="F18" s="8" t="e">
        <f t="shared" ca="1" si="3"/>
        <v>#NAME?</v>
      </c>
      <c r="G18" s="8" t="e">
        <f t="shared" ca="1" si="4"/>
        <v>#NAME?</v>
      </c>
      <c r="H18" s="8" t="e">
        <f t="shared" ca="1" si="5"/>
        <v>#NAME?</v>
      </c>
      <c r="I18" s="8" t="e">
        <f t="shared" ca="1" si="6"/>
        <v>#NAME?</v>
      </c>
      <c r="J18" s="8" t="e">
        <f t="shared" ca="1" si="7"/>
        <v>#NAME?</v>
      </c>
      <c r="K18" s="8" t="e">
        <f t="shared" ca="1" si="8"/>
        <v>#NAME?</v>
      </c>
      <c r="L18" s="8" t="e">
        <f t="shared" ca="1" si="9"/>
        <v>#NAME?</v>
      </c>
      <c r="M18" s="8" t="e">
        <f t="shared" ca="1" si="10"/>
        <v>#NAME?</v>
      </c>
      <c r="N18" s="8" t="e">
        <f t="shared" ca="1" si="11"/>
        <v>#NAME?</v>
      </c>
      <c r="O18" s="9" t="e">
        <f t="shared" ca="1" si="12"/>
        <v>#NAME?</v>
      </c>
    </row>
    <row r="19" spans="1:15" x14ac:dyDescent="0.35">
      <c r="A19" s="7" t="s">
        <v>114</v>
      </c>
      <c r="B19" s="7" t="s">
        <v>115</v>
      </c>
      <c r="C19" s="8" t="e">
        <f t="shared" ca="1" si="0"/>
        <v>#NAME?</v>
      </c>
      <c r="D19" s="8" t="e">
        <f t="shared" ca="1" si="1"/>
        <v>#NAME?</v>
      </c>
      <c r="E19" s="8" t="e">
        <f t="shared" ca="1" si="2"/>
        <v>#NAME?</v>
      </c>
      <c r="F19" s="8" t="e">
        <f t="shared" ca="1" si="3"/>
        <v>#NAME?</v>
      </c>
      <c r="G19" s="8" t="e">
        <f t="shared" ca="1" si="4"/>
        <v>#NAME?</v>
      </c>
      <c r="H19" s="8" t="e">
        <f t="shared" ca="1" si="5"/>
        <v>#NAME?</v>
      </c>
      <c r="I19" s="8" t="e">
        <f t="shared" ca="1" si="6"/>
        <v>#NAME?</v>
      </c>
      <c r="J19" s="8" t="e">
        <f t="shared" ca="1" si="7"/>
        <v>#NAME?</v>
      </c>
      <c r="K19" s="8" t="e">
        <f t="shared" ca="1" si="8"/>
        <v>#NAME?</v>
      </c>
      <c r="L19" s="8" t="e">
        <f t="shared" ca="1" si="9"/>
        <v>#NAME?</v>
      </c>
      <c r="M19" s="8" t="e">
        <f t="shared" ca="1" si="10"/>
        <v>#NAME?</v>
      </c>
      <c r="N19" s="8" t="e">
        <f t="shared" ca="1" si="11"/>
        <v>#NAME?</v>
      </c>
      <c r="O19" s="9" t="e">
        <f t="shared" ca="1" si="12"/>
        <v>#NAME?</v>
      </c>
    </row>
    <row r="20" spans="1:15" x14ac:dyDescent="0.35">
      <c r="A20" s="7" t="s">
        <v>116</v>
      </c>
      <c r="B20" s="7" t="s">
        <v>117</v>
      </c>
      <c r="C20" s="8" t="e">
        <f t="shared" ca="1" si="0"/>
        <v>#NAME?</v>
      </c>
      <c r="D20" s="8" t="e">
        <f t="shared" ca="1" si="1"/>
        <v>#NAME?</v>
      </c>
      <c r="E20" s="8" t="e">
        <f t="shared" ca="1" si="2"/>
        <v>#NAME?</v>
      </c>
      <c r="F20" s="8" t="e">
        <f t="shared" ca="1" si="3"/>
        <v>#NAME?</v>
      </c>
      <c r="G20" s="8" t="e">
        <f t="shared" ca="1" si="4"/>
        <v>#NAME?</v>
      </c>
      <c r="H20" s="8" t="e">
        <f t="shared" ca="1" si="5"/>
        <v>#NAME?</v>
      </c>
      <c r="I20" s="8" t="e">
        <f t="shared" ca="1" si="6"/>
        <v>#NAME?</v>
      </c>
      <c r="J20" s="8" t="e">
        <f t="shared" ca="1" si="7"/>
        <v>#NAME?</v>
      </c>
      <c r="K20" s="8" t="e">
        <f t="shared" ca="1" si="8"/>
        <v>#NAME?</v>
      </c>
      <c r="L20" s="8" t="e">
        <f t="shared" ca="1" si="9"/>
        <v>#NAME?</v>
      </c>
      <c r="M20" s="8" t="e">
        <f t="shared" ca="1" si="10"/>
        <v>#NAME?</v>
      </c>
      <c r="N20" s="8" t="e">
        <f t="shared" ca="1" si="11"/>
        <v>#NAME?</v>
      </c>
      <c r="O20" s="9" t="e">
        <f t="shared" ca="1" si="12"/>
        <v>#NAME?</v>
      </c>
    </row>
    <row r="21" spans="1:15" x14ac:dyDescent="0.35">
      <c r="A21" s="7" t="s">
        <v>118</v>
      </c>
      <c r="B21" s="7" t="s">
        <v>119</v>
      </c>
      <c r="C21" s="8" t="e">
        <f t="shared" ca="1" si="0"/>
        <v>#NAME?</v>
      </c>
      <c r="D21" s="8" t="e">
        <f t="shared" ca="1" si="1"/>
        <v>#NAME?</v>
      </c>
      <c r="E21" s="8" t="e">
        <f t="shared" ca="1" si="2"/>
        <v>#NAME?</v>
      </c>
      <c r="F21" s="8" t="e">
        <f t="shared" ca="1" si="3"/>
        <v>#NAME?</v>
      </c>
      <c r="G21" s="8" t="e">
        <f t="shared" ca="1" si="4"/>
        <v>#NAME?</v>
      </c>
      <c r="H21" s="8" t="e">
        <f t="shared" ca="1" si="5"/>
        <v>#NAME?</v>
      </c>
      <c r="I21" s="8" t="e">
        <f t="shared" ca="1" si="6"/>
        <v>#NAME?</v>
      </c>
      <c r="J21" s="8" t="e">
        <f t="shared" ca="1" si="7"/>
        <v>#NAME?</v>
      </c>
      <c r="K21" s="8" t="e">
        <f t="shared" ca="1" si="8"/>
        <v>#NAME?</v>
      </c>
      <c r="L21" s="8" t="e">
        <f t="shared" ca="1" si="9"/>
        <v>#NAME?</v>
      </c>
      <c r="M21" s="8" t="e">
        <f t="shared" ca="1" si="10"/>
        <v>#NAME?</v>
      </c>
      <c r="N21" s="8" t="e">
        <f t="shared" ca="1" si="11"/>
        <v>#NAME?</v>
      </c>
      <c r="O21" s="9" t="e">
        <f t="shared" ca="1" si="12"/>
        <v>#NAME?</v>
      </c>
    </row>
    <row r="22" spans="1:15" x14ac:dyDescent="0.35">
      <c r="A22" s="7" t="s">
        <v>120</v>
      </c>
      <c r="B22" s="7" t="s">
        <v>121</v>
      </c>
      <c r="C22" s="8" t="e">
        <f t="shared" ca="1" si="0"/>
        <v>#NAME?</v>
      </c>
      <c r="D22" s="8" t="e">
        <f t="shared" ca="1" si="1"/>
        <v>#NAME?</v>
      </c>
      <c r="E22" s="8" t="e">
        <f t="shared" ca="1" si="2"/>
        <v>#NAME?</v>
      </c>
      <c r="F22" s="8" t="e">
        <f t="shared" ca="1" si="3"/>
        <v>#NAME?</v>
      </c>
      <c r="G22" s="8" t="e">
        <f t="shared" ca="1" si="4"/>
        <v>#NAME?</v>
      </c>
      <c r="H22" s="8" t="e">
        <f t="shared" ca="1" si="5"/>
        <v>#NAME?</v>
      </c>
      <c r="I22" s="8" t="e">
        <f t="shared" ca="1" si="6"/>
        <v>#NAME?</v>
      </c>
      <c r="J22" s="8" t="e">
        <f t="shared" ca="1" si="7"/>
        <v>#NAME?</v>
      </c>
      <c r="K22" s="8" t="e">
        <f t="shared" ca="1" si="8"/>
        <v>#NAME?</v>
      </c>
      <c r="L22" s="8" t="e">
        <f t="shared" ca="1" si="9"/>
        <v>#NAME?</v>
      </c>
      <c r="M22" s="8" t="e">
        <f t="shared" ca="1" si="10"/>
        <v>#NAME?</v>
      </c>
      <c r="N22" s="8" t="e">
        <f t="shared" ca="1" si="11"/>
        <v>#NAME?</v>
      </c>
      <c r="O22" s="9" t="e">
        <f t="shared" ca="1" si="12"/>
        <v>#NAME?</v>
      </c>
    </row>
    <row r="23" spans="1:15" x14ac:dyDescent="0.35">
      <c r="B23" s="10" t="s">
        <v>57</v>
      </c>
      <c r="C23" s="11" t="e">
        <f t="shared" ref="C23:O23" ca="1" si="13">SUM(C11:C22)</f>
        <v>#NAME?</v>
      </c>
      <c r="D23" s="11" t="e">
        <f t="shared" ca="1" si="13"/>
        <v>#NAME?</v>
      </c>
      <c r="E23" s="11" t="e">
        <f t="shared" ca="1" si="13"/>
        <v>#NAME?</v>
      </c>
      <c r="F23" s="11" t="e">
        <f t="shared" ca="1" si="13"/>
        <v>#NAME?</v>
      </c>
      <c r="G23" s="11" t="e">
        <f t="shared" ca="1" si="13"/>
        <v>#NAME?</v>
      </c>
      <c r="H23" s="11" t="e">
        <f t="shared" ca="1" si="13"/>
        <v>#NAME?</v>
      </c>
      <c r="I23" s="11" t="e">
        <f t="shared" ca="1" si="13"/>
        <v>#NAME?</v>
      </c>
      <c r="J23" s="11" t="e">
        <f t="shared" ca="1" si="13"/>
        <v>#NAME?</v>
      </c>
      <c r="K23" s="11" t="e">
        <f t="shared" ca="1" si="13"/>
        <v>#NAME?</v>
      </c>
      <c r="L23" s="11" t="e">
        <f t="shared" ca="1" si="13"/>
        <v>#NAME?</v>
      </c>
      <c r="M23" s="11" t="e">
        <f t="shared" ca="1" si="13"/>
        <v>#NAME?</v>
      </c>
      <c r="N23" s="11" t="e">
        <f t="shared" ca="1" si="13"/>
        <v>#NAME?</v>
      </c>
      <c r="O23" s="11" t="e">
        <f t="shared" ca="1" si="13"/>
        <v>#NAME?</v>
      </c>
    </row>
    <row r="25" spans="1:15" ht="15.5" x14ac:dyDescent="0.35">
      <c r="A25" s="4" t="s">
        <v>58</v>
      </c>
    </row>
    <row r="26" spans="1:15" x14ac:dyDescent="0.35">
      <c r="A26" s="6" t="s">
        <v>19</v>
      </c>
      <c r="B26" s="6" t="s">
        <v>20</v>
      </c>
      <c r="C26" s="6" t="s">
        <v>21</v>
      </c>
      <c r="D26" s="6" t="s">
        <v>22</v>
      </c>
      <c r="E26" s="6" t="s">
        <v>23</v>
      </c>
      <c r="F26" s="6" t="s">
        <v>24</v>
      </c>
      <c r="G26" s="6" t="s">
        <v>25</v>
      </c>
      <c r="H26" s="6" t="s">
        <v>26</v>
      </c>
      <c r="I26" s="6" t="s">
        <v>27</v>
      </c>
      <c r="J26" s="6" t="s">
        <v>28</v>
      </c>
      <c r="K26" s="6" t="s">
        <v>29</v>
      </c>
      <c r="L26" s="6" t="s">
        <v>30</v>
      </c>
      <c r="M26" s="6" t="s">
        <v>31</v>
      </c>
      <c r="N26" s="6" t="s">
        <v>32</v>
      </c>
    </row>
    <row r="27" spans="1:15" x14ac:dyDescent="0.35">
      <c r="A27" s="7" t="s">
        <v>122</v>
      </c>
      <c r="B27" s="7" t="s">
        <v>123</v>
      </c>
      <c r="C27" s="8" t="e">
        <f t="shared" ref="C27:C32" ca="1" si="14">EPM($B$5,$B$6,1,A27,"period_net_amount",$B$7)</f>
        <v>#NAME?</v>
      </c>
      <c r="D27" s="8" t="e">
        <f t="shared" ref="D27:D32" ca="1" si="15">EPM($B$5,$B$6,2,A27,"period_net_amount",$B$7)</f>
        <v>#NAME?</v>
      </c>
      <c r="E27" s="8" t="e">
        <f t="shared" ref="E27:E32" ca="1" si="16">EPM($B$5,$B$6,3,A27,"period_net_amount",$B$7)</f>
        <v>#NAME?</v>
      </c>
      <c r="F27" s="8" t="e">
        <f t="shared" ref="F27:F32" ca="1" si="17">EPM($B$5,$B$6,4,A27,"period_net_amount",$B$7)</f>
        <v>#NAME?</v>
      </c>
      <c r="G27" s="8" t="e">
        <f t="shared" ref="G27:G32" ca="1" si="18">EPM($B$5,$B$6,5,A27,"period_net_amount",$B$7)</f>
        <v>#NAME?</v>
      </c>
      <c r="H27" s="8" t="e">
        <f t="shared" ref="H27:H32" ca="1" si="19">EPM($B$5,$B$6,6,A27,"period_net_amount",$B$7)</f>
        <v>#NAME?</v>
      </c>
      <c r="I27" s="8" t="e">
        <f t="shared" ref="I27:I32" ca="1" si="20">EPM($B$5,$B$6,7,A27,"period_net_amount",$B$7)</f>
        <v>#NAME?</v>
      </c>
      <c r="J27" s="8" t="e">
        <f t="shared" ref="J27:J32" ca="1" si="21">EPM($B$5,$B$6,8,A27,"period_net_amount",$B$7)</f>
        <v>#NAME?</v>
      </c>
      <c r="K27" s="8" t="e">
        <f t="shared" ref="K27:K32" ca="1" si="22">EPM($B$5,$B$6,9,A27,"period_net_amount",$B$7)</f>
        <v>#NAME?</v>
      </c>
      <c r="L27" s="8" t="e">
        <f t="shared" ref="L27:L32" ca="1" si="23">EPM($B$5,$B$6,10,A27,"period_net_amount",$B$7)</f>
        <v>#NAME?</v>
      </c>
      <c r="M27" s="8" t="e">
        <f t="shared" ref="M27:M32" ca="1" si="24">EPM($B$5,$B$6,11,A27,"period_net_amount",$B$7)</f>
        <v>#NAME?</v>
      </c>
      <c r="N27" s="8" t="e">
        <f t="shared" ref="N27:N32" ca="1" si="25">EPM($B$5,$B$6,12,A27,"period_net_amount",$B$7)</f>
        <v>#NAME?</v>
      </c>
    </row>
    <row r="28" spans="1:15" x14ac:dyDescent="0.35">
      <c r="A28" s="7" t="s">
        <v>124</v>
      </c>
      <c r="B28" s="7" t="s">
        <v>125</v>
      </c>
      <c r="C28" s="8" t="e">
        <f t="shared" ca="1" si="14"/>
        <v>#NAME?</v>
      </c>
      <c r="D28" s="8" t="e">
        <f t="shared" ca="1" si="15"/>
        <v>#NAME?</v>
      </c>
      <c r="E28" s="8" t="e">
        <f t="shared" ca="1" si="16"/>
        <v>#NAME?</v>
      </c>
      <c r="F28" s="8" t="e">
        <f t="shared" ca="1" si="17"/>
        <v>#NAME?</v>
      </c>
      <c r="G28" s="8" t="e">
        <f t="shared" ca="1" si="18"/>
        <v>#NAME?</v>
      </c>
      <c r="H28" s="8" t="e">
        <f t="shared" ca="1" si="19"/>
        <v>#NAME?</v>
      </c>
      <c r="I28" s="8" t="e">
        <f t="shared" ca="1" si="20"/>
        <v>#NAME?</v>
      </c>
      <c r="J28" s="8" t="e">
        <f t="shared" ca="1" si="21"/>
        <v>#NAME?</v>
      </c>
      <c r="K28" s="8" t="e">
        <f t="shared" ca="1" si="22"/>
        <v>#NAME?</v>
      </c>
      <c r="L28" s="8" t="e">
        <f t="shared" ca="1" si="23"/>
        <v>#NAME?</v>
      </c>
      <c r="M28" s="8" t="e">
        <f t="shared" ca="1" si="24"/>
        <v>#NAME?</v>
      </c>
      <c r="N28" s="8" t="e">
        <f t="shared" ca="1" si="25"/>
        <v>#NAME?</v>
      </c>
    </row>
    <row r="29" spans="1:15" x14ac:dyDescent="0.35">
      <c r="A29" s="7" t="s">
        <v>126</v>
      </c>
      <c r="B29" s="7" t="s">
        <v>127</v>
      </c>
      <c r="C29" s="8" t="e">
        <f t="shared" ca="1" si="14"/>
        <v>#NAME?</v>
      </c>
      <c r="D29" s="8" t="e">
        <f t="shared" ca="1" si="15"/>
        <v>#NAME?</v>
      </c>
      <c r="E29" s="8" t="e">
        <f t="shared" ca="1" si="16"/>
        <v>#NAME?</v>
      </c>
      <c r="F29" s="8" t="e">
        <f t="shared" ca="1" si="17"/>
        <v>#NAME?</v>
      </c>
      <c r="G29" s="8" t="e">
        <f t="shared" ca="1" si="18"/>
        <v>#NAME?</v>
      </c>
      <c r="H29" s="8" t="e">
        <f t="shared" ca="1" si="19"/>
        <v>#NAME?</v>
      </c>
      <c r="I29" s="8" t="e">
        <f t="shared" ca="1" si="20"/>
        <v>#NAME?</v>
      </c>
      <c r="J29" s="8" t="e">
        <f t="shared" ca="1" si="21"/>
        <v>#NAME?</v>
      </c>
      <c r="K29" s="8" t="e">
        <f t="shared" ca="1" si="22"/>
        <v>#NAME?</v>
      </c>
      <c r="L29" s="8" t="e">
        <f t="shared" ca="1" si="23"/>
        <v>#NAME?</v>
      </c>
      <c r="M29" s="8" t="e">
        <f t="shared" ca="1" si="24"/>
        <v>#NAME?</v>
      </c>
      <c r="N29" s="8" t="e">
        <f t="shared" ca="1" si="25"/>
        <v>#NAME?</v>
      </c>
    </row>
    <row r="30" spans="1:15" x14ac:dyDescent="0.35">
      <c r="A30" s="7" t="s">
        <v>128</v>
      </c>
      <c r="B30" s="7" t="s">
        <v>129</v>
      </c>
      <c r="C30" s="8" t="e">
        <f t="shared" ca="1" si="14"/>
        <v>#NAME?</v>
      </c>
      <c r="D30" s="8" t="e">
        <f t="shared" ca="1" si="15"/>
        <v>#NAME?</v>
      </c>
      <c r="E30" s="8" t="e">
        <f t="shared" ca="1" si="16"/>
        <v>#NAME?</v>
      </c>
      <c r="F30" s="8" t="e">
        <f t="shared" ca="1" si="17"/>
        <v>#NAME?</v>
      </c>
      <c r="G30" s="8" t="e">
        <f t="shared" ca="1" si="18"/>
        <v>#NAME?</v>
      </c>
      <c r="H30" s="8" t="e">
        <f t="shared" ca="1" si="19"/>
        <v>#NAME?</v>
      </c>
      <c r="I30" s="8" t="e">
        <f t="shared" ca="1" si="20"/>
        <v>#NAME?</v>
      </c>
      <c r="J30" s="8" t="e">
        <f t="shared" ca="1" si="21"/>
        <v>#NAME?</v>
      </c>
      <c r="K30" s="8" t="e">
        <f t="shared" ca="1" si="22"/>
        <v>#NAME?</v>
      </c>
      <c r="L30" s="8" t="e">
        <f t="shared" ca="1" si="23"/>
        <v>#NAME?</v>
      </c>
      <c r="M30" s="8" t="e">
        <f t="shared" ca="1" si="24"/>
        <v>#NAME?</v>
      </c>
      <c r="N30" s="8" t="e">
        <f t="shared" ca="1" si="25"/>
        <v>#NAME?</v>
      </c>
    </row>
    <row r="31" spans="1:15" x14ac:dyDescent="0.35">
      <c r="A31" s="7" t="s">
        <v>130</v>
      </c>
      <c r="B31" s="7" t="s">
        <v>131</v>
      </c>
      <c r="C31" s="8" t="e">
        <f t="shared" ca="1" si="14"/>
        <v>#NAME?</v>
      </c>
      <c r="D31" s="8" t="e">
        <f t="shared" ca="1" si="15"/>
        <v>#NAME?</v>
      </c>
      <c r="E31" s="8" t="e">
        <f t="shared" ca="1" si="16"/>
        <v>#NAME?</v>
      </c>
      <c r="F31" s="8" t="e">
        <f t="shared" ca="1" si="17"/>
        <v>#NAME?</v>
      </c>
      <c r="G31" s="8" t="e">
        <f t="shared" ca="1" si="18"/>
        <v>#NAME?</v>
      </c>
      <c r="H31" s="8" t="e">
        <f t="shared" ca="1" si="19"/>
        <v>#NAME?</v>
      </c>
      <c r="I31" s="8" t="e">
        <f t="shared" ca="1" si="20"/>
        <v>#NAME?</v>
      </c>
      <c r="J31" s="8" t="e">
        <f t="shared" ca="1" si="21"/>
        <v>#NAME?</v>
      </c>
      <c r="K31" s="8" t="e">
        <f t="shared" ca="1" si="22"/>
        <v>#NAME?</v>
      </c>
      <c r="L31" s="8" t="e">
        <f t="shared" ca="1" si="23"/>
        <v>#NAME?</v>
      </c>
      <c r="M31" s="8" t="e">
        <f t="shared" ca="1" si="24"/>
        <v>#NAME?</v>
      </c>
      <c r="N31" s="8" t="e">
        <f t="shared" ca="1" si="25"/>
        <v>#NAME?</v>
      </c>
    </row>
    <row r="32" spans="1:15" x14ac:dyDescent="0.35">
      <c r="A32" s="7" t="s">
        <v>132</v>
      </c>
      <c r="B32" s="7" t="s">
        <v>133</v>
      </c>
      <c r="C32" s="8" t="e">
        <f t="shared" ca="1" si="14"/>
        <v>#NAME?</v>
      </c>
      <c r="D32" s="8" t="e">
        <f t="shared" ca="1" si="15"/>
        <v>#NAME?</v>
      </c>
      <c r="E32" s="8" t="e">
        <f t="shared" ca="1" si="16"/>
        <v>#NAME?</v>
      </c>
      <c r="F32" s="8" t="e">
        <f t="shared" ca="1" si="17"/>
        <v>#NAME?</v>
      </c>
      <c r="G32" s="8" t="e">
        <f t="shared" ca="1" si="18"/>
        <v>#NAME?</v>
      </c>
      <c r="H32" s="8" t="e">
        <f t="shared" ca="1" si="19"/>
        <v>#NAME?</v>
      </c>
      <c r="I32" s="8" t="e">
        <f t="shared" ca="1" si="20"/>
        <v>#NAME?</v>
      </c>
      <c r="J32" s="8" t="e">
        <f t="shared" ca="1" si="21"/>
        <v>#NAME?</v>
      </c>
      <c r="K32" s="8" t="e">
        <f t="shared" ca="1" si="22"/>
        <v>#NAME?</v>
      </c>
      <c r="L32" s="8" t="e">
        <f t="shared" ca="1" si="23"/>
        <v>#NAME?</v>
      </c>
      <c r="M32" s="8" t="e">
        <f t="shared" ca="1" si="24"/>
        <v>#NAME?</v>
      </c>
      <c r="N32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27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134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135</v>
      </c>
    </row>
    <row r="6" spans="1:15" x14ac:dyDescent="0.35">
      <c r="A6" s="2" t="s">
        <v>15</v>
      </c>
      <c r="B6" s="5">
        <v>2024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136</v>
      </c>
      <c r="B11" s="7" t="s">
        <v>137</v>
      </c>
      <c r="C11" s="8" t="e">
        <f t="shared" ref="C11:C17" ca="1" si="0">EPM($B$5,$B$6,1,A11,"period_net_amount",$B$7)</f>
        <v>#NAME?</v>
      </c>
      <c r="D11" s="8" t="e">
        <f t="shared" ref="D11:D17" ca="1" si="1">EPM($B$5,$B$6,2,A11,"period_net_amount",$B$7)</f>
        <v>#NAME?</v>
      </c>
      <c r="E11" s="8" t="e">
        <f t="shared" ref="E11:E17" ca="1" si="2">EPM($B$5,$B$6,3,A11,"period_net_amount",$B$7)</f>
        <v>#NAME?</v>
      </c>
      <c r="F11" s="8" t="e">
        <f t="shared" ref="F11:F17" ca="1" si="3">EPM($B$5,$B$6,4,A11,"period_net_amount",$B$7)</f>
        <v>#NAME?</v>
      </c>
      <c r="G11" s="8" t="e">
        <f t="shared" ref="G11:G17" ca="1" si="4">EPM($B$5,$B$6,5,A11,"period_net_amount",$B$7)</f>
        <v>#NAME?</v>
      </c>
      <c r="H11" s="8" t="e">
        <f t="shared" ref="H11:H17" ca="1" si="5">EPM($B$5,$B$6,6,A11,"period_net_amount",$B$7)</f>
        <v>#NAME?</v>
      </c>
      <c r="I11" s="8" t="e">
        <f t="shared" ref="I11:I17" ca="1" si="6">EPM($B$5,$B$6,7,A11,"period_net_amount",$B$7)</f>
        <v>#NAME?</v>
      </c>
      <c r="J11" s="8" t="e">
        <f t="shared" ref="J11:J17" ca="1" si="7">EPM($B$5,$B$6,8,A11,"period_net_amount",$B$7)</f>
        <v>#NAME?</v>
      </c>
      <c r="K11" s="8" t="e">
        <f t="shared" ref="K11:K17" ca="1" si="8">EPM($B$5,$B$6,9,A11,"period_net_amount",$B$7)</f>
        <v>#NAME?</v>
      </c>
      <c r="L11" s="8" t="e">
        <f t="shared" ref="L11:L17" ca="1" si="9">EPM($B$5,$B$6,10,A11,"period_net_amount",$B$7)</f>
        <v>#NAME?</v>
      </c>
      <c r="M11" s="8" t="e">
        <f t="shared" ref="M11:M17" ca="1" si="10">EPM($B$5,$B$6,11,A11,"period_net_amount",$B$7)</f>
        <v>#NAME?</v>
      </c>
      <c r="N11" s="8" t="e">
        <f t="shared" ref="N11:N17" ca="1" si="11">EPM($B$5,$B$6,12,A11,"period_net_amount",$B$7)</f>
        <v>#NAME?</v>
      </c>
      <c r="O11" s="9" t="e">
        <f t="shared" ref="O11:O17" ca="1" si="12">SUM(C11:N11)</f>
        <v>#NAME?</v>
      </c>
    </row>
    <row r="12" spans="1:15" x14ac:dyDescent="0.35">
      <c r="A12" s="7" t="s">
        <v>138</v>
      </c>
      <c r="B12" s="7" t="s">
        <v>139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140</v>
      </c>
      <c r="B13" s="7" t="s">
        <v>141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142</v>
      </c>
      <c r="B14" s="7" t="s">
        <v>143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144</v>
      </c>
      <c r="B15" s="7" t="s">
        <v>145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146</v>
      </c>
      <c r="B16" s="7" t="s">
        <v>147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148</v>
      </c>
      <c r="B17" s="7" t="s">
        <v>149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B18" s="10" t="s">
        <v>57</v>
      </c>
      <c r="C18" s="11" t="e">
        <f t="shared" ref="C18:O18" ca="1" si="13">SUM(C11:C17)</f>
        <v>#NAME?</v>
      </c>
      <c r="D18" s="11" t="e">
        <f t="shared" ca="1" si="13"/>
        <v>#NAME?</v>
      </c>
      <c r="E18" s="11" t="e">
        <f t="shared" ca="1" si="13"/>
        <v>#NAME?</v>
      </c>
      <c r="F18" s="11" t="e">
        <f t="shared" ca="1" si="13"/>
        <v>#NAME?</v>
      </c>
      <c r="G18" s="11" t="e">
        <f t="shared" ca="1" si="13"/>
        <v>#NAME?</v>
      </c>
      <c r="H18" s="11" t="e">
        <f t="shared" ca="1" si="13"/>
        <v>#NAME?</v>
      </c>
      <c r="I18" s="11" t="e">
        <f t="shared" ca="1" si="13"/>
        <v>#NAME?</v>
      </c>
      <c r="J18" s="11" t="e">
        <f t="shared" ca="1" si="13"/>
        <v>#NAME?</v>
      </c>
      <c r="K18" s="11" t="e">
        <f t="shared" ca="1" si="13"/>
        <v>#NAME?</v>
      </c>
      <c r="L18" s="11" t="e">
        <f t="shared" ca="1" si="13"/>
        <v>#NAME?</v>
      </c>
      <c r="M18" s="11" t="e">
        <f t="shared" ca="1" si="13"/>
        <v>#NAME?</v>
      </c>
      <c r="N18" s="11" t="e">
        <f t="shared" ca="1" si="13"/>
        <v>#NAME?</v>
      </c>
      <c r="O18" s="11" t="e">
        <f t="shared" ca="1" si="13"/>
        <v>#NAME?</v>
      </c>
    </row>
    <row r="20" spans="1:15" ht="15.5" x14ac:dyDescent="0.35">
      <c r="A20" s="4" t="s">
        <v>58</v>
      </c>
    </row>
    <row r="21" spans="1:15" x14ac:dyDescent="0.35">
      <c r="A21" s="6" t="s">
        <v>19</v>
      </c>
      <c r="B21" s="6" t="s">
        <v>20</v>
      </c>
      <c r="C21" s="6" t="s">
        <v>21</v>
      </c>
      <c r="D21" s="6" t="s">
        <v>22</v>
      </c>
      <c r="E21" s="6" t="s">
        <v>23</v>
      </c>
      <c r="F21" s="6" t="s">
        <v>24</v>
      </c>
      <c r="G21" s="6" t="s">
        <v>25</v>
      </c>
      <c r="H21" s="6" t="s">
        <v>26</v>
      </c>
      <c r="I21" s="6" t="s">
        <v>27</v>
      </c>
      <c r="J21" s="6" t="s">
        <v>28</v>
      </c>
      <c r="K21" s="6" t="s">
        <v>29</v>
      </c>
      <c r="L21" s="6" t="s">
        <v>30</v>
      </c>
      <c r="M21" s="6" t="s">
        <v>31</v>
      </c>
      <c r="N21" s="6" t="s">
        <v>32</v>
      </c>
    </row>
    <row r="22" spans="1:15" x14ac:dyDescent="0.35">
      <c r="A22" s="7" t="s">
        <v>150</v>
      </c>
      <c r="B22" s="7" t="s">
        <v>151</v>
      </c>
      <c r="C22" s="8" t="e">
        <f t="shared" ref="C22:C27" ca="1" si="14">EPM($B$5,$B$6,1,A22,"period_net_amount",$B$7)</f>
        <v>#NAME?</v>
      </c>
      <c r="D22" s="8" t="e">
        <f t="shared" ref="D22:D27" ca="1" si="15">EPM($B$5,$B$6,2,A22,"period_net_amount",$B$7)</f>
        <v>#NAME?</v>
      </c>
      <c r="E22" s="8" t="e">
        <f t="shared" ref="E22:E27" ca="1" si="16">EPM($B$5,$B$6,3,A22,"period_net_amount",$B$7)</f>
        <v>#NAME?</v>
      </c>
      <c r="F22" s="8" t="e">
        <f t="shared" ref="F22:F27" ca="1" si="17">EPM($B$5,$B$6,4,A22,"period_net_amount",$B$7)</f>
        <v>#NAME?</v>
      </c>
      <c r="G22" s="8" t="e">
        <f t="shared" ref="G22:G27" ca="1" si="18">EPM($B$5,$B$6,5,A22,"period_net_amount",$B$7)</f>
        <v>#NAME?</v>
      </c>
      <c r="H22" s="8" t="e">
        <f t="shared" ref="H22:H27" ca="1" si="19">EPM($B$5,$B$6,6,A22,"period_net_amount",$B$7)</f>
        <v>#NAME?</v>
      </c>
      <c r="I22" s="8" t="e">
        <f t="shared" ref="I22:I27" ca="1" si="20">EPM($B$5,$B$6,7,A22,"period_net_amount",$B$7)</f>
        <v>#NAME?</v>
      </c>
      <c r="J22" s="8" t="e">
        <f t="shared" ref="J22:J27" ca="1" si="21">EPM($B$5,$B$6,8,A22,"period_net_amount",$B$7)</f>
        <v>#NAME?</v>
      </c>
      <c r="K22" s="8" t="e">
        <f t="shared" ref="K22:K27" ca="1" si="22">EPM($B$5,$B$6,9,A22,"period_net_amount",$B$7)</f>
        <v>#NAME?</v>
      </c>
      <c r="L22" s="8" t="e">
        <f t="shared" ref="L22:L27" ca="1" si="23">EPM($B$5,$B$6,10,A22,"period_net_amount",$B$7)</f>
        <v>#NAME?</v>
      </c>
      <c r="M22" s="8" t="e">
        <f t="shared" ref="M22:M27" ca="1" si="24">EPM($B$5,$B$6,11,A22,"period_net_amount",$B$7)</f>
        <v>#NAME?</v>
      </c>
      <c r="N22" s="8" t="e">
        <f t="shared" ref="N22:N27" ca="1" si="25">EPM($B$5,$B$6,12,A22,"period_net_amount",$B$7)</f>
        <v>#NAME?</v>
      </c>
    </row>
    <row r="23" spans="1:15" x14ac:dyDescent="0.35">
      <c r="A23" s="7" t="s">
        <v>152</v>
      </c>
      <c r="B23" s="7" t="s">
        <v>153</v>
      </c>
      <c r="C23" s="8" t="e">
        <f t="shared" ca="1" si="14"/>
        <v>#NAME?</v>
      </c>
      <c r="D23" s="8" t="e">
        <f t="shared" ca="1" si="15"/>
        <v>#NAME?</v>
      </c>
      <c r="E23" s="8" t="e">
        <f t="shared" ca="1" si="16"/>
        <v>#NAME?</v>
      </c>
      <c r="F23" s="8" t="e">
        <f t="shared" ca="1" si="17"/>
        <v>#NAME?</v>
      </c>
      <c r="G23" s="8" t="e">
        <f t="shared" ca="1" si="18"/>
        <v>#NAME?</v>
      </c>
      <c r="H23" s="8" t="e">
        <f t="shared" ca="1" si="19"/>
        <v>#NAME?</v>
      </c>
      <c r="I23" s="8" t="e">
        <f t="shared" ca="1" si="20"/>
        <v>#NAME?</v>
      </c>
      <c r="J23" s="8" t="e">
        <f t="shared" ca="1" si="21"/>
        <v>#NAME?</v>
      </c>
      <c r="K23" s="8" t="e">
        <f t="shared" ca="1" si="22"/>
        <v>#NAME?</v>
      </c>
      <c r="L23" s="8" t="e">
        <f t="shared" ca="1" si="23"/>
        <v>#NAME?</v>
      </c>
      <c r="M23" s="8" t="e">
        <f t="shared" ca="1" si="24"/>
        <v>#NAME?</v>
      </c>
      <c r="N23" s="8" t="e">
        <f t="shared" ca="1" si="25"/>
        <v>#NAME?</v>
      </c>
    </row>
    <row r="24" spans="1:15" x14ac:dyDescent="0.35">
      <c r="A24" s="7" t="s">
        <v>154</v>
      </c>
      <c r="B24" s="7" t="s">
        <v>155</v>
      </c>
      <c r="C24" s="8" t="e">
        <f t="shared" ca="1" si="14"/>
        <v>#NAME?</v>
      </c>
      <c r="D24" s="8" t="e">
        <f t="shared" ca="1" si="15"/>
        <v>#NAME?</v>
      </c>
      <c r="E24" s="8" t="e">
        <f t="shared" ca="1" si="16"/>
        <v>#NAME?</v>
      </c>
      <c r="F24" s="8" t="e">
        <f t="shared" ca="1" si="17"/>
        <v>#NAME?</v>
      </c>
      <c r="G24" s="8" t="e">
        <f t="shared" ca="1" si="18"/>
        <v>#NAME?</v>
      </c>
      <c r="H24" s="8" t="e">
        <f t="shared" ca="1" si="19"/>
        <v>#NAME?</v>
      </c>
      <c r="I24" s="8" t="e">
        <f t="shared" ca="1" si="20"/>
        <v>#NAME?</v>
      </c>
      <c r="J24" s="8" t="e">
        <f t="shared" ca="1" si="21"/>
        <v>#NAME?</v>
      </c>
      <c r="K24" s="8" t="e">
        <f t="shared" ca="1" si="22"/>
        <v>#NAME?</v>
      </c>
      <c r="L24" s="8" t="e">
        <f t="shared" ca="1" si="23"/>
        <v>#NAME?</v>
      </c>
      <c r="M24" s="8" t="e">
        <f t="shared" ca="1" si="24"/>
        <v>#NAME?</v>
      </c>
      <c r="N24" s="8" t="e">
        <f t="shared" ca="1" si="25"/>
        <v>#NAME?</v>
      </c>
    </row>
    <row r="25" spans="1:15" x14ac:dyDescent="0.35">
      <c r="A25" s="7" t="s">
        <v>156</v>
      </c>
      <c r="B25" s="7" t="s">
        <v>157</v>
      </c>
      <c r="C25" s="8" t="e">
        <f t="shared" ca="1" si="14"/>
        <v>#NAME?</v>
      </c>
      <c r="D25" s="8" t="e">
        <f t="shared" ca="1" si="15"/>
        <v>#NAME?</v>
      </c>
      <c r="E25" s="8" t="e">
        <f t="shared" ca="1" si="16"/>
        <v>#NAME?</v>
      </c>
      <c r="F25" s="8" t="e">
        <f t="shared" ca="1" si="17"/>
        <v>#NAME?</v>
      </c>
      <c r="G25" s="8" t="e">
        <f t="shared" ca="1" si="18"/>
        <v>#NAME?</v>
      </c>
      <c r="H25" s="8" t="e">
        <f t="shared" ca="1" si="19"/>
        <v>#NAME?</v>
      </c>
      <c r="I25" s="8" t="e">
        <f t="shared" ca="1" si="20"/>
        <v>#NAME?</v>
      </c>
      <c r="J25" s="8" t="e">
        <f t="shared" ca="1" si="21"/>
        <v>#NAME?</v>
      </c>
      <c r="K25" s="8" t="e">
        <f t="shared" ca="1" si="22"/>
        <v>#NAME?</v>
      </c>
      <c r="L25" s="8" t="e">
        <f t="shared" ca="1" si="23"/>
        <v>#NAME?</v>
      </c>
      <c r="M25" s="8" t="e">
        <f t="shared" ca="1" si="24"/>
        <v>#NAME?</v>
      </c>
      <c r="N25" s="8" t="e">
        <f t="shared" ca="1" si="25"/>
        <v>#NAME?</v>
      </c>
    </row>
    <row r="26" spans="1:15" x14ac:dyDescent="0.35">
      <c r="A26" s="7" t="s">
        <v>158</v>
      </c>
      <c r="B26" s="7" t="s">
        <v>159</v>
      </c>
      <c r="C26" s="8" t="e">
        <f t="shared" ca="1" si="14"/>
        <v>#NAME?</v>
      </c>
      <c r="D26" s="8" t="e">
        <f t="shared" ca="1" si="15"/>
        <v>#NAME?</v>
      </c>
      <c r="E26" s="8" t="e">
        <f t="shared" ca="1" si="16"/>
        <v>#NAME?</v>
      </c>
      <c r="F26" s="8" t="e">
        <f t="shared" ca="1" si="17"/>
        <v>#NAME?</v>
      </c>
      <c r="G26" s="8" t="e">
        <f t="shared" ca="1" si="18"/>
        <v>#NAME?</v>
      </c>
      <c r="H26" s="8" t="e">
        <f t="shared" ca="1" si="19"/>
        <v>#NAME?</v>
      </c>
      <c r="I26" s="8" t="e">
        <f t="shared" ca="1" si="20"/>
        <v>#NAME?</v>
      </c>
      <c r="J26" s="8" t="e">
        <f t="shared" ca="1" si="21"/>
        <v>#NAME?</v>
      </c>
      <c r="K26" s="8" t="e">
        <f t="shared" ca="1" si="22"/>
        <v>#NAME?</v>
      </c>
      <c r="L26" s="8" t="e">
        <f t="shared" ca="1" si="23"/>
        <v>#NAME?</v>
      </c>
      <c r="M26" s="8" t="e">
        <f t="shared" ca="1" si="24"/>
        <v>#NAME?</v>
      </c>
      <c r="N26" s="8" t="e">
        <f t="shared" ca="1" si="25"/>
        <v>#NAME?</v>
      </c>
    </row>
    <row r="27" spans="1:15" x14ac:dyDescent="0.35">
      <c r="A27" s="7" t="s">
        <v>160</v>
      </c>
      <c r="B27" s="7" t="s">
        <v>161</v>
      </c>
      <c r="C27" s="8" t="e">
        <f t="shared" ca="1" si="14"/>
        <v>#NAME?</v>
      </c>
      <c r="D27" s="8" t="e">
        <f t="shared" ca="1" si="15"/>
        <v>#NAME?</v>
      </c>
      <c r="E27" s="8" t="e">
        <f t="shared" ca="1" si="16"/>
        <v>#NAME?</v>
      </c>
      <c r="F27" s="8" t="e">
        <f t="shared" ca="1" si="17"/>
        <v>#NAME?</v>
      </c>
      <c r="G27" s="8" t="e">
        <f t="shared" ca="1" si="18"/>
        <v>#NAME?</v>
      </c>
      <c r="H27" s="8" t="e">
        <f t="shared" ca="1" si="19"/>
        <v>#NAME?</v>
      </c>
      <c r="I27" s="8" t="e">
        <f t="shared" ca="1" si="20"/>
        <v>#NAME?</v>
      </c>
      <c r="J27" s="8" t="e">
        <f t="shared" ca="1" si="21"/>
        <v>#NAME?</v>
      </c>
      <c r="K27" s="8" t="e">
        <f t="shared" ca="1" si="22"/>
        <v>#NAME?</v>
      </c>
      <c r="L27" s="8" t="e">
        <f t="shared" ca="1" si="23"/>
        <v>#NAME?</v>
      </c>
      <c r="M27" s="8" t="e">
        <f t="shared" ca="1" si="24"/>
        <v>#NAME?</v>
      </c>
      <c r="N27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26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162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163</v>
      </c>
    </row>
    <row r="6" spans="1:15" x14ac:dyDescent="0.35">
      <c r="A6" s="2" t="s">
        <v>15</v>
      </c>
      <c r="B6" s="5">
        <v>2024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164</v>
      </c>
      <c r="B11" s="7" t="s">
        <v>165</v>
      </c>
      <c r="C11" s="8" t="e">
        <f t="shared" ref="C11:C16" ca="1" si="0">EPM($B$5,$B$6,1,A11,"period_net_amount",$B$7)</f>
        <v>#NAME?</v>
      </c>
      <c r="D11" s="8" t="e">
        <f t="shared" ref="D11:D16" ca="1" si="1">EPM($B$5,$B$6,2,A11,"period_net_amount",$B$7)</f>
        <v>#NAME?</v>
      </c>
      <c r="E11" s="8" t="e">
        <f t="shared" ref="E11:E16" ca="1" si="2">EPM($B$5,$B$6,3,A11,"period_net_amount",$B$7)</f>
        <v>#NAME?</v>
      </c>
      <c r="F11" s="8" t="e">
        <f t="shared" ref="F11:F16" ca="1" si="3">EPM($B$5,$B$6,4,A11,"period_net_amount",$B$7)</f>
        <v>#NAME?</v>
      </c>
      <c r="G11" s="8" t="e">
        <f t="shared" ref="G11:G16" ca="1" si="4">EPM($B$5,$B$6,5,A11,"period_net_amount",$B$7)</f>
        <v>#NAME?</v>
      </c>
      <c r="H11" s="8" t="e">
        <f t="shared" ref="H11:H16" ca="1" si="5">EPM($B$5,$B$6,6,A11,"period_net_amount",$B$7)</f>
        <v>#NAME?</v>
      </c>
      <c r="I11" s="8" t="e">
        <f t="shared" ref="I11:I16" ca="1" si="6">EPM($B$5,$B$6,7,A11,"period_net_amount",$B$7)</f>
        <v>#NAME?</v>
      </c>
      <c r="J11" s="8" t="e">
        <f t="shared" ref="J11:J16" ca="1" si="7">EPM($B$5,$B$6,8,A11,"period_net_amount",$B$7)</f>
        <v>#NAME?</v>
      </c>
      <c r="K11" s="8" t="e">
        <f t="shared" ref="K11:K16" ca="1" si="8">EPM($B$5,$B$6,9,A11,"period_net_amount",$B$7)</f>
        <v>#NAME?</v>
      </c>
      <c r="L11" s="8" t="e">
        <f t="shared" ref="L11:L16" ca="1" si="9">EPM($B$5,$B$6,10,A11,"period_net_amount",$B$7)</f>
        <v>#NAME?</v>
      </c>
      <c r="M11" s="8" t="e">
        <f t="shared" ref="M11:M16" ca="1" si="10">EPM($B$5,$B$6,11,A11,"period_net_amount",$B$7)</f>
        <v>#NAME?</v>
      </c>
      <c r="N11" s="8" t="e">
        <f t="shared" ref="N11:N16" ca="1" si="11">EPM($B$5,$B$6,12,A11,"period_net_amount",$B$7)</f>
        <v>#NAME?</v>
      </c>
      <c r="O11" s="9" t="e">
        <f t="shared" ref="O11:O16" ca="1" si="12">SUM(C11:N11)</f>
        <v>#NAME?</v>
      </c>
    </row>
    <row r="12" spans="1:15" x14ac:dyDescent="0.35">
      <c r="A12" s="7" t="s">
        <v>166</v>
      </c>
      <c r="B12" s="7" t="s">
        <v>167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168</v>
      </c>
      <c r="B13" s="7" t="s">
        <v>169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170</v>
      </c>
      <c r="B14" s="7" t="s">
        <v>171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172</v>
      </c>
      <c r="B15" s="7" t="s">
        <v>173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174</v>
      </c>
      <c r="B16" s="7" t="s">
        <v>175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B17" s="10" t="s">
        <v>57</v>
      </c>
      <c r="C17" s="11" t="e">
        <f t="shared" ref="C17:O17" ca="1" si="13">SUM(C11:C16)</f>
        <v>#NAME?</v>
      </c>
      <c r="D17" s="11" t="e">
        <f t="shared" ca="1" si="13"/>
        <v>#NAME?</v>
      </c>
      <c r="E17" s="11" t="e">
        <f t="shared" ca="1" si="13"/>
        <v>#NAME?</v>
      </c>
      <c r="F17" s="11" t="e">
        <f t="shared" ca="1" si="13"/>
        <v>#NAME?</v>
      </c>
      <c r="G17" s="11" t="e">
        <f t="shared" ca="1" si="13"/>
        <v>#NAME?</v>
      </c>
      <c r="H17" s="11" t="e">
        <f t="shared" ca="1" si="13"/>
        <v>#NAME?</v>
      </c>
      <c r="I17" s="11" t="e">
        <f t="shared" ca="1" si="13"/>
        <v>#NAME?</v>
      </c>
      <c r="J17" s="11" t="e">
        <f t="shared" ca="1" si="13"/>
        <v>#NAME?</v>
      </c>
      <c r="K17" s="11" t="e">
        <f t="shared" ca="1" si="13"/>
        <v>#NAME?</v>
      </c>
      <c r="L17" s="11" t="e">
        <f t="shared" ca="1" si="13"/>
        <v>#NAME?</v>
      </c>
      <c r="M17" s="11" t="e">
        <f t="shared" ca="1" si="13"/>
        <v>#NAME?</v>
      </c>
      <c r="N17" s="11" t="e">
        <f t="shared" ca="1" si="13"/>
        <v>#NAME?</v>
      </c>
      <c r="O17" s="11" t="e">
        <f t="shared" ca="1" si="13"/>
        <v>#NAME?</v>
      </c>
    </row>
    <row r="19" spans="1:15" ht="15.5" x14ac:dyDescent="0.35">
      <c r="A19" s="4" t="s">
        <v>58</v>
      </c>
    </row>
    <row r="20" spans="1:15" x14ac:dyDescent="0.35">
      <c r="A20" s="6" t="s">
        <v>19</v>
      </c>
      <c r="B20" s="6" t="s">
        <v>20</v>
      </c>
      <c r="C20" s="6" t="s">
        <v>21</v>
      </c>
      <c r="D20" s="6" t="s">
        <v>22</v>
      </c>
      <c r="E20" s="6" t="s">
        <v>23</v>
      </c>
      <c r="F20" s="6" t="s">
        <v>24</v>
      </c>
      <c r="G20" s="6" t="s">
        <v>25</v>
      </c>
      <c r="H20" s="6" t="s">
        <v>26</v>
      </c>
      <c r="I20" s="6" t="s">
        <v>27</v>
      </c>
      <c r="J20" s="6" t="s">
        <v>28</v>
      </c>
      <c r="K20" s="6" t="s">
        <v>29</v>
      </c>
      <c r="L20" s="6" t="s">
        <v>30</v>
      </c>
      <c r="M20" s="6" t="s">
        <v>31</v>
      </c>
      <c r="N20" s="6" t="s">
        <v>32</v>
      </c>
    </row>
    <row r="21" spans="1:15" x14ac:dyDescent="0.35">
      <c r="A21" s="7" t="s">
        <v>176</v>
      </c>
      <c r="B21" s="7" t="s">
        <v>177</v>
      </c>
      <c r="C21" s="8" t="e">
        <f t="shared" ref="C21:C26" ca="1" si="14">EPM($B$5,$B$6,1,A21,"period_net_amount",$B$7)</f>
        <v>#NAME?</v>
      </c>
      <c r="D21" s="8" t="e">
        <f t="shared" ref="D21:D26" ca="1" si="15">EPM($B$5,$B$6,2,A21,"period_net_amount",$B$7)</f>
        <v>#NAME?</v>
      </c>
      <c r="E21" s="8" t="e">
        <f t="shared" ref="E21:E26" ca="1" si="16">EPM($B$5,$B$6,3,A21,"period_net_amount",$B$7)</f>
        <v>#NAME?</v>
      </c>
      <c r="F21" s="8" t="e">
        <f t="shared" ref="F21:F26" ca="1" si="17">EPM($B$5,$B$6,4,A21,"period_net_amount",$B$7)</f>
        <v>#NAME?</v>
      </c>
      <c r="G21" s="8" t="e">
        <f t="shared" ref="G21:G26" ca="1" si="18">EPM($B$5,$B$6,5,A21,"period_net_amount",$B$7)</f>
        <v>#NAME?</v>
      </c>
      <c r="H21" s="8" t="e">
        <f t="shared" ref="H21:H26" ca="1" si="19">EPM($B$5,$B$6,6,A21,"period_net_amount",$B$7)</f>
        <v>#NAME?</v>
      </c>
      <c r="I21" s="8" t="e">
        <f t="shared" ref="I21:I26" ca="1" si="20">EPM($B$5,$B$6,7,A21,"period_net_amount",$B$7)</f>
        <v>#NAME?</v>
      </c>
      <c r="J21" s="8" t="e">
        <f t="shared" ref="J21:J26" ca="1" si="21">EPM($B$5,$B$6,8,A21,"period_net_amount",$B$7)</f>
        <v>#NAME?</v>
      </c>
      <c r="K21" s="8" t="e">
        <f t="shared" ref="K21:K26" ca="1" si="22">EPM($B$5,$B$6,9,A21,"period_net_amount",$B$7)</f>
        <v>#NAME?</v>
      </c>
      <c r="L21" s="8" t="e">
        <f t="shared" ref="L21:L26" ca="1" si="23">EPM($B$5,$B$6,10,A21,"period_net_amount",$B$7)</f>
        <v>#NAME?</v>
      </c>
      <c r="M21" s="8" t="e">
        <f t="shared" ref="M21:M26" ca="1" si="24">EPM($B$5,$B$6,11,A21,"period_net_amount",$B$7)</f>
        <v>#NAME?</v>
      </c>
      <c r="N21" s="8" t="e">
        <f t="shared" ref="N21:N26" ca="1" si="25">EPM($B$5,$B$6,12,A21,"period_net_amount",$B$7)</f>
        <v>#NAME?</v>
      </c>
    </row>
    <row r="22" spans="1:15" x14ac:dyDescent="0.35">
      <c r="A22" s="7" t="s">
        <v>178</v>
      </c>
      <c r="B22" s="7" t="s">
        <v>179</v>
      </c>
      <c r="C22" s="8" t="e">
        <f t="shared" ca="1" si="14"/>
        <v>#NAME?</v>
      </c>
      <c r="D22" s="8" t="e">
        <f t="shared" ca="1" si="15"/>
        <v>#NAME?</v>
      </c>
      <c r="E22" s="8" t="e">
        <f t="shared" ca="1" si="16"/>
        <v>#NAME?</v>
      </c>
      <c r="F22" s="8" t="e">
        <f t="shared" ca="1" si="17"/>
        <v>#NAME?</v>
      </c>
      <c r="G22" s="8" t="e">
        <f t="shared" ca="1" si="18"/>
        <v>#NAME?</v>
      </c>
      <c r="H22" s="8" t="e">
        <f t="shared" ca="1" si="19"/>
        <v>#NAME?</v>
      </c>
      <c r="I22" s="8" t="e">
        <f t="shared" ca="1" si="20"/>
        <v>#NAME?</v>
      </c>
      <c r="J22" s="8" t="e">
        <f t="shared" ca="1" si="21"/>
        <v>#NAME?</v>
      </c>
      <c r="K22" s="8" t="e">
        <f t="shared" ca="1" si="22"/>
        <v>#NAME?</v>
      </c>
      <c r="L22" s="8" t="e">
        <f t="shared" ca="1" si="23"/>
        <v>#NAME?</v>
      </c>
      <c r="M22" s="8" t="e">
        <f t="shared" ca="1" si="24"/>
        <v>#NAME?</v>
      </c>
      <c r="N22" s="8" t="e">
        <f t="shared" ca="1" si="25"/>
        <v>#NAME?</v>
      </c>
    </row>
    <row r="23" spans="1:15" x14ac:dyDescent="0.35">
      <c r="A23" s="7" t="s">
        <v>180</v>
      </c>
      <c r="B23" s="7" t="s">
        <v>181</v>
      </c>
      <c r="C23" s="8" t="e">
        <f t="shared" ca="1" si="14"/>
        <v>#NAME?</v>
      </c>
      <c r="D23" s="8" t="e">
        <f t="shared" ca="1" si="15"/>
        <v>#NAME?</v>
      </c>
      <c r="E23" s="8" t="e">
        <f t="shared" ca="1" si="16"/>
        <v>#NAME?</v>
      </c>
      <c r="F23" s="8" t="e">
        <f t="shared" ca="1" si="17"/>
        <v>#NAME?</v>
      </c>
      <c r="G23" s="8" t="e">
        <f t="shared" ca="1" si="18"/>
        <v>#NAME?</v>
      </c>
      <c r="H23" s="8" t="e">
        <f t="shared" ca="1" si="19"/>
        <v>#NAME?</v>
      </c>
      <c r="I23" s="8" t="e">
        <f t="shared" ca="1" si="20"/>
        <v>#NAME?</v>
      </c>
      <c r="J23" s="8" t="e">
        <f t="shared" ca="1" si="21"/>
        <v>#NAME?</v>
      </c>
      <c r="K23" s="8" t="e">
        <f t="shared" ca="1" si="22"/>
        <v>#NAME?</v>
      </c>
      <c r="L23" s="8" t="e">
        <f t="shared" ca="1" si="23"/>
        <v>#NAME?</v>
      </c>
      <c r="M23" s="8" t="e">
        <f t="shared" ca="1" si="24"/>
        <v>#NAME?</v>
      </c>
      <c r="N23" s="8" t="e">
        <f t="shared" ca="1" si="25"/>
        <v>#NAME?</v>
      </c>
    </row>
    <row r="24" spans="1:15" x14ac:dyDescent="0.35">
      <c r="A24" s="7" t="s">
        <v>182</v>
      </c>
      <c r="B24" s="7" t="s">
        <v>183</v>
      </c>
      <c r="C24" s="8" t="e">
        <f t="shared" ca="1" si="14"/>
        <v>#NAME?</v>
      </c>
      <c r="D24" s="8" t="e">
        <f t="shared" ca="1" si="15"/>
        <v>#NAME?</v>
      </c>
      <c r="E24" s="8" t="e">
        <f t="shared" ca="1" si="16"/>
        <v>#NAME?</v>
      </c>
      <c r="F24" s="8" t="e">
        <f t="shared" ca="1" si="17"/>
        <v>#NAME?</v>
      </c>
      <c r="G24" s="8" t="e">
        <f t="shared" ca="1" si="18"/>
        <v>#NAME?</v>
      </c>
      <c r="H24" s="8" t="e">
        <f t="shared" ca="1" si="19"/>
        <v>#NAME?</v>
      </c>
      <c r="I24" s="8" t="e">
        <f t="shared" ca="1" si="20"/>
        <v>#NAME?</v>
      </c>
      <c r="J24" s="8" t="e">
        <f t="shared" ca="1" si="21"/>
        <v>#NAME?</v>
      </c>
      <c r="K24" s="8" t="e">
        <f t="shared" ca="1" si="22"/>
        <v>#NAME?</v>
      </c>
      <c r="L24" s="8" t="e">
        <f t="shared" ca="1" si="23"/>
        <v>#NAME?</v>
      </c>
      <c r="M24" s="8" t="e">
        <f t="shared" ca="1" si="24"/>
        <v>#NAME?</v>
      </c>
      <c r="N24" s="8" t="e">
        <f t="shared" ca="1" si="25"/>
        <v>#NAME?</v>
      </c>
    </row>
    <row r="25" spans="1:15" x14ac:dyDescent="0.35">
      <c r="A25" s="7" t="s">
        <v>184</v>
      </c>
      <c r="B25" s="7" t="s">
        <v>185</v>
      </c>
      <c r="C25" s="8" t="e">
        <f t="shared" ca="1" si="14"/>
        <v>#NAME?</v>
      </c>
      <c r="D25" s="8" t="e">
        <f t="shared" ca="1" si="15"/>
        <v>#NAME?</v>
      </c>
      <c r="E25" s="8" t="e">
        <f t="shared" ca="1" si="16"/>
        <v>#NAME?</v>
      </c>
      <c r="F25" s="8" t="e">
        <f t="shared" ca="1" si="17"/>
        <v>#NAME?</v>
      </c>
      <c r="G25" s="8" t="e">
        <f t="shared" ca="1" si="18"/>
        <v>#NAME?</v>
      </c>
      <c r="H25" s="8" t="e">
        <f t="shared" ca="1" si="19"/>
        <v>#NAME?</v>
      </c>
      <c r="I25" s="8" t="e">
        <f t="shared" ca="1" si="20"/>
        <v>#NAME?</v>
      </c>
      <c r="J25" s="8" t="e">
        <f t="shared" ca="1" si="21"/>
        <v>#NAME?</v>
      </c>
      <c r="K25" s="8" t="e">
        <f t="shared" ca="1" si="22"/>
        <v>#NAME?</v>
      </c>
      <c r="L25" s="8" t="e">
        <f t="shared" ca="1" si="23"/>
        <v>#NAME?</v>
      </c>
      <c r="M25" s="8" t="e">
        <f t="shared" ca="1" si="24"/>
        <v>#NAME?</v>
      </c>
      <c r="N25" s="8" t="e">
        <f t="shared" ca="1" si="25"/>
        <v>#NAME?</v>
      </c>
    </row>
    <row r="26" spans="1:15" x14ac:dyDescent="0.35">
      <c r="A26" s="7" t="s">
        <v>186</v>
      </c>
      <c r="B26" s="7" t="s">
        <v>187</v>
      </c>
      <c r="C26" s="8" t="e">
        <f t="shared" ca="1" si="14"/>
        <v>#NAME?</v>
      </c>
      <c r="D26" s="8" t="e">
        <f t="shared" ca="1" si="15"/>
        <v>#NAME?</v>
      </c>
      <c r="E26" s="8" t="e">
        <f t="shared" ca="1" si="16"/>
        <v>#NAME?</v>
      </c>
      <c r="F26" s="8" t="e">
        <f t="shared" ca="1" si="17"/>
        <v>#NAME?</v>
      </c>
      <c r="G26" s="8" t="e">
        <f t="shared" ca="1" si="18"/>
        <v>#NAME?</v>
      </c>
      <c r="H26" s="8" t="e">
        <f t="shared" ca="1" si="19"/>
        <v>#NAME?</v>
      </c>
      <c r="I26" s="8" t="e">
        <f t="shared" ca="1" si="20"/>
        <v>#NAME?</v>
      </c>
      <c r="J26" s="8" t="e">
        <f t="shared" ca="1" si="21"/>
        <v>#NAME?</v>
      </c>
      <c r="K26" s="8" t="e">
        <f t="shared" ca="1" si="22"/>
        <v>#NAME?</v>
      </c>
      <c r="L26" s="8" t="e">
        <f t="shared" ca="1" si="23"/>
        <v>#NAME?</v>
      </c>
      <c r="M26" s="8" t="e">
        <f t="shared" ca="1" si="24"/>
        <v>#NAME?</v>
      </c>
      <c r="N26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32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188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189</v>
      </c>
    </row>
    <row r="6" spans="1:15" x14ac:dyDescent="0.35">
      <c r="A6" s="2" t="s">
        <v>15</v>
      </c>
      <c r="B6" s="5">
        <v>2024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190</v>
      </c>
      <c r="B11" s="7" t="s">
        <v>191</v>
      </c>
      <c r="C11" s="8" t="e">
        <f t="shared" ref="C11:C22" ca="1" si="0">EPM($B$5,$B$6,1,A11,"period_net_amount",$B$7)</f>
        <v>#NAME?</v>
      </c>
      <c r="D11" s="8" t="e">
        <f t="shared" ref="D11:D22" ca="1" si="1">EPM($B$5,$B$6,2,A11,"period_net_amount",$B$7)</f>
        <v>#NAME?</v>
      </c>
      <c r="E11" s="8" t="e">
        <f t="shared" ref="E11:E22" ca="1" si="2">EPM($B$5,$B$6,3,A11,"period_net_amount",$B$7)</f>
        <v>#NAME?</v>
      </c>
      <c r="F11" s="8" t="e">
        <f t="shared" ref="F11:F22" ca="1" si="3">EPM($B$5,$B$6,4,A11,"period_net_amount",$B$7)</f>
        <v>#NAME?</v>
      </c>
      <c r="G11" s="8" t="e">
        <f t="shared" ref="G11:G22" ca="1" si="4">EPM($B$5,$B$6,5,A11,"period_net_amount",$B$7)</f>
        <v>#NAME?</v>
      </c>
      <c r="H11" s="8" t="e">
        <f t="shared" ref="H11:H22" ca="1" si="5">EPM($B$5,$B$6,6,A11,"period_net_amount",$B$7)</f>
        <v>#NAME?</v>
      </c>
      <c r="I11" s="8" t="e">
        <f t="shared" ref="I11:I22" ca="1" si="6">EPM($B$5,$B$6,7,A11,"period_net_amount",$B$7)</f>
        <v>#NAME?</v>
      </c>
      <c r="J11" s="8" t="e">
        <f t="shared" ref="J11:J22" ca="1" si="7">EPM($B$5,$B$6,8,A11,"period_net_amount",$B$7)</f>
        <v>#NAME?</v>
      </c>
      <c r="K11" s="8" t="e">
        <f t="shared" ref="K11:K22" ca="1" si="8">EPM($B$5,$B$6,9,A11,"period_net_amount",$B$7)</f>
        <v>#NAME?</v>
      </c>
      <c r="L11" s="8" t="e">
        <f t="shared" ref="L11:L22" ca="1" si="9">EPM($B$5,$B$6,10,A11,"period_net_amount",$B$7)</f>
        <v>#NAME?</v>
      </c>
      <c r="M11" s="8" t="e">
        <f t="shared" ref="M11:M22" ca="1" si="10">EPM($B$5,$B$6,11,A11,"period_net_amount",$B$7)</f>
        <v>#NAME?</v>
      </c>
      <c r="N11" s="8" t="e">
        <f t="shared" ref="N11:N22" ca="1" si="11">EPM($B$5,$B$6,12,A11,"period_net_amount",$B$7)</f>
        <v>#NAME?</v>
      </c>
      <c r="O11" s="9" t="e">
        <f t="shared" ref="O11:O22" ca="1" si="12">SUM(C11:N11)</f>
        <v>#NAME?</v>
      </c>
    </row>
    <row r="12" spans="1:15" x14ac:dyDescent="0.35">
      <c r="A12" s="7" t="s">
        <v>52</v>
      </c>
      <c r="B12" s="7" t="s">
        <v>49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44</v>
      </c>
      <c r="B13" s="7" t="s">
        <v>45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144</v>
      </c>
      <c r="B14" s="7" t="s">
        <v>192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138</v>
      </c>
      <c r="B15" s="7" t="s">
        <v>139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142</v>
      </c>
      <c r="B16" s="7" t="s">
        <v>193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140</v>
      </c>
      <c r="B17" s="7" t="s">
        <v>194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A18" s="7" t="s">
        <v>136</v>
      </c>
      <c r="B18" s="7" t="s">
        <v>137</v>
      </c>
      <c r="C18" s="8" t="e">
        <f t="shared" ca="1" si="0"/>
        <v>#NAME?</v>
      </c>
      <c r="D18" s="8" t="e">
        <f t="shared" ca="1" si="1"/>
        <v>#NAME?</v>
      </c>
      <c r="E18" s="8" t="e">
        <f t="shared" ca="1" si="2"/>
        <v>#NAME?</v>
      </c>
      <c r="F18" s="8" t="e">
        <f t="shared" ca="1" si="3"/>
        <v>#NAME?</v>
      </c>
      <c r="G18" s="8" t="e">
        <f t="shared" ca="1" si="4"/>
        <v>#NAME?</v>
      </c>
      <c r="H18" s="8" t="e">
        <f t="shared" ca="1" si="5"/>
        <v>#NAME?</v>
      </c>
      <c r="I18" s="8" t="e">
        <f t="shared" ca="1" si="6"/>
        <v>#NAME?</v>
      </c>
      <c r="J18" s="8" t="e">
        <f t="shared" ca="1" si="7"/>
        <v>#NAME?</v>
      </c>
      <c r="K18" s="8" t="e">
        <f t="shared" ca="1" si="8"/>
        <v>#NAME?</v>
      </c>
      <c r="L18" s="8" t="e">
        <f t="shared" ca="1" si="9"/>
        <v>#NAME?</v>
      </c>
      <c r="M18" s="8" t="e">
        <f t="shared" ca="1" si="10"/>
        <v>#NAME?</v>
      </c>
      <c r="N18" s="8" t="e">
        <f t="shared" ca="1" si="11"/>
        <v>#NAME?</v>
      </c>
      <c r="O18" s="9" t="e">
        <f t="shared" ca="1" si="12"/>
        <v>#NAME?</v>
      </c>
    </row>
    <row r="19" spans="1:15" x14ac:dyDescent="0.35">
      <c r="A19" s="7" t="s">
        <v>195</v>
      </c>
      <c r="B19" s="7" t="s">
        <v>196</v>
      </c>
      <c r="C19" s="8" t="e">
        <f t="shared" ca="1" si="0"/>
        <v>#NAME?</v>
      </c>
      <c r="D19" s="8" t="e">
        <f t="shared" ca="1" si="1"/>
        <v>#NAME?</v>
      </c>
      <c r="E19" s="8" t="e">
        <f t="shared" ca="1" si="2"/>
        <v>#NAME?</v>
      </c>
      <c r="F19" s="8" t="e">
        <f t="shared" ca="1" si="3"/>
        <v>#NAME?</v>
      </c>
      <c r="G19" s="8" t="e">
        <f t="shared" ca="1" si="4"/>
        <v>#NAME?</v>
      </c>
      <c r="H19" s="8" t="e">
        <f t="shared" ca="1" si="5"/>
        <v>#NAME?</v>
      </c>
      <c r="I19" s="8" t="e">
        <f t="shared" ca="1" si="6"/>
        <v>#NAME?</v>
      </c>
      <c r="J19" s="8" t="e">
        <f t="shared" ca="1" si="7"/>
        <v>#NAME?</v>
      </c>
      <c r="K19" s="8" t="e">
        <f t="shared" ca="1" si="8"/>
        <v>#NAME?</v>
      </c>
      <c r="L19" s="8" t="e">
        <f t="shared" ca="1" si="9"/>
        <v>#NAME?</v>
      </c>
      <c r="M19" s="8" t="e">
        <f t="shared" ca="1" si="10"/>
        <v>#NAME?</v>
      </c>
      <c r="N19" s="8" t="e">
        <f t="shared" ca="1" si="11"/>
        <v>#NAME?</v>
      </c>
      <c r="O19" s="9" t="e">
        <f t="shared" ca="1" si="12"/>
        <v>#NAME?</v>
      </c>
    </row>
    <row r="20" spans="1:15" x14ac:dyDescent="0.35">
      <c r="A20" s="7" t="s">
        <v>197</v>
      </c>
      <c r="B20" s="7" t="s">
        <v>198</v>
      </c>
      <c r="C20" s="8" t="e">
        <f t="shared" ca="1" si="0"/>
        <v>#NAME?</v>
      </c>
      <c r="D20" s="8" t="e">
        <f t="shared" ca="1" si="1"/>
        <v>#NAME?</v>
      </c>
      <c r="E20" s="8" t="e">
        <f t="shared" ca="1" si="2"/>
        <v>#NAME?</v>
      </c>
      <c r="F20" s="8" t="e">
        <f t="shared" ca="1" si="3"/>
        <v>#NAME?</v>
      </c>
      <c r="G20" s="8" t="e">
        <f t="shared" ca="1" si="4"/>
        <v>#NAME?</v>
      </c>
      <c r="H20" s="8" t="e">
        <f t="shared" ca="1" si="5"/>
        <v>#NAME?</v>
      </c>
      <c r="I20" s="8" t="e">
        <f t="shared" ca="1" si="6"/>
        <v>#NAME?</v>
      </c>
      <c r="J20" s="8" t="e">
        <f t="shared" ca="1" si="7"/>
        <v>#NAME?</v>
      </c>
      <c r="K20" s="8" t="e">
        <f t="shared" ca="1" si="8"/>
        <v>#NAME?</v>
      </c>
      <c r="L20" s="8" t="e">
        <f t="shared" ca="1" si="9"/>
        <v>#NAME?</v>
      </c>
      <c r="M20" s="8" t="e">
        <f t="shared" ca="1" si="10"/>
        <v>#NAME?</v>
      </c>
      <c r="N20" s="8" t="e">
        <f t="shared" ca="1" si="11"/>
        <v>#NAME?</v>
      </c>
      <c r="O20" s="9" t="e">
        <f t="shared" ca="1" si="12"/>
        <v>#NAME?</v>
      </c>
    </row>
    <row r="21" spans="1:15" x14ac:dyDescent="0.35">
      <c r="A21" s="7" t="s">
        <v>199</v>
      </c>
      <c r="B21" s="7" t="s">
        <v>200</v>
      </c>
      <c r="C21" s="8" t="e">
        <f t="shared" ca="1" si="0"/>
        <v>#NAME?</v>
      </c>
      <c r="D21" s="8" t="e">
        <f t="shared" ca="1" si="1"/>
        <v>#NAME?</v>
      </c>
      <c r="E21" s="8" t="e">
        <f t="shared" ca="1" si="2"/>
        <v>#NAME?</v>
      </c>
      <c r="F21" s="8" t="e">
        <f t="shared" ca="1" si="3"/>
        <v>#NAME?</v>
      </c>
      <c r="G21" s="8" t="e">
        <f t="shared" ca="1" si="4"/>
        <v>#NAME?</v>
      </c>
      <c r="H21" s="8" t="e">
        <f t="shared" ca="1" si="5"/>
        <v>#NAME?</v>
      </c>
      <c r="I21" s="8" t="e">
        <f t="shared" ca="1" si="6"/>
        <v>#NAME?</v>
      </c>
      <c r="J21" s="8" t="e">
        <f t="shared" ca="1" si="7"/>
        <v>#NAME?</v>
      </c>
      <c r="K21" s="8" t="e">
        <f t="shared" ca="1" si="8"/>
        <v>#NAME?</v>
      </c>
      <c r="L21" s="8" t="e">
        <f t="shared" ca="1" si="9"/>
        <v>#NAME?</v>
      </c>
      <c r="M21" s="8" t="e">
        <f t="shared" ca="1" si="10"/>
        <v>#NAME?</v>
      </c>
      <c r="N21" s="8" t="e">
        <f t="shared" ca="1" si="11"/>
        <v>#NAME?</v>
      </c>
      <c r="O21" s="9" t="e">
        <f t="shared" ca="1" si="12"/>
        <v>#NAME?</v>
      </c>
    </row>
    <row r="22" spans="1:15" x14ac:dyDescent="0.35">
      <c r="A22" s="7" t="s">
        <v>201</v>
      </c>
      <c r="B22" s="7" t="s">
        <v>202</v>
      </c>
      <c r="C22" s="8" t="e">
        <f t="shared" ca="1" si="0"/>
        <v>#NAME?</v>
      </c>
      <c r="D22" s="8" t="e">
        <f t="shared" ca="1" si="1"/>
        <v>#NAME?</v>
      </c>
      <c r="E22" s="8" t="e">
        <f t="shared" ca="1" si="2"/>
        <v>#NAME?</v>
      </c>
      <c r="F22" s="8" t="e">
        <f t="shared" ca="1" si="3"/>
        <v>#NAME?</v>
      </c>
      <c r="G22" s="8" t="e">
        <f t="shared" ca="1" si="4"/>
        <v>#NAME?</v>
      </c>
      <c r="H22" s="8" t="e">
        <f t="shared" ca="1" si="5"/>
        <v>#NAME?</v>
      </c>
      <c r="I22" s="8" t="e">
        <f t="shared" ca="1" si="6"/>
        <v>#NAME?</v>
      </c>
      <c r="J22" s="8" t="e">
        <f t="shared" ca="1" si="7"/>
        <v>#NAME?</v>
      </c>
      <c r="K22" s="8" t="e">
        <f t="shared" ca="1" si="8"/>
        <v>#NAME?</v>
      </c>
      <c r="L22" s="8" t="e">
        <f t="shared" ca="1" si="9"/>
        <v>#NAME?</v>
      </c>
      <c r="M22" s="8" t="e">
        <f t="shared" ca="1" si="10"/>
        <v>#NAME?</v>
      </c>
      <c r="N22" s="8" t="e">
        <f t="shared" ca="1" si="11"/>
        <v>#NAME?</v>
      </c>
      <c r="O22" s="9" t="e">
        <f t="shared" ca="1" si="12"/>
        <v>#NAME?</v>
      </c>
    </row>
    <row r="23" spans="1:15" x14ac:dyDescent="0.35">
      <c r="B23" s="10" t="s">
        <v>57</v>
      </c>
      <c r="C23" s="11" t="e">
        <f t="shared" ref="C23:O23" ca="1" si="13">SUM(C11:C22)</f>
        <v>#NAME?</v>
      </c>
      <c r="D23" s="11" t="e">
        <f t="shared" ca="1" si="13"/>
        <v>#NAME?</v>
      </c>
      <c r="E23" s="11" t="e">
        <f t="shared" ca="1" si="13"/>
        <v>#NAME?</v>
      </c>
      <c r="F23" s="11" t="e">
        <f t="shared" ca="1" si="13"/>
        <v>#NAME?</v>
      </c>
      <c r="G23" s="11" t="e">
        <f t="shared" ca="1" si="13"/>
        <v>#NAME?</v>
      </c>
      <c r="H23" s="11" t="e">
        <f t="shared" ca="1" si="13"/>
        <v>#NAME?</v>
      </c>
      <c r="I23" s="11" t="e">
        <f t="shared" ca="1" si="13"/>
        <v>#NAME?</v>
      </c>
      <c r="J23" s="11" t="e">
        <f t="shared" ca="1" si="13"/>
        <v>#NAME?</v>
      </c>
      <c r="K23" s="11" t="e">
        <f t="shared" ca="1" si="13"/>
        <v>#NAME?</v>
      </c>
      <c r="L23" s="11" t="e">
        <f t="shared" ca="1" si="13"/>
        <v>#NAME?</v>
      </c>
      <c r="M23" s="11" t="e">
        <f t="shared" ca="1" si="13"/>
        <v>#NAME?</v>
      </c>
      <c r="N23" s="11" t="e">
        <f t="shared" ca="1" si="13"/>
        <v>#NAME?</v>
      </c>
      <c r="O23" s="11" t="e">
        <f t="shared" ca="1" si="13"/>
        <v>#NAME?</v>
      </c>
    </row>
    <row r="25" spans="1:15" ht="15.5" x14ac:dyDescent="0.35">
      <c r="A25" s="4" t="s">
        <v>58</v>
      </c>
    </row>
    <row r="26" spans="1:15" x14ac:dyDescent="0.35">
      <c r="A26" s="6" t="s">
        <v>19</v>
      </c>
      <c r="B26" s="6" t="s">
        <v>20</v>
      </c>
      <c r="C26" s="6" t="s">
        <v>21</v>
      </c>
      <c r="D26" s="6" t="s">
        <v>22</v>
      </c>
      <c r="E26" s="6" t="s">
        <v>23</v>
      </c>
      <c r="F26" s="6" t="s">
        <v>24</v>
      </c>
      <c r="G26" s="6" t="s">
        <v>25</v>
      </c>
      <c r="H26" s="6" t="s">
        <v>26</v>
      </c>
      <c r="I26" s="6" t="s">
        <v>27</v>
      </c>
      <c r="J26" s="6" t="s">
        <v>28</v>
      </c>
      <c r="K26" s="6" t="s">
        <v>29</v>
      </c>
      <c r="L26" s="6" t="s">
        <v>30</v>
      </c>
      <c r="M26" s="6" t="s">
        <v>31</v>
      </c>
      <c r="N26" s="6" t="s">
        <v>32</v>
      </c>
    </row>
    <row r="27" spans="1:15" x14ac:dyDescent="0.35">
      <c r="A27" s="7" t="s">
        <v>203</v>
      </c>
      <c r="B27" s="7" t="s">
        <v>204</v>
      </c>
      <c r="C27" s="8" t="e">
        <f t="shared" ref="C27:C32" ca="1" si="14">EPM($B$5,$B$6,1,A27,"period_net_amount",$B$7)</f>
        <v>#NAME?</v>
      </c>
      <c r="D27" s="8" t="e">
        <f t="shared" ref="D27:D32" ca="1" si="15">EPM($B$5,$B$6,2,A27,"period_net_amount",$B$7)</f>
        <v>#NAME?</v>
      </c>
      <c r="E27" s="8" t="e">
        <f t="shared" ref="E27:E32" ca="1" si="16">EPM($B$5,$B$6,3,A27,"period_net_amount",$B$7)</f>
        <v>#NAME?</v>
      </c>
      <c r="F27" s="8" t="e">
        <f t="shared" ref="F27:F32" ca="1" si="17">EPM($B$5,$B$6,4,A27,"period_net_amount",$B$7)</f>
        <v>#NAME?</v>
      </c>
      <c r="G27" s="8" t="e">
        <f t="shared" ref="G27:G32" ca="1" si="18">EPM($B$5,$B$6,5,A27,"period_net_amount",$B$7)</f>
        <v>#NAME?</v>
      </c>
      <c r="H27" s="8" t="e">
        <f t="shared" ref="H27:H32" ca="1" si="19">EPM($B$5,$B$6,6,A27,"period_net_amount",$B$7)</f>
        <v>#NAME?</v>
      </c>
      <c r="I27" s="8" t="e">
        <f t="shared" ref="I27:I32" ca="1" si="20">EPM($B$5,$B$6,7,A27,"period_net_amount",$B$7)</f>
        <v>#NAME?</v>
      </c>
      <c r="J27" s="8" t="e">
        <f t="shared" ref="J27:J32" ca="1" si="21">EPM($B$5,$B$6,8,A27,"period_net_amount",$B$7)</f>
        <v>#NAME?</v>
      </c>
      <c r="K27" s="8" t="e">
        <f t="shared" ref="K27:K32" ca="1" si="22">EPM($B$5,$B$6,9,A27,"period_net_amount",$B$7)</f>
        <v>#NAME?</v>
      </c>
      <c r="L27" s="8" t="e">
        <f t="shared" ref="L27:L32" ca="1" si="23">EPM($B$5,$B$6,10,A27,"period_net_amount",$B$7)</f>
        <v>#NAME?</v>
      </c>
      <c r="M27" s="8" t="e">
        <f t="shared" ref="M27:M32" ca="1" si="24">EPM($B$5,$B$6,11,A27,"period_net_amount",$B$7)</f>
        <v>#NAME?</v>
      </c>
      <c r="N27" s="8" t="e">
        <f t="shared" ref="N27:N32" ca="1" si="25">EPM($B$5,$B$6,12,A27,"period_net_amount",$B$7)</f>
        <v>#NAME?</v>
      </c>
    </row>
    <row r="28" spans="1:15" x14ac:dyDescent="0.35">
      <c r="A28" s="7" t="s">
        <v>150</v>
      </c>
      <c r="B28" s="7" t="s">
        <v>151</v>
      </c>
      <c r="C28" s="8" t="e">
        <f t="shared" ca="1" si="14"/>
        <v>#NAME?</v>
      </c>
      <c r="D28" s="8" t="e">
        <f t="shared" ca="1" si="15"/>
        <v>#NAME?</v>
      </c>
      <c r="E28" s="8" t="e">
        <f t="shared" ca="1" si="16"/>
        <v>#NAME?</v>
      </c>
      <c r="F28" s="8" t="e">
        <f t="shared" ca="1" si="17"/>
        <v>#NAME?</v>
      </c>
      <c r="G28" s="8" t="e">
        <f t="shared" ca="1" si="18"/>
        <v>#NAME?</v>
      </c>
      <c r="H28" s="8" t="e">
        <f t="shared" ca="1" si="19"/>
        <v>#NAME?</v>
      </c>
      <c r="I28" s="8" t="e">
        <f t="shared" ca="1" si="20"/>
        <v>#NAME?</v>
      </c>
      <c r="J28" s="8" t="e">
        <f t="shared" ca="1" si="21"/>
        <v>#NAME?</v>
      </c>
      <c r="K28" s="8" t="e">
        <f t="shared" ca="1" si="22"/>
        <v>#NAME?</v>
      </c>
      <c r="L28" s="8" t="e">
        <f t="shared" ca="1" si="23"/>
        <v>#NAME?</v>
      </c>
      <c r="M28" s="8" t="e">
        <f t="shared" ca="1" si="24"/>
        <v>#NAME?</v>
      </c>
      <c r="N28" s="8" t="e">
        <f t="shared" ca="1" si="25"/>
        <v>#NAME?</v>
      </c>
    </row>
    <row r="29" spans="1:15" x14ac:dyDescent="0.35">
      <c r="A29" s="7" t="s">
        <v>61</v>
      </c>
      <c r="B29" s="7" t="s">
        <v>205</v>
      </c>
      <c r="C29" s="8" t="e">
        <f t="shared" ca="1" si="14"/>
        <v>#NAME?</v>
      </c>
      <c r="D29" s="8" t="e">
        <f t="shared" ca="1" si="15"/>
        <v>#NAME?</v>
      </c>
      <c r="E29" s="8" t="e">
        <f t="shared" ca="1" si="16"/>
        <v>#NAME?</v>
      </c>
      <c r="F29" s="8" t="e">
        <f t="shared" ca="1" si="17"/>
        <v>#NAME?</v>
      </c>
      <c r="G29" s="8" t="e">
        <f t="shared" ca="1" si="18"/>
        <v>#NAME?</v>
      </c>
      <c r="H29" s="8" t="e">
        <f t="shared" ca="1" si="19"/>
        <v>#NAME?</v>
      </c>
      <c r="I29" s="8" t="e">
        <f t="shared" ca="1" si="20"/>
        <v>#NAME?</v>
      </c>
      <c r="J29" s="8" t="e">
        <f t="shared" ca="1" si="21"/>
        <v>#NAME?</v>
      </c>
      <c r="K29" s="8" t="e">
        <f t="shared" ca="1" si="22"/>
        <v>#NAME?</v>
      </c>
      <c r="L29" s="8" t="e">
        <f t="shared" ca="1" si="23"/>
        <v>#NAME?</v>
      </c>
      <c r="M29" s="8" t="e">
        <f t="shared" ca="1" si="24"/>
        <v>#NAME?</v>
      </c>
      <c r="N29" s="8" t="e">
        <f t="shared" ca="1" si="25"/>
        <v>#NAME?</v>
      </c>
    </row>
    <row r="30" spans="1:15" x14ac:dyDescent="0.35">
      <c r="A30" s="7" t="s">
        <v>206</v>
      </c>
      <c r="B30" s="7" t="s">
        <v>207</v>
      </c>
      <c r="C30" s="8" t="e">
        <f t="shared" ca="1" si="14"/>
        <v>#NAME?</v>
      </c>
      <c r="D30" s="8" t="e">
        <f t="shared" ca="1" si="15"/>
        <v>#NAME?</v>
      </c>
      <c r="E30" s="8" t="e">
        <f t="shared" ca="1" si="16"/>
        <v>#NAME?</v>
      </c>
      <c r="F30" s="8" t="e">
        <f t="shared" ca="1" si="17"/>
        <v>#NAME?</v>
      </c>
      <c r="G30" s="8" t="e">
        <f t="shared" ca="1" si="18"/>
        <v>#NAME?</v>
      </c>
      <c r="H30" s="8" t="e">
        <f t="shared" ca="1" si="19"/>
        <v>#NAME?</v>
      </c>
      <c r="I30" s="8" t="e">
        <f t="shared" ca="1" si="20"/>
        <v>#NAME?</v>
      </c>
      <c r="J30" s="8" t="e">
        <f t="shared" ca="1" si="21"/>
        <v>#NAME?</v>
      </c>
      <c r="K30" s="8" t="e">
        <f t="shared" ca="1" si="22"/>
        <v>#NAME?</v>
      </c>
      <c r="L30" s="8" t="e">
        <f t="shared" ca="1" si="23"/>
        <v>#NAME?</v>
      </c>
      <c r="M30" s="8" t="e">
        <f t="shared" ca="1" si="24"/>
        <v>#NAME?</v>
      </c>
      <c r="N30" s="8" t="e">
        <f t="shared" ca="1" si="25"/>
        <v>#NAME?</v>
      </c>
    </row>
    <row r="31" spans="1:15" x14ac:dyDescent="0.35">
      <c r="A31" s="7" t="s">
        <v>154</v>
      </c>
      <c r="B31" s="7" t="s">
        <v>155</v>
      </c>
      <c r="C31" s="8" t="e">
        <f t="shared" ca="1" si="14"/>
        <v>#NAME?</v>
      </c>
      <c r="D31" s="8" t="e">
        <f t="shared" ca="1" si="15"/>
        <v>#NAME?</v>
      </c>
      <c r="E31" s="8" t="e">
        <f t="shared" ca="1" si="16"/>
        <v>#NAME?</v>
      </c>
      <c r="F31" s="8" t="e">
        <f t="shared" ca="1" si="17"/>
        <v>#NAME?</v>
      </c>
      <c r="G31" s="8" t="e">
        <f t="shared" ca="1" si="18"/>
        <v>#NAME?</v>
      </c>
      <c r="H31" s="8" t="e">
        <f t="shared" ca="1" si="19"/>
        <v>#NAME?</v>
      </c>
      <c r="I31" s="8" t="e">
        <f t="shared" ca="1" si="20"/>
        <v>#NAME?</v>
      </c>
      <c r="J31" s="8" t="e">
        <f t="shared" ca="1" si="21"/>
        <v>#NAME?</v>
      </c>
      <c r="K31" s="8" t="e">
        <f t="shared" ca="1" si="22"/>
        <v>#NAME?</v>
      </c>
      <c r="L31" s="8" t="e">
        <f t="shared" ca="1" si="23"/>
        <v>#NAME?</v>
      </c>
      <c r="M31" s="8" t="e">
        <f t="shared" ca="1" si="24"/>
        <v>#NAME?</v>
      </c>
      <c r="N31" s="8" t="e">
        <f t="shared" ca="1" si="25"/>
        <v>#NAME?</v>
      </c>
    </row>
    <row r="32" spans="1:15" x14ac:dyDescent="0.35">
      <c r="A32" s="7" t="s">
        <v>208</v>
      </c>
      <c r="B32" s="7" t="s">
        <v>209</v>
      </c>
      <c r="C32" s="8" t="e">
        <f t="shared" ca="1" si="14"/>
        <v>#NAME?</v>
      </c>
      <c r="D32" s="8" t="e">
        <f t="shared" ca="1" si="15"/>
        <v>#NAME?</v>
      </c>
      <c r="E32" s="8" t="e">
        <f t="shared" ca="1" si="16"/>
        <v>#NAME?</v>
      </c>
      <c r="F32" s="8" t="e">
        <f t="shared" ca="1" si="17"/>
        <v>#NAME?</v>
      </c>
      <c r="G32" s="8" t="e">
        <f t="shared" ca="1" si="18"/>
        <v>#NAME?</v>
      </c>
      <c r="H32" s="8" t="e">
        <f t="shared" ca="1" si="19"/>
        <v>#NAME?</v>
      </c>
      <c r="I32" s="8" t="e">
        <f t="shared" ca="1" si="20"/>
        <v>#NAME?</v>
      </c>
      <c r="J32" s="8" t="e">
        <f t="shared" ca="1" si="21"/>
        <v>#NAME?</v>
      </c>
      <c r="K32" s="8" t="e">
        <f t="shared" ca="1" si="22"/>
        <v>#NAME?</v>
      </c>
      <c r="L32" s="8" t="e">
        <f t="shared" ca="1" si="23"/>
        <v>#NAME?</v>
      </c>
      <c r="M32" s="8" t="e">
        <f t="shared" ca="1" si="24"/>
        <v>#NAME?</v>
      </c>
      <c r="N32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27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210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211</v>
      </c>
    </row>
    <row r="6" spans="1:15" x14ac:dyDescent="0.35">
      <c r="A6" s="2" t="s">
        <v>15</v>
      </c>
      <c r="B6" s="5">
        <v>2025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212</v>
      </c>
      <c r="B11" s="7" t="s">
        <v>213</v>
      </c>
      <c r="C11" s="8" t="e">
        <f t="shared" ref="C11:C17" ca="1" si="0">EPM($B$5,$B$6,1,A11,"period_net_amount",$B$7)</f>
        <v>#NAME?</v>
      </c>
      <c r="D11" s="8" t="e">
        <f t="shared" ref="D11:D17" ca="1" si="1">EPM($B$5,$B$6,2,A11,"period_net_amount",$B$7)</f>
        <v>#NAME?</v>
      </c>
      <c r="E11" s="8" t="e">
        <f t="shared" ref="E11:E17" ca="1" si="2">EPM($B$5,$B$6,3,A11,"period_net_amount",$B$7)</f>
        <v>#NAME?</v>
      </c>
      <c r="F11" s="8" t="e">
        <f t="shared" ref="F11:F17" ca="1" si="3">EPM($B$5,$B$6,4,A11,"period_net_amount",$B$7)</f>
        <v>#NAME?</v>
      </c>
      <c r="G11" s="8" t="e">
        <f t="shared" ref="G11:G17" ca="1" si="4">EPM($B$5,$B$6,5,A11,"period_net_amount",$B$7)</f>
        <v>#NAME?</v>
      </c>
      <c r="H11" s="8" t="e">
        <f t="shared" ref="H11:H17" ca="1" si="5">EPM($B$5,$B$6,6,A11,"period_net_amount",$B$7)</f>
        <v>#NAME?</v>
      </c>
      <c r="I11" s="8" t="e">
        <f t="shared" ref="I11:I17" ca="1" si="6">EPM($B$5,$B$6,7,A11,"period_net_amount",$B$7)</f>
        <v>#NAME?</v>
      </c>
      <c r="J11" s="8" t="e">
        <f t="shared" ref="J11:J17" ca="1" si="7">EPM($B$5,$B$6,8,A11,"period_net_amount",$B$7)</f>
        <v>#NAME?</v>
      </c>
      <c r="K11" s="8" t="e">
        <f t="shared" ref="K11:K17" ca="1" si="8">EPM($B$5,$B$6,9,A11,"period_net_amount",$B$7)</f>
        <v>#NAME?</v>
      </c>
      <c r="L11" s="8" t="e">
        <f t="shared" ref="L11:L17" ca="1" si="9">EPM($B$5,$B$6,10,A11,"period_net_amount",$B$7)</f>
        <v>#NAME?</v>
      </c>
      <c r="M11" s="8" t="e">
        <f t="shared" ref="M11:M17" ca="1" si="10">EPM($B$5,$B$6,11,A11,"period_net_amount",$B$7)</f>
        <v>#NAME?</v>
      </c>
      <c r="N11" s="8" t="e">
        <f t="shared" ref="N11:N17" ca="1" si="11">EPM($B$5,$B$6,12,A11,"period_net_amount",$B$7)</f>
        <v>#NAME?</v>
      </c>
      <c r="O11" s="9" t="e">
        <f t="shared" ref="O11:O17" ca="1" si="12">SUM(C11:N11)</f>
        <v>#NAME?</v>
      </c>
    </row>
    <row r="12" spans="1:15" x14ac:dyDescent="0.35">
      <c r="A12" s="7" t="s">
        <v>214</v>
      </c>
      <c r="B12" s="7" t="s">
        <v>215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216</v>
      </c>
      <c r="B13" s="7" t="s">
        <v>217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218</v>
      </c>
      <c r="B14" s="7" t="s">
        <v>219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220</v>
      </c>
      <c r="B15" s="7" t="s">
        <v>221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222</v>
      </c>
      <c r="B16" s="7" t="s">
        <v>223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224</v>
      </c>
      <c r="B17" s="7" t="s">
        <v>225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B18" s="10" t="s">
        <v>57</v>
      </c>
      <c r="C18" s="11" t="e">
        <f t="shared" ref="C18:O18" ca="1" si="13">SUM(C11:C17)</f>
        <v>#NAME?</v>
      </c>
      <c r="D18" s="11" t="e">
        <f t="shared" ca="1" si="13"/>
        <v>#NAME?</v>
      </c>
      <c r="E18" s="11" t="e">
        <f t="shared" ca="1" si="13"/>
        <v>#NAME?</v>
      </c>
      <c r="F18" s="11" t="e">
        <f t="shared" ca="1" si="13"/>
        <v>#NAME?</v>
      </c>
      <c r="G18" s="11" t="e">
        <f t="shared" ca="1" si="13"/>
        <v>#NAME?</v>
      </c>
      <c r="H18" s="11" t="e">
        <f t="shared" ca="1" si="13"/>
        <v>#NAME?</v>
      </c>
      <c r="I18" s="11" t="e">
        <f t="shared" ca="1" si="13"/>
        <v>#NAME?</v>
      </c>
      <c r="J18" s="11" t="e">
        <f t="shared" ca="1" si="13"/>
        <v>#NAME?</v>
      </c>
      <c r="K18" s="11" t="e">
        <f t="shared" ca="1" si="13"/>
        <v>#NAME?</v>
      </c>
      <c r="L18" s="11" t="e">
        <f t="shared" ca="1" si="13"/>
        <v>#NAME?</v>
      </c>
      <c r="M18" s="11" t="e">
        <f t="shared" ca="1" si="13"/>
        <v>#NAME?</v>
      </c>
      <c r="N18" s="11" t="e">
        <f t="shared" ca="1" si="13"/>
        <v>#NAME?</v>
      </c>
      <c r="O18" s="11" t="e">
        <f t="shared" ca="1" si="13"/>
        <v>#NAME?</v>
      </c>
    </row>
    <row r="20" spans="1:15" ht="15.5" x14ac:dyDescent="0.35">
      <c r="A20" s="4" t="s">
        <v>58</v>
      </c>
    </row>
    <row r="21" spans="1:15" x14ac:dyDescent="0.35">
      <c r="A21" s="6" t="s">
        <v>19</v>
      </c>
      <c r="B21" s="6" t="s">
        <v>20</v>
      </c>
      <c r="C21" s="6" t="s">
        <v>21</v>
      </c>
      <c r="D21" s="6" t="s">
        <v>22</v>
      </c>
      <c r="E21" s="6" t="s">
        <v>23</v>
      </c>
      <c r="F21" s="6" t="s">
        <v>24</v>
      </c>
      <c r="G21" s="6" t="s">
        <v>25</v>
      </c>
      <c r="H21" s="6" t="s">
        <v>26</v>
      </c>
      <c r="I21" s="6" t="s">
        <v>27</v>
      </c>
      <c r="J21" s="6" t="s">
        <v>28</v>
      </c>
      <c r="K21" s="6" t="s">
        <v>29</v>
      </c>
      <c r="L21" s="6" t="s">
        <v>30</v>
      </c>
      <c r="M21" s="6" t="s">
        <v>31</v>
      </c>
      <c r="N21" s="6" t="s">
        <v>32</v>
      </c>
    </row>
    <row r="22" spans="1:15" x14ac:dyDescent="0.35">
      <c r="A22" s="7" t="s">
        <v>226</v>
      </c>
      <c r="B22" s="7" t="s">
        <v>227</v>
      </c>
      <c r="C22" s="8" t="e">
        <f t="shared" ref="C22:C27" ca="1" si="14">EPM($B$5,$B$6,1,A22,"period_net_amount",$B$7)</f>
        <v>#NAME?</v>
      </c>
      <c r="D22" s="8" t="e">
        <f t="shared" ref="D22:D27" ca="1" si="15">EPM($B$5,$B$6,2,A22,"period_net_amount",$B$7)</f>
        <v>#NAME?</v>
      </c>
      <c r="E22" s="8" t="e">
        <f t="shared" ref="E22:E27" ca="1" si="16">EPM($B$5,$B$6,3,A22,"period_net_amount",$B$7)</f>
        <v>#NAME?</v>
      </c>
      <c r="F22" s="8" t="e">
        <f t="shared" ref="F22:F27" ca="1" si="17">EPM($B$5,$B$6,4,A22,"period_net_amount",$B$7)</f>
        <v>#NAME?</v>
      </c>
      <c r="G22" s="8" t="e">
        <f t="shared" ref="G22:G27" ca="1" si="18">EPM($B$5,$B$6,5,A22,"period_net_amount",$B$7)</f>
        <v>#NAME?</v>
      </c>
      <c r="H22" s="8" t="e">
        <f t="shared" ref="H22:H27" ca="1" si="19">EPM($B$5,$B$6,6,A22,"period_net_amount",$B$7)</f>
        <v>#NAME?</v>
      </c>
      <c r="I22" s="8" t="e">
        <f t="shared" ref="I22:I27" ca="1" si="20">EPM($B$5,$B$6,7,A22,"period_net_amount",$B$7)</f>
        <v>#NAME?</v>
      </c>
      <c r="J22" s="8" t="e">
        <f t="shared" ref="J22:J27" ca="1" si="21">EPM($B$5,$B$6,8,A22,"period_net_amount",$B$7)</f>
        <v>#NAME?</v>
      </c>
      <c r="K22" s="8" t="e">
        <f t="shared" ref="K22:K27" ca="1" si="22">EPM($B$5,$B$6,9,A22,"period_net_amount",$B$7)</f>
        <v>#NAME?</v>
      </c>
      <c r="L22" s="8" t="e">
        <f t="shared" ref="L22:L27" ca="1" si="23">EPM($B$5,$B$6,10,A22,"period_net_amount",$B$7)</f>
        <v>#NAME?</v>
      </c>
      <c r="M22" s="8" t="e">
        <f t="shared" ref="M22:M27" ca="1" si="24">EPM($B$5,$B$6,11,A22,"period_net_amount",$B$7)</f>
        <v>#NAME?</v>
      </c>
      <c r="N22" s="8" t="e">
        <f t="shared" ref="N22:N27" ca="1" si="25">EPM($B$5,$B$6,12,A22,"period_net_amount",$B$7)</f>
        <v>#NAME?</v>
      </c>
    </row>
    <row r="23" spans="1:15" x14ac:dyDescent="0.35">
      <c r="A23" s="7" t="s">
        <v>228</v>
      </c>
      <c r="B23" s="7" t="s">
        <v>229</v>
      </c>
      <c r="C23" s="8" t="e">
        <f t="shared" ca="1" si="14"/>
        <v>#NAME?</v>
      </c>
      <c r="D23" s="8" t="e">
        <f t="shared" ca="1" si="15"/>
        <v>#NAME?</v>
      </c>
      <c r="E23" s="8" t="e">
        <f t="shared" ca="1" si="16"/>
        <v>#NAME?</v>
      </c>
      <c r="F23" s="8" t="e">
        <f t="shared" ca="1" si="17"/>
        <v>#NAME?</v>
      </c>
      <c r="G23" s="8" t="e">
        <f t="shared" ca="1" si="18"/>
        <v>#NAME?</v>
      </c>
      <c r="H23" s="8" t="e">
        <f t="shared" ca="1" si="19"/>
        <v>#NAME?</v>
      </c>
      <c r="I23" s="8" t="e">
        <f t="shared" ca="1" si="20"/>
        <v>#NAME?</v>
      </c>
      <c r="J23" s="8" t="e">
        <f t="shared" ca="1" si="21"/>
        <v>#NAME?</v>
      </c>
      <c r="K23" s="8" t="e">
        <f t="shared" ca="1" si="22"/>
        <v>#NAME?</v>
      </c>
      <c r="L23" s="8" t="e">
        <f t="shared" ca="1" si="23"/>
        <v>#NAME?</v>
      </c>
      <c r="M23" s="8" t="e">
        <f t="shared" ca="1" si="24"/>
        <v>#NAME?</v>
      </c>
      <c r="N23" s="8" t="e">
        <f t="shared" ca="1" si="25"/>
        <v>#NAME?</v>
      </c>
    </row>
    <row r="24" spans="1:15" x14ac:dyDescent="0.35">
      <c r="A24" s="7" t="s">
        <v>230</v>
      </c>
      <c r="B24" s="7" t="s">
        <v>231</v>
      </c>
      <c r="C24" s="8" t="e">
        <f t="shared" ca="1" si="14"/>
        <v>#NAME?</v>
      </c>
      <c r="D24" s="8" t="e">
        <f t="shared" ca="1" si="15"/>
        <v>#NAME?</v>
      </c>
      <c r="E24" s="8" t="e">
        <f t="shared" ca="1" si="16"/>
        <v>#NAME?</v>
      </c>
      <c r="F24" s="8" t="e">
        <f t="shared" ca="1" si="17"/>
        <v>#NAME?</v>
      </c>
      <c r="G24" s="8" t="e">
        <f t="shared" ca="1" si="18"/>
        <v>#NAME?</v>
      </c>
      <c r="H24" s="8" t="e">
        <f t="shared" ca="1" si="19"/>
        <v>#NAME?</v>
      </c>
      <c r="I24" s="8" t="e">
        <f t="shared" ca="1" si="20"/>
        <v>#NAME?</v>
      </c>
      <c r="J24" s="8" t="e">
        <f t="shared" ca="1" si="21"/>
        <v>#NAME?</v>
      </c>
      <c r="K24" s="8" t="e">
        <f t="shared" ca="1" si="22"/>
        <v>#NAME?</v>
      </c>
      <c r="L24" s="8" t="e">
        <f t="shared" ca="1" si="23"/>
        <v>#NAME?</v>
      </c>
      <c r="M24" s="8" t="e">
        <f t="shared" ca="1" si="24"/>
        <v>#NAME?</v>
      </c>
      <c r="N24" s="8" t="e">
        <f t="shared" ca="1" si="25"/>
        <v>#NAME?</v>
      </c>
    </row>
    <row r="25" spans="1:15" x14ac:dyDescent="0.35">
      <c r="A25" s="7" t="s">
        <v>232</v>
      </c>
      <c r="B25" s="7" t="s">
        <v>233</v>
      </c>
      <c r="C25" s="8" t="e">
        <f t="shared" ca="1" si="14"/>
        <v>#NAME?</v>
      </c>
      <c r="D25" s="8" t="e">
        <f t="shared" ca="1" si="15"/>
        <v>#NAME?</v>
      </c>
      <c r="E25" s="8" t="e">
        <f t="shared" ca="1" si="16"/>
        <v>#NAME?</v>
      </c>
      <c r="F25" s="8" t="e">
        <f t="shared" ca="1" si="17"/>
        <v>#NAME?</v>
      </c>
      <c r="G25" s="8" t="e">
        <f t="shared" ca="1" si="18"/>
        <v>#NAME?</v>
      </c>
      <c r="H25" s="8" t="e">
        <f t="shared" ca="1" si="19"/>
        <v>#NAME?</v>
      </c>
      <c r="I25" s="8" t="e">
        <f t="shared" ca="1" si="20"/>
        <v>#NAME?</v>
      </c>
      <c r="J25" s="8" t="e">
        <f t="shared" ca="1" si="21"/>
        <v>#NAME?</v>
      </c>
      <c r="K25" s="8" t="e">
        <f t="shared" ca="1" si="22"/>
        <v>#NAME?</v>
      </c>
      <c r="L25" s="8" t="e">
        <f t="shared" ca="1" si="23"/>
        <v>#NAME?</v>
      </c>
      <c r="M25" s="8" t="e">
        <f t="shared" ca="1" si="24"/>
        <v>#NAME?</v>
      </c>
      <c r="N25" s="8" t="e">
        <f t="shared" ca="1" si="25"/>
        <v>#NAME?</v>
      </c>
    </row>
    <row r="26" spans="1:15" x14ac:dyDescent="0.35">
      <c r="A26" s="7" t="s">
        <v>234</v>
      </c>
      <c r="B26" s="7" t="s">
        <v>235</v>
      </c>
      <c r="C26" s="8" t="e">
        <f t="shared" ca="1" si="14"/>
        <v>#NAME?</v>
      </c>
      <c r="D26" s="8" t="e">
        <f t="shared" ca="1" si="15"/>
        <v>#NAME?</v>
      </c>
      <c r="E26" s="8" t="e">
        <f t="shared" ca="1" si="16"/>
        <v>#NAME?</v>
      </c>
      <c r="F26" s="8" t="e">
        <f t="shared" ca="1" si="17"/>
        <v>#NAME?</v>
      </c>
      <c r="G26" s="8" t="e">
        <f t="shared" ca="1" si="18"/>
        <v>#NAME?</v>
      </c>
      <c r="H26" s="8" t="e">
        <f t="shared" ca="1" si="19"/>
        <v>#NAME?</v>
      </c>
      <c r="I26" s="8" t="e">
        <f t="shared" ca="1" si="20"/>
        <v>#NAME?</v>
      </c>
      <c r="J26" s="8" t="e">
        <f t="shared" ca="1" si="21"/>
        <v>#NAME?</v>
      </c>
      <c r="K26" s="8" t="e">
        <f t="shared" ca="1" si="22"/>
        <v>#NAME?</v>
      </c>
      <c r="L26" s="8" t="e">
        <f t="shared" ca="1" si="23"/>
        <v>#NAME?</v>
      </c>
      <c r="M26" s="8" t="e">
        <f t="shared" ca="1" si="24"/>
        <v>#NAME?</v>
      </c>
      <c r="N26" s="8" t="e">
        <f t="shared" ca="1" si="25"/>
        <v>#NAME?</v>
      </c>
    </row>
    <row r="27" spans="1:15" x14ac:dyDescent="0.35">
      <c r="A27" s="7" t="s">
        <v>236</v>
      </c>
      <c r="B27" s="7" t="s">
        <v>237</v>
      </c>
      <c r="C27" s="8" t="e">
        <f t="shared" ca="1" si="14"/>
        <v>#NAME?</v>
      </c>
      <c r="D27" s="8" t="e">
        <f t="shared" ca="1" si="15"/>
        <v>#NAME?</v>
      </c>
      <c r="E27" s="8" t="e">
        <f t="shared" ca="1" si="16"/>
        <v>#NAME?</v>
      </c>
      <c r="F27" s="8" t="e">
        <f t="shared" ca="1" si="17"/>
        <v>#NAME?</v>
      </c>
      <c r="G27" s="8" t="e">
        <f t="shared" ca="1" si="18"/>
        <v>#NAME?</v>
      </c>
      <c r="H27" s="8" t="e">
        <f t="shared" ca="1" si="19"/>
        <v>#NAME?</v>
      </c>
      <c r="I27" s="8" t="e">
        <f t="shared" ca="1" si="20"/>
        <v>#NAME?</v>
      </c>
      <c r="J27" s="8" t="e">
        <f t="shared" ca="1" si="21"/>
        <v>#NAME?</v>
      </c>
      <c r="K27" s="8" t="e">
        <f t="shared" ca="1" si="22"/>
        <v>#NAME?</v>
      </c>
      <c r="L27" s="8" t="e">
        <f t="shared" ca="1" si="23"/>
        <v>#NAME?</v>
      </c>
      <c r="M27" s="8" t="e">
        <f t="shared" ca="1" si="24"/>
        <v>#NAME?</v>
      </c>
      <c r="N27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8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238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239</v>
      </c>
    </row>
    <row r="6" spans="1:15" x14ac:dyDescent="0.35">
      <c r="A6" s="2" t="s">
        <v>15</v>
      </c>
      <c r="B6" s="5">
        <v>2026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240</v>
      </c>
      <c r="B11" s="7" t="s">
        <v>241</v>
      </c>
      <c r="C11" s="8" t="e">
        <f t="shared" ref="C11:C18" ca="1" si="0">EPM($B$5,$B$6,1,A11,"period_net_amount",$B$7)</f>
        <v>#NAME?</v>
      </c>
      <c r="D11" s="8" t="e">
        <f t="shared" ref="D11:D18" ca="1" si="1">EPM($B$5,$B$6,2,A11,"period_net_amount",$B$7)</f>
        <v>#NAME?</v>
      </c>
      <c r="E11" s="8" t="e">
        <f t="shared" ref="E11:E18" ca="1" si="2">EPM($B$5,$B$6,3,A11,"period_net_amount",$B$7)</f>
        <v>#NAME?</v>
      </c>
      <c r="F11" s="8" t="e">
        <f t="shared" ref="F11:F18" ca="1" si="3">EPM($B$5,$B$6,4,A11,"period_net_amount",$B$7)</f>
        <v>#NAME?</v>
      </c>
      <c r="G11" s="8" t="e">
        <f t="shared" ref="G11:G18" ca="1" si="4">EPM($B$5,$B$6,5,A11,"period_net_amount",$B$7)</f>
        <v>#NAME?</v>
      </c>
      <c r="H11" s="8" t="e">
        <f t="shared" ref="H11:H18" ca="1" si="5">EPM($B$5,$B$6,6,A11,"period_net_amount",$B$7)</f>
        <v>#NAME?</v>
      </c>
      <c r="I11" s="8" t="e">
        <f t="shared" ref="I11:I18" ca="1" si="6">EPM($B$5,$B$6,7,A11,"period_net_amount",$B$7)</f>
        <v>#NAME?</v>
      </c>
      <c r="J11" s="8" t="e">
        <f t="shared" ref="J11:J18" ca="1" si="7">EPM($B$5,$B$6,8,A11,"period_net_amount",$B$7)</f>
        <v>#NAME?</v>
      </c>
      <c r="K11" s="8" t="e">
        <f t="shared" ref="K11:K18" ca="1" si="8">EPM($B$5,$B$6,9,A11,"period_net_amount",$B$7)</f>
        <v>#NAME?</v>
      </c>
      <c r="L11" s="8" t="e">
        <f t="shared" ref="L11:L18" ca="1" si="9">EPM($B$5,$B$6,10,A11,"period_net_amount",$B$7)</f>
        <v>#NAME?</v>
      </c>
      <c r="M11" s="8" t="e">
        <f t="shared" ref="M11:M18" ca="1" si="10">EPM($B$5,$B$6,11,A11,"period_net_amount",$B$7)</f>
        <v>#NAME?</v>
      </c>
      <c r="N11" s="8" t="e">
        <f t="shared" ref="N11:N18" ca="1" si="11">EPM($B$5,$B$6,12,A11,"period_net_amount",$B$7)</f>
        <v>#NAME?</v>
      </c>
      <c r="O11" s="9" t="e">
        <f t="shared" ref="O11:O18" ca="1" si="12">SUM(C11:N11)</f>
        <v>#NAME?</v>
      </c>
    </row>
    <row r="12" spans="1:15" x14ac:dyDescent="0.35">
      <c r="A12" s="7" t="s">
        <v>242</v>
      </c>
      <c r="B12" s="7" t="s">
        <v>243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244</v>
      </c>
      <c r="B13" s="7" t="s">
        <v>245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246</v>
      </c>
      <c r="B14" s="7" t="s">
        <v>192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247</v>
      </c>
      <c r="B15" s="7" t="s">
        <v>248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190</v>
      </c>
      <c r="B16" s="7" t="s">
        <v>249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250</v>
      </c>
      <c r="B17" s="7" t="s">
        <v>251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A18" s="7" t="s">
        <v>252</v>
      </c>
      <c r="B18" s="7" t="s">
        <v>253</v>
      </c>
      <c r="C18" s="8" t="e">
        <f t="shared" ca="1" si="0"/>
        <v>#NAME?</v>
      </c>
      <c r="D18" s="8" t="e">
        <f t="shared" ca="1" si="1"/>
        <v>#NAME?</v>
      </c>
      <c r="E18" s="8" t="e">
        <f t="shared" ca="1" si="2"/>
        <v>#NAME?</v>
      </c>
      <c r="F18" s="8" t="e">
        <f t="shared" ca="1" si="3"/>
        <v>#NAME?</v>
      </c>
      <c r="G18" s="8" t="e">
        <f t="shared" ca="1" si="4"/>
        <v>#NAME?</v>
      </c>
      <c r="H18" s="8" t="e">
        <f t="shared" ca="1" si="5"/>
        <v>#NAME?</v>
      </c>
      <c r="I18" s="8" t="e">
        <f t="shared" ca="1" si="6"/>
        <v>#NAME?</v>
      </c>
      <c r="J18" s="8" t="e">
        <f t="shared" ca="1" si="7"/>
        <v>#NAME?</v>
      </c>
      <c r="K18" s="8" t="e">
        <f t="shared" ca="1" si="8"/>
        <v>#NAME?</v>
      </c>
      <c r="L18" s="8" t="e">
        <f t="shared" ca="1" si="9"/>
        <v>#NAME?</v>
      </c>
      <c r="M18" s="8" t="e">
        <f t="shared" ca="1" si="10"/>
        <v>#NAME?</v>
      </c>
      <c r="N18" s="8" t="e">
        <f t="shared" ca="1" si="11"/>
        <v>#NAME?</v>
      </c>
      <c r="O18" s="9" t="e">
        <f t="shared" ca="1" si="12"/>
        <v>#NAME?</v>
      </c>
    </row>
    <row r="19" spans="1:15" x14ac:dyDescent="0.35">
      <c r="B19" s="10" t="s">
        <v>57</v>
      </c>
      <c r="C19" s="11" t="e">
        <f t="shared" ref="C19:O19" ca="1" si="13">SUM(C11:C18)</f>
        <v>#NAME?</v>
      </c>
      <c r="D19" s="11" t="e">
        <f t="shared" ca="1" si="13"/>
        <v>#NAME?</v>
      </c>
      <c r="E19" s="11" t="e">
        <f t="shared" ca="1" si="13"/>
        <v>#NAME?</v>
      </c>
      <c r="F19" s="11" t="e">
        <f t="shared" ca="1" si="13"/>
        <v>#NAME?</v>
      </c>
      <c r="G19" s="11" t="e">
        <f t="shared" ca="1" si="13"/>
        <v>#NAME?</v>
      </c>
      <c r="H19" s="11" t="e">
        <f t="shared" ca="1" si="13"/>
        <v>#NAME?</v>
      </c>
      <c r="I19" s="11" t="e">
        <f t="shared" ca="1" si="13"/>
        <v>#NAME?</v>
      </c>
      <c r="J19" s="11" t="e">
        <f t="shared" ca="1" si="13"/>
        <v>#NAME?</v>
      </c>
      <c r="K19" s="11" t="e">
        <f t="shared" ca="1" si="13"/>
        <v>#NAME?</v>
      </c>
      <c r="L19" s="11" t="e">
        <f t="shared" ca="1" si="13"/>
        <v>#NAME?</v>
      </c>
      <c r="M19" s="11" t="e">
        <f t="shared" ca="1" si="13"/>
        <v>#NAME?</v>
      </c>
      <c r="N19" s="11" t="e">
        <f t="shared" ca="1" si="13"/>
        <v>#NAME?</v>
      </c>
      <c r="O19" s="11" t="e">
        <f t="shared" ca="1" si="13"/>
        <v>#NAME?</v>
      </c>
    </row>
    <row r="21" spans="1:15" ht="15.5" x14ac:dyDescent="0.35">
      <c r="A21" s="4" t="s">
        <v>58</v>
      </c>
    </row>
    <row r="22" spans="1:15" x14ac:dyDescent="0.35">
      <c r="A22" s="6" t="s">
        <v>19</v>
      </c>
      <c r="B22" s="6" t="s">
        <v>20</v>
      </c>
      <c r="C22" s="6" t="s">
        <v>21</v>
      </c>
      <c r="D22" s="6" t="s">
        <v>22</v>
      </c>
      <c r="E22" s="6" t="s">
        <v>23</v>
      </c>
      <c r="F22" s="6" t="s">
        <v>24</v>
      </c>
      <c r="G22" s="6" t="s">
        <v>25</v>
      </c>
      <c r="H22" s="6" t="s">
        <v>26</v>
      </c>
      <c r="I22" s="6" t="s">
        <v>27</v>
      </c>
      <c r="J22" s="6" t="s">
        <v>28</v>
      </c>
      <c r="K22" s="6" t="s">
        <v>29</v>
      </c>
      <c r="L22" s="6" t="s">
        <v>30</v>
      </c>
      <c r="M22" s="6" t="s">
        <v>31</v>
      </c>
      <c r="N22" s="6" t="s">
        <v>32</v>
      </c>
    </row>
    <row r="23" spans="1:15" x14ac:dyDescent="0.35">
      <c r="A23" s="7" t="s">
        <v>203</v>
      </c>
      <c r="B23" s="7" t="s">
        <v>204</v>
      </c>
      <c r="C23" s="8" t="e">
        <f t="shared" ref="C23:C28" ca="1" si="14">EPM($B$5,$B$6,1,A23,"period_net_amount",$B$7)</f>
        <v>#NAME?</v>
      </c>
      <c r="D23" s="8" t="e">
        <f t="shared" ref="D23:D28" ca="1" si="15">EPM($B$5,$B$6,2,A23,"period_net_amount",$B$7)</f>
        <v>#NAME?</v>
      </c>
      <c r="E23" s="8" t="e">
        <f t="shared" ref="E23:E28" ca="1" si="16">EPM($B$5,$B$6,3,A23,"period_net_amount",$B$7)</f>
        <v>#NAME?</v>
      </c>
      <c r="F23" s="8" t="e">
        <f t="shared" ref="F23:F28" ca="1" si="17">EPM($B$5,$B$6,4,A23,"period_net_amount",$B$7)</f>
        <v>#NAME?</v>
      </c>
      <c r="G23" s="8" t="e">
        <f t="shared" ref="G23:G28" ca="1" si="18">EPM($B$5,$B$6,5,A23,"period_net_amount",$B$7)</f>
        <v>#NAME?</v>
      </c>
      <c r="H23" s="8" t="e">
        <f t="shared" ref="H23:H28" ca="1" si="19">EPM($B$5,$B$6,6,A23,"period_net_amount",$B$7)</f>
        <v>#NAME?</v>
      </c>
      <c r="I23" s="8" t="e">
        <f t="shared" ref="I23:I28" ca="1" si="20">EPM($B$5,$B$6,7,A23,"period_net_amount",$B$7)</f>
        <v>#NAME?</v>
      </c>
      <c r="J23" s="8" t="e">
        <f t="shared" ref="J23:J28" ca="1" si="21">EPM($B$5,$B$6,8,A23,"period_net_amount",$B$7)</f>
        <v>#NAME?</v>
      </c>
      <c r="K23" s="8" t="e">
        <f t="shared" ref="K23:K28" ca="1" si="22">EPM($B$5,$B$6,9,A23,"period_net_amount",$B$7)</f>
        <v>#NAME?</v>
      </c>
      <c r="L23" s="8" t="e">
        <f t="shared" ref="L23:L28" ca="1" si="23">EPM($B$5,$B$6,10,A23,"period_net_amount",$B$7)</f>
        <v>#NAME?</v>
      </c>
      <c r="M23" s="8" t="e">
        <f t="shared" ref="M23:M28" ca="1" si="24">EPM($B$5,$B$6,11,A23,"period_net_amount",$B$7)</f>
        <v>#NAME?</v>
      </c>
      <c r="N23" s="8" t="e">
        <f t="shared" ref="N23:N28" ca="1" si="25">EPM($B$5,$B$6,12,A23,"period_net_amount",$B$7)</f>
        <v>#NAME?</v>
      </c>
    </row>
    <row r="24" spans="1:15" x14ac:dyDescent="0.35">
      <c r="A24" s="7" t="s">
        <v>254</v>
      </c>
      <c r="B24" s="7" t="s">
        <v>255</v>
      </c>
      <c r="C24" s="8" t="e">
        <f t="shared" ca="1" si="14"/>
        <v>#NAME?</v>
      </c>
      <c r="D24" s="8" t="e">
        <f t="shared" ca="1" si="15"/>
        <v>#NAME?</v>
      </c>
      <c r="E24" s="8" t="e">
        <f t="shared" ca="1" si="16"/>
        <v>#NAME?</v>
      </c>
      <c r="F24" s="8" t="e">
        <f t="shared" ca="1" si="17"/>
        <v>#NAME?</v>
      </c>
      <c r="G24" s="8" t="e">
        <f t="shared" ca="1" si="18"/>
        <v>#NAME?</v>
      </c>
      <c r="H24" s="8" t="e">
        <f t="shared" ca="1" si="19"/>
        <v>#NAME?</v>
      </c>
      <c r="I24" s="8" t="e">
        <f t="shared" ca="1" si="20"/>
        <v>#NAME?</v>
      </c>
      <c r="J24" s="8" t="e">
        <f t="shared" ca="1" si="21"/>
        <v>#NAME?</v>
      </c>
      <c r="K24" s="8" t="e">
        <f t="shared" ca="1" si="22"/>
        <v>#NAME?</v>
      </c>
      <c r="L24" s="8" t="e">
        <f t="shared" ca="1" si="23"/>
        <v>#NAME?</v>
      </c>
      <c r="M24" s="8" t="e">
        <f t="shared" ca="1" si="24"/>
        <v>#NAME?</v>
      </c>
      <c r="N24" s="8" t="e">
        <f t="shared" ca="1" si="25"/>
        <v>#NAME?</v>
      </c>
    </row>
    <row r="25" spans="1:15" x14ac:dyDescent="0.35">
      <c r="A25" s="7" t="s">
        <v>256</v>
      </c>
      <c r="B25" s="7" t="s">
        <v>257</v>
      </c>
      <c r="C25" s="8" t="e">
        <f t="shared" ca="1" si="14"/>
        <v>#NAME?</v>
      </c>
      <c r="D25" s="8" t="e">
        <f t="shared" ca="1" si="15"/>
        <v>#NAME?</v>
      </c>
      <c r="E25" s="8" t="e">
        <f t="shared" ca="1" si="16"/>
        <v>#NAME?</v>
      </c>
      <c r="F25" s="8" t="e">
        <f t="shared" ca="1" si="17"/>
        <v>#NAME?</v>
      </c>
      <c r="G25" s="8" t="e">
        <f t="shared" ca="1" si="18"/>
        <v>#NAME?</v>
      </c>
      <c r="H25" s="8" t="e">
        <f t="shared" ca="1" si="19"/>
        <v>#NAME?</v>
      </c>
      <c r="I25" s="8" t="e">
        <f t="shared" ca="1" si="20"/>
        <v>#NAME?</v>
      </c>
      <c r="J25" s="8" t="e">
        <f t="shared" ca="1" si="21"/>
        <v>#NAME?</v>
      </c>
      <c r="K25" s="8" t="e">
        <f t="shared" ca="1" si="22"/>
        <v>#NAME?</v>
      </c>
      <c r="L25" s="8" t="e">
        <f t="shared" ca="1" si="23"/>
        <v>#NAME?</v>
      </c>
      <c r="M25" s="8" t="e">
        <f t="shared" ca="1" si="24"/>
        <v>#NAME?</v>
      </c>
      <c r="N25" s="8" t="e">
        <f t="shared" ca="1" si="25"/>
        <v>#NAME?</v>
      </c>
    </row>
    <row r="26" spans="1:15" x14ac:dyDescent="0.35">
      <c r="A26" s="7" t="s">
        <v>258</v>
      </c>
      <c r="B26" s="7" t="s">
        <v>259</v>
      </c>
      <c r="C26" s="8" t="e">
        <f t="shared" ca="1" si="14"/>
        <v>#NAME?</v>
      </c>
      <c r="D26" s="8" t="e">
        <f t="shared" ca="1" si="15"/>
        <v>#NAME?</v>
      </c>
      <c r="E26" s="8" t="e">
        <f t="shared" ca="1" si="16"/>
        <v>#NAME?</v>
      </c>
      <c r="F26" s="8" t="e">
        <f t="shared" ca="1" si="17"/>
        <v>#NAME?</v>
      </c>
      <c r="G26" s="8" t="e">
        <f t="shared" ca="1" si="18"/>
        <v>#NAME?</v>
      </c>
      <c r="H26" s="8" t="e">
        <f t="shared" ca="1" si="19"/>
        <v>#NAME?</v>
      </c>
      <c r="I26" s="8" t="e">
        <f t="shared" ca="1" si="20"/>
        <v>#NAME?</v>
      </c>
      <c r="J26" s="8" t="e">
        <f t="shared" ca="1" si="21"/>
        <v>#NAME?</v>
      </c>
      <c r="K26" s="8" t="e">
        <f t="shared" ca="1" si="22"/>
        <v>#NAME?</v>
      </c>
      <c r="L26" s="8" t="e">
        <f t="shared" ca="1" si="23"/>
        <v>#NAME?</v>
      </c>
      <c r="M26" s="8" t="e">
        <f t="shared" ca="1" si="24"/>
        <v>#NAME?</v>
      </c>
      <c r="N26" s="8" t="e">
        <f t="shared" ca="1" si="25"/>
        <v>#NAME?</v>
      </c>
    </row>
    <row r="27" spans="1:15" x14ac:dyDescent="0.35">
      <c r="A27" s="7" t="s">
        <v>250</v>
      </c>
      <c r="B27" s="7" t="s">
        <v>260</v>
      </c>
      <c r="C27" s="8" t="e">
        <f t="shared" ca="1" si="14"/>
        <v>#NAME?</v>
      </c>
      <c r="D27" s="8" t="e">
        <f t="shared" ca="1" si="15"/>
        <v>#NAME?</v>
      </c>
      <c r="E27" s="8" t="e">
        <f t="shared" ca="1" si="16"/>
        <v>#NAME?</v>
      </c>
      <c r="F27" s="8" t="e">
        <f t="shared" ca="1" si="17"/>
        <v>#NAME?</v>
      </c>
      <c r="G27" s="8" t="e">
        <f t="shared" ca="1" si="18"/>
        <v>#NAME?</v>
      </c>
      <c r="H27" s="8" t="e">
        <f t="shared" ca="1" si="19"/>
        <v>#NAME?</v>
      </c>
      <c r="I27" s="8" t="e">
        <f t="shared" ca="1" si="20"/>
        <v>#NAME?</v>
      </c>
      <c r="J27" s="8" t="e">
        <f t="shared" ca="1" si="21"/>
        <v>#NAME?</v>
      </c>
      <c r="K27" s="8" t="e">
        <f t="shared" ca="1" si="22"/>
        <v>#NAME?</v>
      </c>
      <c r="L27" s="8" t="e">
        <f t="shared" ca="1" si="23"/>
        <v>#NAME?</v>
      </c>
      <c r="M27" s="8" t="e">
        <f t="shared" ca="1" si="24"/>
        <v>#NAME?</v>
      </c>
      <c r="N27" s="8" t="e">
        <f t="shared" ca="1" si="25"/>
        <v>#NAME?</v>
      </c>
    </row>
    <row r="28" spans="1:15" x14ac:dyDescent="0.35">
      <c r="A28" s="7" t="s">
        <v>261</v>
      </c>
      <c r="B28" s="7" t="s">
        <v>262</v>
      </c>
      <c r="C28" s="8" t="e">
        <f t="shared" ca="1" si="14"/>
        <v>#NAME?</v>
      </c>
      <c r="D28" s="8" t="e">
        <f t="shared" ca="1" si="15"/>
        <v>#NAME?</v>
      </c>
      <c r="E28" s="8" t="e">
        <f t="shared" ca="1" si="16"/>
        <v>#NAME?</v>
      </c>
      <c r="F28" s="8" t="e">
        <f t="shared" ca="1" si="17"/>
        <v>#NAME?</v>
      </c>
      <c r="G28" s="8" t="e">
        <f t="shared" ca="1" si="18"/>
        <v>#NAME?</v>
      </c>
      <c r="H28" s="8" t="e">
        <f t="shared" ca="1" si="19"/>
        <v>#NAME?</v>
      </c>
      <c r="I28" s="8" t="e">
        <f t="shared" ca="1" si="20"/>
        <v>#NAME?</v>
      </c>
      <c r="J28" s="8" t="e">
        <f t="shared" ca="1" si="21"/>
        <v>#NAME?</v>
      </c>
      <c r="K28" s="8" t="e">
        <f t="shared" ca="1" si="22"/>
        <v>#NAME?</v>
      </c>
      <c r="L28" s="8" t="e">
        <f t="shared" ca="1" si="23"/>
        <v>#NAME?</v>
      </c>
      <c r="M28" s="8" t="e">
        <f t="shared" ca="1" si="24"/>
        <v>#NAME?</v>
      </c>
      <c r="N28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32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263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264</v>
      </c>
    </row>
    <row r="6" spans="1:15" x14ac:dyDescent="0.35">
      <c r="A6" s="2" t="s">
        <v>15</v>
      </c>
      <c r="B6" s="5">
        <v>2015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216</v>
      </c>
      <c r="B11" s="7" t="s">
        <v>217</v>
      </c>
      <c r="C11" s="8" t="e">
        <f t="shared" ref="C11:C22" ca="1" si="0">EPM($B$5,$B$6,1,A11,"period_net_amount",$B$7)</f>
        <v>#NAME?</v>
      </c>
      <c r="D11" s="8" t="e">
        <f t="shared" ref="D11:D22" ca="1" si="1">EPM($B$5,$B$6,2,A11,"period_net_amount",$B$7)</f>
        <v>#NAME?</v>
      </c>
      <c r="E11" s="8" t="e">
        <f t="shared" ref="E11:E22" ca="1" si="2">EPM($B$5,$B$6,3,A11,"period_net_amount",$B$7)</f>
        <v>#NAME?</v>
      </c>
      <c r="F11" s="8" t="e">
        <f t="shared" ref="F11:F22" ca="1" si="3">EPM($B$5,$B$6,4,A11,"period_net_amount",$B$7)</f>
        <v>#NAME?</v>
      </c>
      <c r="G11" s="8" t="e">
        <f t="shared" ref="G11:G22" ca="1" si="4">EPM($B$5,$B$6,5,A11,"period_net_amount",$B$7)</f>
        <v>#NAME?</v>
      </c>
      <c r="H11" s="8" t="e">
        <f t="shared" ref="H11:H22" ca="1" si="5">EPM($B$5,$B$6,6,A11,"period_net_amount",$B$7)</f>
        <v>#NAME?</v>
      </c>
      <c r="I11" s="8" t="e">
        <f t="shared" ref="I11:I22" ca="1" si="6">EPM($B$5,$B$6,7,A11,"period_net_amount",$B$7)</f>
        <v>#NAME?</v>
      </c>
      <c r="J11" s="8" t="e">
        <f t="shared" ref="J11:J22" ca="1" si="7">EPM($B$5,$B$6,8,A11,"period_net_amount",$B$7)</f>
        <v>#NAME?</v>
      </c>
      <c r="K11" s="8" t="e">
        <f t="shared" ref="K11:K22" ca="1" si="8">EPM($B$5,$B$6,9,A11,"period_net_amount",$B$7)</f>
        <v>#NAME?</v>
      </c>
      <c r="L11" s="8" t="e">
        <f t="shared" ref="L11:L22" ca="1" si="9">EPM($B$5,$B$6,10,A11,"period_net_amount",$B$7)</f>
        <v>#NAME?</v>
      </c>
      <c r="M11" s="8" t="e">
        <f t="shared" ref="M11:M22" ca="1" si="10">EPM($B$5,$B$6,11,A11,"period_net_amount",$B$7)</f>
        <v>#NAME?</v>
      </c>
      <c r="N11" s="8" t="e">
        <f t="shared" ref="N11:N22" ca="1" si="11">EPM($B$5,$B$6,12,A11,"period_net_amount",$B$7)</f>
        <v>#NAME?</v>
      </c>
      <c r="O11" s="9" t="e">
        <f t="shared" ref="O11:O22" ca="1" si="12">SUM(C11:N11)</f>
        <v>#NAME?</v>
      </c>
    </row>
    <row r="12" spans="1:15" x14ac:dyDescent="0.35">
      <c r="A12" s="7" t="s">
        <v>218</v>
      </c>
      <c r="B12" s="7" t="s">
        <v>219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265</v>
      </c>
      <c r="B13" s="7" t="s">
        <v>266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267</v>
      </c>
      <c r="B14" s="7" t="s">
        <v>268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269</v>
      </c>
      <c r="B15" s="7" t="s">
        <v>270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271</v>
      </c>
      <c r="B16" s="7" t="s">
        <v>272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273</v>
      </c>
      <c r="B17" s="7" t="s">
        <v>274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A18" s="7" t="s">
        <v>275</v>
      </c>
      <c r="B18" s="7" t="s">
        <v>276</v>
      </c>
      <c r="C18" s="8" t="e">
        <f t="shared" ca="1" si="0"/>
        <v>#NAME?</v>
      </c>
      <c r="D18" s="8" t="e">
        <f t="shared" ca="1" si="1"/>
        <v>#NAME?</v>
      </c>
      <c r="E18" s="8" t="e">
        <f t="shared" ca="1" si="2"/>
        <v>#NAME?</v>
      </c>
      <c r="F18" s="8" t="e">
        <f t="shared" ca="1" si="3"/>
        <v>#NAME?</v>
      </c>
      <c r="G18" s="8" t="e">
        <f t="shared" ca="1" si="4"/>
        <v>#NAME?</v>
      </c>
      <c r="H18" s="8" t="e">
        <f t="shared" ca="1" si="5"/>
        <v>#NAME?</v>
      </c>
      <c r="I18" s="8" t="e">
        <f t="shared" ca="1" si="6"/>
        <v>#NAME?</v>
      </c>
      <c r="J18" s="8" t="e">
        <f t="shared" ca="1" si="7"/>
        <v>#NAME?</v>
      </c>
      <c r="K18" s="8" t="e">
        <f t="shared" ca="1" si="8"/>
        <v>#NAME?</v>
      </c>
      <c r="L18" s="8" t="e">
        <f t="shared" ca="1" si="9"/>
        <v>#NAME?</v>
      </c>
      <c r="M18" s="8" t="e">
        <f t="shared" ca="1" si="10"/>
        <v>#NAME?</v>
      </c>
      <c r="N18" s="8" t="e">
        <f t="shared" ca="1" si="11"/>
        <v>#NAME?</v>
      </c>
      <c r="O18" s="9" t="e">
        <f t="shared" ca="1" si="12"/>
        <v>#NAME?</v>
      </c>
    </row>
    <row r="19" spans="1:15" x14ac:dyDescent="0.35">
      <c r="A19" s="7" t="s">
        <v>277</v>
      </c>
      <c r="B19" s="7" t="s">
        <v>278</v>
      </c>
      <c r="C19" s="8" t="e">
        <f t="shared" ca="1" si="0"/>
        <v>#NAME?</v>
      </c>
      <c r="D19" s="8" t="e">
        <f t="shared" ca="1" si="1"/>
        <v>#NAME?</v>
      </c>
      <c r="E19" s="8" t="e">
        <f t="shared" ca="1" si="2"/>
        <v>#NAME?</v>
      </c>
      <c r="F19" s="8" t="e">
        <f t="shared" ca="1" si="3"/>
        <v>#NAME?</v>
      </c>
      <c r="G19" s="8" t="e">
        <f t="shared" ca="1" si="4"/>
        <v>#NAME?</v>
      </c>
      <c r="H19" s="8" t="e">
        <f t="shared" ca="1" si="5"/>
        <v>#NAME?</v>
      </c>
      <c r="I19" s="8" t="e">
        <f t="shared" ca="1" si="6"/>
        <v>#NAME?</v>
      </c>
      <c r="J19" s="8" t="e">
        <f t="shared" ca="1" si="7"/>
        <v>#NAME?</v>
      </c>
      <c r="K19" s="8" t="e">
        <f t="shared" ca="1" si="8"/>
        <v>#NAME?</v>
      </c>
      <c r="L19" s="8" t="e">
        <f t="shared" ca="1" si="9"/>
        <v>#NAME?</v>
      </c>
      <c r="M19" s="8" t="e">
        <f t="shared" ca="1" si="10"/>
        <v>#NAME?</v>
      </c>
      <c r="N19" s="8" t="e">
        <f t="shared" ca="1" si="11"/>
        <v>#NAME?</v>
      </c>
      <c r="O19" s="9" t="e">
        <f t="shared" ca="1" si="12"/>
        <v>#NAME?</v>
      </c>
    </row>
    <row r="20" spans="1:15" x14ac:dyDescent="0.35">
      <c r="A20" s="7" t="s">
        <v>279</v>
      </c>
      <c r="B20" s="7" t="s">
        <v>280</v>
      </c>
      <c r="C20" s="8" t="e">
        <f t="shared" ca="1" si="0"/>
        <v>#NAME?</v>
      </c>
      <c r="D20" s="8" t="e">
        <f t="shared" ca="1" si="1"/>
        <v>#NAME?</v>
      </c>
      <c r="E20" s="8" t="e">
        <f t="shared" ca="1" si="2"/>
        <v>#NAME?</v>
      </c>
      <c r="F20" s="8" t="e">
        <f t="shared" ca="1" si="3"/>
        <v>#NAME?</v>
      </c>
      <c r="G20" s="8" t="e">
        <f t="shared" ca="1" si="4"/>
        <v>#NAME?</v>
      </c>
      <c r="H20" s="8" t="e">
        <f t="shared" ca="1" si="5"/>
        <v>#NAME?</v>
      </c>
      <c r="I20" s="8" t="e">
        <f t="shared" ca="1" si="6"/>
        <v>#NAME?</v>
      </c>
      <c r="J20" s="8" t="e">
        <f t="shared" ca="1" si="7"/>
        <v>#NAME?</v>
      </c>
      <c r="K20" s="8" t="e">
        <f t="shared" ca="1" si="8"/>
        <v>#NAME?</v>
      </c>
      <c r="L20" s="8" t="e">
        <f t="shared" ca="1" si="9"/>
        <v>#NAME?</v>
      </c>
      <c r="M20" s="8" t="e">
        <f t="shared" ca="1" si="10"/>
        <v>#NAME?</v>
      </c>
      <c r="N20" s="8" t="e">
        <f t="shared" ca="1" si="11"/>
        <v>#NAME?</v>
      </c>
      <c r="O20" s="9" t="e">
        <f t="shared" ca="1" si="12"/>
        <v>#NAME?</v>
      </c>
    </row>
    <row r="21" spans="1:15" x14ac:dyDescent="0.35">
      <c r="A21" s="7" t="s">
        <v>281</v>
      </c>
      <c r="B21" s="7" t="s">
        <v>282</v>
      </c>
      <c r="C21" s="8" t="e">
        <f t="shared" ca="1" si="0"/>
        <v>#NAME?</v>
      </c>
      <c r="D21" s="8" t="e">
        <f t="shared" ca="1" si="1"/>
        <v>#NAME?</v>
      </c>
      <c r="E21" s="8" t="e">
        <f t="shared" ca="1" si="2"/>
        <v>#NAME?</v>
      </c>
      <c r="F21" s="8" t="e">
        <f t="shared" ca="1" si="3"/>
        <v>#NAME?</v>
      </c>
      <c r="G21" s="8" t="e">
        <f t="shared" ca="1" si="4"/>
        <v>#NAME?</v>
      </c>
      <c r="H21" s="8" t="e">
        <f t="shared" ca="1" si="5"/>
        <v>#NAME?</v>
      </c>
      <c r="I21" s="8" t="e">
        <f t="shared" ca="1" si="6"/>
        <v>#NAME?</v>
      </c>
      <c r="J21" s="8" t="e">
        <f t="shared" ca="1" si="7"/>
        <v>#NAME?</v>
      </c>
      <c r="K21" s="8" t="e">
        <f t="shared" ca="1" si="8"/>
        <v>#NAME?</v>
      </c>
      <c r="L21" s="8" t="e">
        <f t="shared" ca="1" si="9"/>
        <v>#NAME?</v>
      </c>
      <c r="M21" s="8" t="e">
        <f t="shared" ca="1" si="10"/>
        <v>#NAME?</v>
      </c>
      <c r="N21" s="8" t="e">
        <f t="shared" ca="1" si="11"/>
        <v>#NAME?</v>
      </c>
      <c r="O21" s="9" t="e">
        <f t="shared" ca="1" si="12"/>
        <v>#NAME?</v>
      </c>
    </row>
    <row r="22" spans="1:15" x14ac:dyDescent="0.35">
      <c r="A22" s="7" t="s">
        <v>283</v>
      </c>
      <c r="B22" s="7" t="s">
        <v>284</v>
      </c>
      <c r="C22" s="8" t="e">
        <f t="shared" ca="1" si="0"/>
        <v>#NAME?</v>
      </c>
      <c r="D22" s="8" t="e">
        <f t="shared" ca="1" si="1"/>
        <v>#NAME?</v>
      </c>
      <c r="E22" s="8" t="e">
        <f t="shared" ca="1" si="2"/>
        <v>#NAME?</v>
      </c>
      <c r="F22" s="8" t="e">
        <f t="shared" ca="1" si="3"/>
        <v>#NAME?</v>
      </c>
      <c r="G22" s="8" t="e">
        <f t="shared" ca="1" si="4"/>
        <v>#NAME?</v>
      </c>
      <c r="H22" s="8" t="e">
        <f t="shared" ca="1" si="5"/>
        <v>#NAME?</v>
      </c>
      <c r="I22" s="8" t="e">
        <f t="shared" ca="1" si="6"/>
        <v>#NAME?</v>
      </c>
      <c r="J22" s="8" t="e">
        <f t="shared" ca="1" si="7"/>
        <v>#NAME?</v>
      </c>
      <c r="K22" s="8" t="e">
        <f t="shared" ca="1" si="8"/>
        <v>#NAME?</v>
      </c>
      <c r="L22" s="8" t="e">
        <f t="shared" ca="1" si="9"/>
        <v>#NAME?</v>
      </c>
      <c r="M22" s="8" t="e">
        <f t="shared" ca="1" si="10"/>
        <v>#NAME?</v>
      </c>
      <c r="N22" s="8" t="e">
        <f t="shared" ca="1" si="11"/>
        <v>#NAME?</v>
      </c>
      <c r="O22" s="9" t="e">
        <f t="shared" ca="1" si="12"/>
        <v>#NAME?</v>
      </c>
    </row>
    <row r="23" spans="1:15" x14ac:dyDescent="0.35">
      <c r="B23" s="10" t="s">
        <v>57</v>
      </c>
      <c r="C23" s="11" t="e">
        <f t="shared" ref="C23:O23" ca="1" si="13">SUM(C11:C22)</f>
        <v>#NAME?</v>
      </c>
      <c r="D23" s="11" t="e">
        <f t="shared" ca="1" si="13"/>
        <v>#NAME?</v>
      </c>
      <c r="E23" s="11" t="e">
        <f t="shared" ca="1" si="13"/>
        <v>#NAME?</v>
      </c>
      <c r="F23" s="11" t="e">
        <f t="shared" ca="1" si="13"/>
        <v>#NAME?</v>
      </c>
      <c r="G23" s="11" t="e">
        <f t="shared" ca="1" si="13"/>
        <v>#NAME?</v>
      </c>
      <c r="H23" s="11" t="e">
        <f t="shared" ca="1" si="13"/>
        <v>#NAME?</v>
      </c>
      <c r="I23" s="11" t="e">
        <f t="shared" ca="1" si="13"/>
        <v>#NAME?</v>
      </c>
      <c r="J23" s="11" t="e">
        <f t="shared" ca="1" si="13"/>
        <v>#NAME?</v>
      </c>
      <c r="K23" s="11" t="e">
        <f t="shared" ca="1" si="13"/>
        <v>#NAME?</v>
      </c>
      <c r="L23" s="11" t="e">
        <f t="shared" ca="1" si="13"/>
        <v>#NAME?</v>
      </c>
      <c r="M23" s="11" t="e">
        <f t="shared" ca="1" si="13"/>
        <v>#NAME?</v>
      </c>
      <c r="N23" s="11" t="e">
        <f t="shared" ca="1" si="13"/>
        <v>#NAME?</v>
      </c>
      <c r="O23" s="11" t="e">
        <f t="shared" ca="1" si="13"/>
        <v>#NAME?</v>
      </c>
    </row>
    <row r="25" spans="1:15" ht="15.5" x14ac:dyDescent="0.35">
      <c r="A25" s="4" t="s">
        <v>58</v>
      </c>
    </row>
    <row r="26" spans="1:15" x14ac:dyDescent="0.35">
      <c r="A26" s="6" t="s">
        <v>19</v>
      </c>
      <c r="B26" s="6" t="s">
        <v>20</v>
      </c>
      <c r="C26" s="6" t="s">
        <v>21</v>
      </c>
      <c r="D26" s="6" t="s">
        <v>22</v>
      </c>
      <c r="E26" s="6" t="s">
        <v>23</v>
      </c>
      <c r="F26" s="6" t="s">
        <v>24</v>
      </c>
      <c r="G26" s="6" t="s">
        <v>25</v>
      </c>
      <c r="H26" s="6" t="s">
        <v>26</v>
      </c>
      <c r="I26" s="6" t="s">
        <v>27</v>
      </c>
      <c r="J26" s="6" t="s">
        <v>28</v>
      </c>
      <c r="K26" s="6" t="s">
        <v>29</v>
      </c>
      <c r="L26" s="6" t="s">
        <v>30</v>
      </c>
      <c r="M26" s="6" t="s">
        <v>31</v>
      </c>
      <c r="N26" s="6" t="s">
        <v>32</v>
      </c>
    </row>
    <row r="27" spans="1:15" x14ac:dyDescent="0.35">
      <c r="A27" s="7" t="s">
        <v>285</v>
      </c>
      <c r="B27" s="7" t="s">
        <v>286</v>
      </c>
      <c r="C27" s="8" t="e">
        <f t="shared" ref="C27:C32" ca="1" si="14">EPM($B$5,$B$6,1,A27,"period_net_amount",$B$7)</f>
        <v>#NAME?</v>
      </c>
      <c r="D27" s="8" t="e">
        <f t="shared" ref="D27:D32" ca="1" si="15">EPM($B$5,$B$6,2,A27,"period_net_amount",$B$7)</f>
        <v>#NAME?</v>
      </c>
      <c r="E27" s="8" t="e">
        <f t="shared" ref="E27:E32" ca="1" si="16">EPM($B$5,$B$6,3,A27,"period_net_amount",$B$7)</f>
        <v>#NAME?</v>
      </c>
      <c r="F27" s="8" t="e">
        <f t="shared" ref="F27:F32" ca="1" si="17">EPM($B$5,$B$6,4,A27,"period_net_amount",$B$7)</f>
        <v>#NAME?</v>
      </c>
      <c r="G27" s="8" t="e">
        <f t="shared" ref="G27:G32" ca="1" si="18">EPM($B$5,$B$6,5,A27,"period_net_amount",$B$7)</f>
        <v>#NAME?</v>
      </c>
      <c r="H27" s="8" t="e">
        <f t="shared" ref="H27:H32" ca="1" si="19">EPM($B$5,$B$6,6,A27,"period_net_amount",$B$7)</f>
        <v>#NAME?</v>
      </c>
      <c r="I27" s="8" t="e">
        <f t="shared" ref="I27:I32" ca="1" si="20">EPM($B$5,$B$6,7,A27,"period_net_amount",$B$7)</f>
        <v>#NAME?</v>
      </c>
      <c r="J27" s="8" t="e">
        <f t="shared" ref="J27:J32" ca="1" si="21">EPM($B$5,$B$6,8,A27,"period_net_amount",$B$7)</f>
        <v>#NAME?</v>
      </c>
      <c r="K27" s="8" t="e">
        <f t="shared" ref="K27:K32" ca="1" si="22">EPM($B$5,$B$6,9,A27,"period_net_amount",$B$7)</f>
        <v>#NAME?</v>
      </c>
      <c r="L27" s="8" t="e">
        <f t="shared" ref="L27:L32" ca="1" si="23">EPM($B$5,$B$6,10,A27,"period_net_amount",$B$7)</f>
        <v>#NAME?</v>
      </c>
      <c r="M27" s="8" t="e">
        <f t="shared" ref="M27:M32" ca="1" si="24">EPM($B$5,$B$6,11,A27,"period_net_amount",$B$7)</f>
        <v>#NAME?</v>
      </c>
      <c r="N27" s="8" t="e">
        <f t="shared" ref="N27:N32" ca="1" si="25">EPM($B$5,$B$6,12,A27,"period_net_amount",$B$7)</f>
        <v>#NAME?</v>
      </c>
    </row>
    <row r="28" spans="1:15" x14ac:dyDescent="0.35">
      <c r="A28" s="7" t="s">
        <v>230</v>
      </c>
      <c r="B28" s="7" t="s">
        <v>231</v>
      </c>
      <c r="C28" s="8" t="e">
        <f t="shared" ca="1" si="14"/>
        <v>#NAME?</v>
      </c>
      <c r="D28" s="8" t="e">
        <f t="shared" ca="1" si="15"/>
        <v>#NAME?</v>
      </c>
      <c r="E28" s="8" t="e">
        <f t="shared" ca="1" si="16"/>
        <v>#NAME?</v>
      </c>
      <c r="F28" s="8" t="e">
        <f t="shared" ca="1" si="17"/>
        <v>#NAME?</v>
      </c>
      <c r="G28" s="8" t="e">
        <f t="shared" ca="1" si="18"/>
        <v>#NAME?</v>
      </c>
      <c r="H28" s="8" t="e">
        <f t="shared" ca="1" si="19"/>
        <v>#NAME?</v>
      </c>
      <c r="I28" s="8" t="e">
        <f t="shared" ca="1" si="20"/>
        <v>#NAME?</v>
      </c>
      <c r="J28" s="8" t="e">
        <f t="shared" ca="1" si="21"/>
        <v>#NAME?</v>
      </c>
      <c r="K28" s="8" t="e">
        <f t="shared" ca="1" si="22"/>
        <v>#NAME?</v>
      </c>
      <c r="L28" s="8" t="e">
        <f t="shared" ca="1" si="23"/>
        <v>#NAME?</v>
      </c>
      <c r="M28" s="8" t="e">
        <f t="shared" ca="1" si="24"/>
        <v>#NAME?</v>
      </c>
      <c r="N28" s="8" t="e">
        <f t="shared" ca="1" si="25"/>
        <v>#NAME?</v>
      </c>
    </row>
    <row r="29" spans="1:15" x14ac:dyDescent="0.35">
      <c r="A29" s="7" t="s">
        <v>287</v>
      </c>
      <c r="B29" s="7" t="s">
        <v>288</v>
      </c>
      <c r="C29" s="8" t="e">
        <f t="shared" ca="1" si="14"/>
        <v>#NAME?</v>
      </c>
      <c r="D29" s="8" t="e">
        <f t="shared" ca="1" si="15"/>
        <v>#NAME?</v>
      </c>
      <c r="E29" s="8" t="e">
        <f t="shared" ca="1" si="16"/>
        <v>#NAME?</v>
      </c>
      <c r="F29" s="8" t="e">
        <f t="shared" ca="1" si="17"/>
        <v>#NAME?</v>
      </c>
      <c r="G29" s="8" t="e">
        <f t="shared" ca="1" si="18"/>
        <v>#NAME?</v>
      </c>
      <c r="H29" s="8" t="e">
        <f t="shared" ca="1" si="19"/>
        <v>#NAME?</v>
      </c>
      <c r="I29" s="8" t="e">
        <f t="shared" ca="1" si="20"/>
        <v>#NAME?</v>
      </c>
      <c r="J29" s="8" t="e">
        <f t="shared" ca="1" si="21"/>
        <v>#NAME?</v>
      </c>
      <c r="K29" s="8" t="e">
        <f t="shared" ca="1" si="22"/>
        <v>#NAME?</v>
      </c>
      <c r="L29" s="8" t="e">
        <f t="shared" ca="1" si="23"/>
        <v>#NAME?</v>
      </c>
      <c r="M29" s="8" t="e">
        <f t="shared" ca="1" si="24"/>
        <v>#NAME?</v>
      </c>
      <c r="N29" s="8" t="e">
        <f t="shared" ca="1" si="25"/>
        <v>#NAME?</v>
      </c>
    </row>
    <row r="30" spans="1:15" x14ac:dyDescent="0.35">
      <c r="A30" s="7" t="s">
        <v>236</v>
      </c>
      <c r="B30" s="7" t="s">
        <v>237</v>
      </c>
      <c r="C30" s="8" t="e">
        <f t="shared" ca="1" si="14"/>
        <v>#NAME?</v>
      </c>
      <c r="D30" s="8" t="e">
        <f t="shared" ca="1" si="15"/>
        <v>#NAME?</v>
      </c>
      <c r="E30" s="8" t="e">
        <f t="shared" ca="1" si="16"/>
        <v>#NAME?</v>
      </c>
      <c r="F30" s="8" t="e">
        <f t="shared" ca="1" si="17"/>
        <v>#NAME?</v>
      </c>
      <c r="G30" s="8" t="e">
        <f t="shared" ca="1" si="18"/>
        <v>#NAME?</v>
      </c>
      <c r="H30" s="8" t="e">
        <f t="shared" ca="1" si="19"/>
        <v>#NAME?</v>
      </c>
      <c r="I30" s="8" t="e">
        <f t="shared" ca="1" si="20"/>
        <v>#NAME?</v>
      </c>
      <c r="J30" s="8" t="e">
        <f t="shared" ca="1" si="21"/>
        <v>#NAME?</v>
      </c>
      <c r="K30" s="8" t="e">
        <f t="shared" ca="1" si="22"/>
        <v>#NAME?</v>
      </c>
      <c r="L30" s="8" t="e">
        <f t="shared" ca="1" si="23"/>
        <v>#NAME?</v>
      </c>
      <c r="M30" s="8" t="e">
        <f t="shared" ca="1" si="24"/>
        <v>#NAME?</v>
      </c>
      <c r="N30" s="8" t="e">
        <f t="shared" ca="1" si="25"/>
        <v>#NAME?</v>
      </c>
    </row>
    <row r="31" spans="1:15" x14ac:dyDescent="0.35">
      <c r="A31" s="7" t="s">
        <v>289</v>
      </c>
      <c r="B31" s="7" t="s">
        <v>290</v>
      </c>
      <c r="C31" s="8" t="e">
        <f t="shared" ca="1" si="14"/>
        <v>#NAME?</v>
      </c>
      <c r="D31" s="8" t="e">
        <f t="shared" ca="1" si="15"/>
        <v>#NAME?</v>
      </c>
      <c r="E31" s="8" t="e">
        <f t="shared" ca="1" si="16"/>
        <v>#NAME?</v>
      </c>
      <c r="F31" s="8" t="e">
        <f t="shared" ca="1" si="17"/>
        <v>#NAME?</v>
      </c>
      <c r="G31" s="8" t="e">
        <f t="shared" ca="1" si="18"/>
        <v>#NAME?</v>
      </c>
      <c r="H31" s="8" t="e">
        <f t="shared" ca="1" si="19"/>
        <v>#NAME?</v>
      </c>
      <c r="I31" s="8" t="e">
        <f t="shared" ca="1" si="20"/>
        <v>#NAME?</v>
      </c>
      <c r="J31" s="8" t="e">
        <f t="shared" ca="1" si="21"/>
        <v>#NAME?</v>
      </c>
      <c r="K31" s="8" t="e">
        <f t="shared" ca="1" si="22"/>
        <v>#NAME?</v>
      </c>
      <c r="L31" s="8" t="e">
        <f t="shared" ca="1" si="23"/>
        <v>#NAME?</v>
      </c>
      <c r="M31" s="8" t="e">
        <f t="shared" ca="1" si="24"/>
        <v>#NAME?</v>
      </c>
      <c r="N31" s="8" t="e">
        <f t="shared" ca="1" si="25"/>
        <v>#NAME?</v>
      </c>
    </row>
    <row r="32" spans="1:15" x14ac:dyDescent="0.35">
      <c r="A32" s="7" t="s">
        <v>291</v>
      </c>
      <c r="B32" s="7" t="s">
        <v>292</v>
      </c>
      <c r="C32" s="8" t="e">
        <f t="shared" ca="1" si="14"/>
        <v>#NAME?</v>
      </c>
      <c r="D32" s="8" t="e">
        <f t="shared" ca="1" si="15"/>
        <v>#NAME?</v>
      </c>
      <c r="E32" s="8" t="e">
        <f t="shared" ca="1" si="16"/>
        <v>#NAME?</v>
      </c>
      <c r="F32" s="8" t="e">
        <f t="shared" ca="1" si="17"/>
        <v>#NAME?</v>
      </c>
      <c r="G32" s="8" t="e">
        <f t="shared" ca="1" si="18"/>
        <v>#NAME?</v>
      </c>
      <c r="H32" s="8" t="e">
        <f t="shared" ca="1" si="19"/>
        <v>#NAME?</v>
      </c>
      <c r="I32" s="8" t="e">
        <f t="shared" ca="1" si="20"/>
        <v>#NAME?</v>
      </c>
      <c r="J32" s="8" t="e">
        <f t="shared" ca="1" si="21"/>
        <v>#NAME?</v>
      </c>
      <c r="K32" s="8" t="e">
        <f t="shared" ca="1" si="22"/>
        <v>#NAME?</v>
      </c>
      <c r="L32" s="8" t="e">
        <f t="shared" ca="1" si="23"/>
        <v>#NAME?</v>
      </c>
      <c r="M32" s="8" t="e">
        <f t="shared" ca="1" si="24"/>
        <v>#NAME?</v>
      </c>
      <c r="N32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32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293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294</v>
      </c>
    </row>
    <row r="6" spans="1:15" x14ac:dyDescent="0.35">
      <c r="A6" s="2" t="s">
        <v>15</v>
      </c>
      <c r="B6" s="5">
        <v>2024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295</v>
      </c>
      <c r="B11" s="7" t="s">
        <v>296</v>
      </c>
      <c r="C11" s="8" t="e">
        <f t="shared" ref="C11:C22" ca="1" si="0">EPM($B$5,$B$6,1,A11,"period_net_amount",$B$7)</f>
        <v>#NAME?</v>
      </c>
      <c r="D11" s="8" t="e">
        <f t="shared" ref="D11:D22" ca="1" si="1">EPM($B$5,$B$6,2,A11,"period_net_amount",$B$7)</f>
        <v>#NAME?</v>
      </c>
      <c r="E11" s="8" t="e">
        <f t="shared" ref="E11:E22" ca="1" si="2">EPM($B$5,$B$6,3,A11,"period_net_amount",$B$7)</f>
        <v>#NAME?</v>
      </c>
      <c r="F11" s="8" t="e">
        <f t="shared" ref="F11:F22" ca="1" si="3">EPM($B$5,$B$6,4,A11,"period_net_amount",$B$7)</f>
        <v>#NAME?</v>
      </c>
      <c r="G11" s="8" t="e">
        <f t="shared" ref="G11:G22" ca="1" si="4">EPM($B$5,$B$6,5,A11,"period_net_amount",$B$7)</f>
        <v>#NAME?</v>
      </c>
      <c r="H11" s="8" t="e">
        <f t="shared" ref="H11:H22" ca="1" si="5">EPM($B$5,$B$6,6,A11,"period_net_amount",$B$7)</f>
        <v>#NAME?</v>
      </c>
      <c r="I11" s="8" t="e">
        <f t="shared" ref="I11:I22" ca="1" si="6">EPM($B$5,$B$6,7,A11,"period_net_amount",$B$7)</f>
        <v>#NAME?</v>
      </c>
      <c r="J11" s="8" t="e">
        <f t="shared" ref="J11:J22" ca="1" si="7">EPM($B$5,$B$6,8,A11,"period_net_amount",$B$7)</f>
        <v>#NAME?</v>
      </c>
      <c r="K11" s="8" t="e">
        <f t="shared" ref="K11:K22" ca="1" si="8">EPM($B$5,$B$6,9,A11,"period_net_amount",$B$7)</f>
        <v>#NAME?</v>
      </c>
      <c r="L11" s="8" t="e">
        <f t="shared" ref="L11:L22" ca="1" si="9">EPM($B$5,$B$6,10,A11,"period_net_amount",$B$7)</f>
        <v>#NAME?</v>
      </c>
      <c r="M11" s="8" t="e">
        <f t="shared" ref="M11:M22" ca="1" si="10">EPM($B$5,$B$6,11,A11,"period_net_amount",$B$7)</f>
        <v>#NAME?</v>
      </c>
      <c r="N11" s="8" t="e">
        <f t="shared" ref="N11:N22" ca="1" si="11">EPM($B$5,$B$6,12,A11,"period_net_amount",$B$7)</f>
        <v>#NAME?</v>
      </c>
      <c r="O11" s="9" t="e">
        <f t="shared" ref="O11:O22" ca="1" si="12">SUM(C11:N11)</f>
        <v>#NAME?</v>
      </c>
    </row>
    <row r="12" spans="1:15" x14ac:dyDescent="0.35">
      <c r="A12" s="7" t="s">
        <v>138</v>
      </c>
      <c r="B12" s="7" t="s">
        <v>139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297</v>
      </c>
      <c r="B13" s="7" t="s">
        <v>298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242</v>
      </c>
      <c r="B14" s="7" t="s">
        <v>299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36</v>
      </c>
      <c r="B15" s="7" t="s">
        <v>37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300</v>
      </c>
      <c r="B16" s="7" t="s">
        <v>301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199</v>
      </c>
      <c r="B17" s="7" t="s">
        <v>200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A18" s="7" t="s">
        <v>302</v>
      </c>
      <c r="B18" s="7" t="s">
        <v>303</v>
      </c>
      <c r="C18" s="8" t="e">
        <f t="shared" ca="1" si="0"/>
        <v>#NAME?</v>
      </c>
      <c r="D18" s="8" t="e">
        <f t="shared" ca="1" si="1"/>
        <v>#NAME?</v>
      </c>
      <c r="E18" s="8" t="e">
        <f t="shared" ca="1" si="2"/>
        <v>#NAME?</v>
      </c>
      <c r="F18" s="8" t="e">
        <f t="shared" ca="1" si="3"/>
        <v>#NAME?</v>
      </c>
      <c r="G18" s="8" t="e">
        <f t="shared" ca="1" si="4"/>
        <v>#NAME?</v>
      </c>
      <c r="H18" s="8" t="e">
        <f t="shared" ca="1" si="5"/>
        <v>#NAME?</v>
      </c>
      <c r="I18" s="8" t="e">
        <f t="shared" ca="1" si="6"/>
        <v>#NAME?</v>
      </c>
      <c r="J18" s="8" t="e">
        <f t="shared" ca="1" si="7"/>
        <v>#NAME?</v>
      </c>
      <c r="K18" s="8" t="e">
        <f t="shared" ca="1" si="8"/>
        <v>#NAME?</v>
      </c>
      <c r="L18" s="8" t="e">
        <f t="shared" ca="1" si="9"/>
        <v>#NAME?</v>
      </c>
      <c r="M18" s="8" t="e">
        <f t="shared" ca="1" si="10"/>
        <v>#NAME?</v>
      </c>
      <c r="N18" s="8" t="e">
        <f t="shared" ca="1" si="11"/>
        <v>#NAME?</v>
      </c>
      <c r="O18" s="9" t="e">
        <f t="shared" ca="1" si="12"/>
        <v>#NAME?</v>
      </c>
    </row>
    <row r="19" spans="1:15" x14ac:dyDescent="0.35">
      <c r="A19" s="7" t="s">
        <v>304</v>
      </c>
      <c r="B19" s="7" t="s">
        <v>305</v>
      </c>
      <c r="C19" s="8" t="e">
        <f t="shared" ca="1" si="0"/>
        <v>#NAME?</v>
      </c>
      <c r="D19" s="8" t="e">
        <f t="shared" ca="1" si="1"/>
        <v>#NAME?</v>
      </c>
      <c r="E19" s="8" t="e">
        <f t="shared" ca="1" si="2"/>
        <v>#NAME?</v>
      </c>
      <c r="F19" s="8" t="e">
        <f t="shared" ca="1" si="3"/>
        <v>#NAME?</v>
      </c>
      <c r="G19" s="8" t="e">
        <f t="shared" ca="1" si="4"/>
        <v>#NAME?</v>
      </c>
      <c r="H19" s="8" t="e">
        <f t="shared" ca="1" si="5"/>
        <v>#NAME?</v>
      </c>
      <c r="I19" s="8" t="e">
        <f t="shared" ca="1" si="6"/>
        <v>#NAME?</v>
      </c>
      <c r="J19" s="8" t="e">
        <f t="shared" ca="1" si="7"/>
        <v>#NAME?</v>
      </c>
      <c r="K19" s="8" t="e">
        <f t="shared" ca="1" si="8"/>
        <v>#NAME?</v>
      </c>
      <c r="L19" s="8" t="e">
        <f t="shared" ca="1" si="9"/>
        <v>#NAME?</v>
      </c>
      <c r="M19" s="8" t="e">
        <f t="shared" ca="1" si="10"/>
        <v>#NAME?</v>
      </c>
      <c r="N19" s="8" t="e">
        <f t="shared" ca="1" si="11"/>
        <v>#NAME?</v>
      </c>
      <c r="O19" s="9" t="e">
        <f t="shared" ca="1" si="12"/>
        <v>#NAME?</v>
      </c>
    </row>
    <row r="20" spans="1:15" x14ac:dyDescent="0.35">
      <c r="A20" s="7" t="s">
        <v>44</v>
      </c>
      <c r="B20" s="7" t="s">
        <v>45</v>
      </c>
      <c r="C20" s="8" t="e">
        <f t="shared" ca="1" si="0"/>
        <v>#NAME?</v>
      </c>
      <c r="D20" s="8" t="e">
        <f t="shared" ca="1" si="1"/>
        <v>#NAME?</v>
      </c>
      <c r="E20" s="8" t="e">
        <f t="shared" ca="1" si="2"/>
        <v>#NAME?</v>
      </c>
      <c r="F20" s="8" t="e">
        <f t="shared" ca="1" si="3"/>
        <v>#NAME?</v>
      </c>
      <c r="G20" s="8" t="e">
        <f t="shared" ca="1" si="4"/>
        <v>#NAME?</v>
      </c>
      <c r="H20" s="8" t="e">
        <f t="shared" ca="1" si="5"/>
        <v>#NAME?</v>
      </c>
      <c r="I20" s="8" t="e">
        <f t="shared" ca="1" si="6"/>
        <v>#NAME?</v>
      </c>
      <c r="J20" s="8" t="e">
        <f t="shared" ca="1" si="7"/>
        <v>#NAME?</v>
      </c>
      <c r="K20" s="8" t="e">
        <f t="shared" ca="1" si="8"/>
        <v>#NAME?</v>
      </c>
      <c r="L20" s="8" t="e">
        <f t="shared" ca="1" si="9"/>
        <v>#NAME?</v>
      </c>
      <c r="M20" s="8" t="e">
        <f t="shared" ca="1" si="10"/>
        <v>#NAME?</v>
      </c>
      <c r="N20" s="8" t="e">
        <f t="shared" ca="1" si="11"/>
        <v>#NAME?</v>
      </c>
      <c r="O20" s="9" t="e">
        <f t="shared" ca="1" si="12"/>
        <v>#NAME?</v>
      </c>
    </row>
    <row r="21" spans="1:15" x14ac:dyDescent="0.35">
      <c r="A21" s="7" t="s">
        <v>306</v>
      </c>
      <c r="B21" s="7" t="s">
        <v>307</v>
      </c>
      <c r="C21" s="8" t="e">
        <f t="shared" ca="1" si="0"/>
        <v>#NAME?</v>
      </c>
      <c r="D21" s="8" t="e">
        <f t="shared" ca="1" si="1"/>
        <v>#NAME?</v>
      </c>
      <c r="E21" s="8" t="e">
        <f t="shared" ca="1" si="2"/>
        <v>#NAME?</v>
      </c>
      <c r="F21" s="8" t="e">
        <f t="shared" ca="1" si="3"/>
        <v>#NAME?</v>
      </c>
      <c r="G21" s="8" t="e">
        <f t="shared" ca="1" si="4"/>
        <v>#NAME?</v>
      </c>
      <c r="H21" s="8" t="e">
        <f t="shared" ca="1" si="5"/>
        <v>#NAME?</v>
      </c>
      <c r="I21" s="8" t="e">
        <f t="shared" ca="1" si="6"/>
        <v>#NAME?</v>
      </c>
      <c r="J21" s="8" t="e">
        <f t="shared" ca="1" si="7"/>
        <v>#NAME?</v>
      </c>
      <c r="K21" s="8" t="e">
        <f t="shared" ca="1" si="8"/>
        <v>#NAME?</v>
      </c>
      <c r="L21" s="8" t="e">
        <f t="shared" ca="1" si="9"/>
        <v>#NAME?</v>
      </c>
      <c r="M21" s="8" t="e">
        <f t="shared" ca="1" si="10"/>
        <v>#NAME?</v>
      </c>
      <c r="N21" s="8" t="e">
        <f t="shared" ca="1" si="11"/>
        <v>#NAME?</v>
      </c>
      <c r="O21" s="9" t="e">
        <f t="shared" ca="1" si="12"/>
        <v>#NAME?</v>
      </c>
    </row>
    <row r="22" spans="1:15" x14ac:dyDescent="0.35">
      <c r="A22" s="7" t="s">
        <v>52</v>
      </c>
      <c r="B22" s="7" t="s">
        <v>49</v>
      </c>
      <c r="C22" s="8" t="e">
        <f t="shared" ca="1" si="0"/>
        <v>#NAME?</v>
      </c>
      <c r="D22" s="8" t="e">
        <f t="shared" ca="1" si="1"/>
        <v>#NAME?</v>
      </c>
      <c r="E22" s="8" t="e">
        <f t="shared" ca="1" si="2"/>
        <v>#NAME?</v>
      </c>
      <c r="F22" s="8" t="e">
        <f t="shared" ca="1" si="3"/>
        <v>#NAME?</v>
      </c>
      <c r="G22" s="8" t="e">
        <f t="shared" ca="1" si="4"/>
        <v>#NAME?</v>
      </c>
      <c r="H22" s="8" t="e">
        <f t="shared" ca="1" si="5"/>
        <v>#NAME?</v>
      </c>
      <c r="I22" s="8" t="e">
        <f t="shared" ca="1" si="6"/>
        <v>#NAME?</v>
      </c>
      <c r="J22" s="8" t="e">
        <f t="shared" ca="1" si="7"/>
        <v>#NAME?</v>
      </c>
      <c r="K22" s="8" t="e">
        <f t="shared" ca="1" si="8"/>
        <v>#NAME?</v>
      </c>
      <c r="L22" s="8" t="e">
        <f t="shared" ca="1" si="9"/>
        <v>#NAME?</v>
      </c>
      <c r="M22" s="8" t="e">
        <f t="shared" ca="1" si="10"/>
        <v>#NAME?</v>
      </c>
      <c r="N22" s="8" t="e">
        <f t="shared" ca="1" si="11"/>
        <v>#NAME?</v>
      </c>
      <c r="O22" s="9" t="e">
        <f t="shared" ca="1" si="12"/>
        <v>#NAME?</v>
      </c>
    </row>
    <row r="23" spans="1:15" x14ac:dyDescent="0.35">
      <c r="B23" s="10" t="s">
        <v>57</v>
      </c>
      <c r="C23" s="11" t="e">
        <f t="shared" ref="C23:O23" ca="1" si="13">SUM(C11:C22)</f>
        <v>#NAME?</v>
      </c>
      <c r="D23" s="11" t="e">
        <f t="shared" ca="1" si="13"/>
        <v>#NAME?</v>
      </c>
      <c r="E23" s="11" t="e">
        <f t="shared" ca="1" si="13"/>
        <v>#NAME?</v>
      </c>
      <c r="F23" s="11" t="e">
        <f t="shared" ca="1" si="13"/>
        <v>#NAME?</v>
      </c>
      <c r="G23" s="11" t="e">
        <f t="shared" ca="1" si="13"/>
        <v>#NAME?</v>
      </c>
      <c r="H23" s="11" t="e">
        <f t="shared" ca="1" si="13"/>
        <v>#NAME?</v>
      </c>
      <c r="I23" s="11" t="e">
        <f t="shared" ca="1" si="13"/>
        <v>#NAME?</v>
      </c>
      <c r="J23" s="11" t="e">
        <f t="shared" ca="1" si="13"/>
        <v>#NAME?</v>
      </c>
      <c r="K23" s="11" t="e">
        <f t="shared" ca="1" si="13"/>
        <v>#NAME?</v>
      </c>
      <c r="L23" s="11" t="e">
        <f t="shared" ca="1" si="13"/>
        <v>#NAME?</v>
      </c>
      <c r="M23" s="11" t="e">
        <f t="shared" ca="1" si="13"/>
        <v>#NAME?</v>
      </c>
      <c r="N23" s="11" t="e">
        <f t="shared" ca="1" si="13"/>
        <v>#NAME?</v>
      </c>
      <c r="O23" s="11" t="e">
        <f t="shared" ca="1" si="13"/>
        <v>#NAME?</v>
      </c>
    </row>
    <row r="25" spans="1:15" ht="15.5" x14ac:dyDescent="0.35">
      <c r="A25" s="4" t="s">
        <v>58</v>
      </c>
    </row>
    <row r="26" spans="1:15" x14ac:dyDescent="0.35">
      <c r="A26" s="6" t="s">
        <v>19</v>
      </c>
      <c r="B26" s="6" t="s">
        <v>20</v>
      </c>
      <c r="C26" s="6" t="s">
        <v>21</v>
      </c>
      <c r="D26" s="6" t="s">
        <v>22</v>
      </c>
      <c r="E26" s="6" t="s">
        <v>23</v>
      </c>
      <c r="F26" s="6" t="s">
        <v>24</v>
      </c>
      <c r="G26" s="6" t="s">
        <v>25</v>
      </c>
      <c r="H26" s="6" t="s">
        <v>26</v>
      </c>
      <c r="I26" s="6" t="s">
        <v>27</v>
      </c>
      <c r="J26" s="6" t="s">
        <v>28</v>
      </c>
      <c r="K26" s="6" t="s">
        <v>29</v>
      </c>
      <c r="L26" s="6" t="s">
        <v>30</v>
      </c>
      <c r="M26" s="6" t="s">
        <v>31</v>
      </c>
      <c r="N26" s="6" t="s">
        <v>32</v>
      </c>
    </row>
    <row r="27" spans="1:15" x14ac:dyDescent="0.35">
      <c r="A27" s="7" t="s">
        <v>152</v>
      </c>
      <c r="B27" s="7" t="s">
        <v>308</v>
      </c>
      <c r="C27" s="8" t="e">
        <f t="shared" ref="C27:C32" ca="1" si="14">EPM($B$5,$B$6,1,A27,"period_net_amount",$B$7)</f>
        <v>#NAME?</v>
      </c>
      <c r="D27" s="8" t="e">
        <f t="shared" ref="D27:D32" ca="1" si="15">EPM($B$5,$B$6,2,A27,"period_net_amount",$B$7)</f>
        <v>#NAME?</v>
      </c>
      <c r="E27" s="8" t="e">
        <f t="shared" ref="E27:E32" ca="1" si="16">EPM($B$5,$B$6,3,A27,"period_net_amount",$B$7)</f>
        <v>#NAME?</v>
      </c>
      <c r="F27" s="8" t="e">
        <f t="shared" ref="F27:F32" ca="1" si="17">EPM($B$5,$B$6,4,A27,"period_net_amount",$B$7)</f>
        <v>#NAME?</v>
      </c>
      <c r="G27" s="8" t="e">
        <f t="shared" ref="G27:G32" ca="1" si="18">EPM($B$5,$B$6,5,A27,"period_net_amount",$B$7)</f>
        <v>#NAME?</v>
      </c>
      <c r="H27" s="8" t="e">
        <f t="shared" ref="H27:H32" ca="1" si="19">EPM($B$5,$B$6,6,A27,"period_net_amount",$B$7)</f>
        <v>#NAME?</v>
      </c>
      <c r="I27" s="8" t="e">
        <f t="shared" ref="I27:I32" ca="1" si="20">EPM($B$5,$B$6,7,A27,"period_net_amount",$B$7)</f>
        <v>#NAME?</v>
      </c>
      <c r="J27" s="8" t="e">
        <f t="shared" ref="J27:J32" ca="1" si="21">EPM($B$5,$B$6,8,A27,"period_net_amount",$B$7)</f>
        <v>#NAME?</v>
      </c>
      <c r="K27" s="8" t="e">
        <f t="shared" ref="K27:K32" ca="1" si="22">EPM($B$5,$B$6,9,A27,"period_net_amount",$B$7)</f>
        <v>#NAME?</v>
      </c>
      <c r="L27" s="8" t="e">
        <f t="shared" ref="L27:L32" ca="1" si="23">EPM($B$5,$B$6,10,A27,"period_net_amount",$B$7)</f>
        <v>#NAME?</v>
      </c>
      <c r="M27" s="8" t="e">
        <f t="shared" ref="M27:M32" ca="1" si="24">EPM($B$5,$B$6,11,A27,"period_net_amount",$B$7)</f>
        <v>#NAME?</v>
      </c>
      <c r="N27" s="8" t="e">
        <f t="shared" ref="N27:N32" ca="1" si="25">EPM($B$5,$B$6,12,A27,"period_net_amount",$B$7)</f>
        <v>#NAME?</v>
      </c>
    </row>
    <row r="28" spans="1:15" x14ac:dyDescent="0.35">
      <c r="A28" s="7" t="s">
        <v>150</v>
      </c>
      <c r="B28" s="7" t="s">
        <v>151</v>
      </c>
      <c r="C28" s="8" t="e">
        <f t="shared" ca="1" si="14"/>
        <v>#NAME?</v>
      </c>
      <c r="D28" s="8" t="e">
        <f t="shared" ca="1" si="15"/>
        <v>#NAME?</v>
      </c>
      <c r="E28" s="8" t="e">
        <f t="shared" ca="1" si="16"/>
        <v>#NAME?</v>
      </c>
      <c r="F28" s="8" t="e">
        <f t="shared" ca="1" si="17"/>
        <v>#NAME?</v>
      </c>
      <c r="G28" s="8" t="e">
        <f t="shared" ca="1" si="18"/>
        <v>#NAME?</v>
      </c>
      <c r="H28" s="8" t="e">
        <f t="shared" ca="1" si="19"/>
        <v>#NAME?</v>
      </c>
      <c r="I28" s="8" t="e">
        <f t="shared" ca="1" si="20"/>
        <v>#NAME?</v>
      </c>
      <c r="J28" s="8" t="e">
        <f t="shared" ca="1" si="21"/>
        <v>#NAME?</v>
      </c>
      <c r="K28" s="8" t="e">
        <f t="shared" ca="1" si="22"/>
        <v>#NAME?</v>
      </c>
      <c r="L28" s="8" t="e">
        <f t="shared" ca="1" si="23"/>
        <v>#NAME?</v>
      </c>
      <c r="M28" s="8" t="e">
        <f t="shared" ca="1" si="24"/>
        <v>#NAME?</v>
      </c>
      <c r="N28" s="8" t="e">
        <f t="shared" ca="1" si="25"/>
        <v>#NAME?</v>
      </c>
    </row>
    <row r="29" spans="1:15" x14ac:dyDescent="0.35">
      <c r="A29" s="7" t="s">
        <v>154</v>
      </c>
      <c r="B29" s="7" t="s">
        <v>155</v>
      </c>
      <c r="C29" s="8" t="e">
        <f t="shared" ca="1" si="14"/>
        <v>#NAME?</v>
      </c>
      <c r="D29" s="8" t="e">
        <f t="shared" ca="1" si="15"/>
        <v>#NAME?</v>
      </c>
      <c r="E29" s="8" t="e">
        <f t="shared" ca="1" si="16"/>
        <v>#NAME?</v>
      </c>
      <c r="F29" s="8" t="e">
        <f t="shared" ca="1" si="17"/>
        <v>#NAME?</v>
      </c>
      <c r="G29" s="8" t="e">
        <f t="shared" ca="1" si="18"/>
        <v>#NAME?</v>
      </c>
      <c r="H29" s="8" t="e">
        <f t="shared" ca="1" si="19"/>
        <v>#NAME?</v>
      </c>
      <c r="I29" s="8" t="e">
        <f t="shared" ca="1" si="20"/>
        <v>#NAME?</v>
      </c>
      <c r="J29" s="8" t="e">
        <f t="shared" ca="1" si="21"/>
        <v>#NAME?</v>
      </c>
      <c r="K29" s="8" t="e">
        <f t="shared" ca="1" si="22"/>
        <v>#NAME?</v>
      </c>
      <c r="L29" s="8" t="e">
        <f t="shared" ca="1" si="23"/>
        <v>#NAME?</v>
      </c>
      <c r="M29" s="8" t="e">
        <f t="shared" ca="1" si="24"/>
        <v>#NAME?</v>
      </c>
      <c r="N29" s="8" t="e">
        <f t="shared" ca="1" si="25"/>
        <v>#NAME?</v>
      </c>
    </row>
    <row r="30" spans="1:15" x14ac:dyDescent="0.35">
      <c r="A30" s="7" t="s">
        <v>309</v>
      </c>
      <c r="B30" s="7" t="s">
        <v>310</v>
      </c>
      <c r="C30" s="8" t="e">
        <f t="shared" ca="1" si="14"/>
        <v>#NAME?</v>
      </c>
      <c r="D30" s="8" t="e">
        <f t="shared" ca="1" si="15"/>
        <v>#NAME?</v>
      </c>
      <c r="E30" s="8" t="e">
        <f t="shared" ca="1" si="16"/>
        <v>#NAME?</v>
      </c>
      <c r="F30" s="8" t="e">
        <f t="shared" ca="1" si="17"/>
        <v>#NAME?</v>
      </c>
      <c r="G30" s="8" t="e">
        <f t="shared" ca="1" si="18"/>
        <v>#NAME?</v>
      </c>
      <c r="H30" s="8" t="e">
        <f t="shared" ca="1" si="19"/>
        <v>#NAME?</v>
      </c>
      <c r="I30" s="8" t="e">
        <f t="shared" ca="1" si="20"/>
        <v>#NAME?</v>
      </c>
      <c r="J30" s="8" t="e">
        <f t="shared" ca="1" si="21"/>
        <v>#NAME?</v>
      </c>
      <c r="K30" s="8" t="e">
        <f t="shared" ca="1" si="22"/>
        <v>#NAME?</v>
      </c>
      <c r="L30" s="8" t="e">
        <f t="shared" ca="1" si="23"/>
        <v>#NAME?</v>
      </c>
      <c r="M30" s="8" t="e">
        <f t="shared" ca="1" si="24"/>
        <v>#NAME?</v>
      </c>
      <c r="N30" s="8" t="e">
        <f t="shared" ca="1" si="25"/>
        <v>#NAME?</v>
      </c>
    </row>
    <row r="31" spans="1:15" x14ac:dyDescent="0.35">
      <c r="A31" s="7" t="s">
        <v>61</v>
      </c>
      <c r="B31" s="7" t="s">
        <v>205</v>
      </c>
      <c r="C31" s="8" t="e">
        <f t="shared" ca="1" si="14"/>
        <v>#NAME?</v>
      </c>
      <c r="D31" s="8" t="e">
        <f t="shared" ca="1" si="15"/>
        <v>#NAME?</v>
      </c>
      <c r="E31" s="8" t="e">
        <f t="shared" ca="1" si="16"/>
        <v>#NAME?</v>
      </c>
      <c r="F31" s="8" t="e">
        <f t="shared" ca="1" si="17"/>
        <v>#NAME?</v>
      </c>
      <c r="G31" s="8" t="e">
        <f t="shared" ca="1" si="18"/>
        <v>#NAME?</v>
      </c>
      <c r="H31" s="8" t="e">
        <f t="shared" ca="1" si="19"/>
        <v>#NAME?</v>
      </c>
      <c r="I31" s="8" t="e">
        <f t="shared" ca="1" si="20"/>
        <v>#NAME?</v>
      </c>
      <c r="J31" s="8" t="e">
        <f t="shared" ca="1" si="21"/>
        <v>#NAME?</v>
      </c>
      <c r="K31" s="8" t="e">
        <f t="shared" ca="1" si="22"/>
        <v>#NAME?</v>
      </c>
      <c r="L31" s="8" t="e">
        <f t="shared" ca="1" si="23"/>
        <v>#NAME?</v>
      </c>
      <c r="M31" s="8" t="e">
        <f t="shared" ca="1" si="24"/>
        <v>#NAME?</v>
      </c>
      <c r="N31" s="8" t="e">
        <f t="shared" ca="1" si="25"/>
        <v>#NAME?</v>
      </c>
    </row>
    <row r="32" spans="1:15" x14ac:dyDescent="0.35">
      <c r="A32" s="7" t="s">
        <v>256</v>
      </c>
      <c r="B32" s="7" t="s">
        <v>257</v>
      </c>
      <c r="C32" s="8" t="e">
        <f t="shared" ca="1" si="14"/>
        <v>#NAME?</v>
      </c>
      <c r="D32" s="8" t="e">
        <f t="shared" ca="1" si="15"/>
        <v>#NAME?</v>
      </c>
      <c r="E32" s="8" t="e">
        <f t="shared" ca="1" si="16"/>
        <v>#NAME?</v>
      </c>
      <c r="F32" s="8" t="e">
        <f t="shared" ca="1" si="17"/>
        <v>#NAME?</v>
      </c>
      <c r="G32" s="8" t="e">
        <f t="shared" ca="1" si="18"/>
        <v>#NAME?</v>
      </c>
      <c r="H32" s="8" t="e">
        <f t="shared" ca="1" si="19"/>
        <v>#NAME?</v>
      </c>
      <c r="I32" s="8" t="e">
        <f t="shared" ca="1" si="20"/>
        <v>#NAME?</v>
      </c>
      <c r="J32" s="8" t="e">
        <f t="shared" ca="1" si="21"/>
        <v>#NAME?</v>
      </c>
      <c r="K32" s="8" t="e">
        <f t="shared" ca="1" si="22"/>
        <v>#NAME?</v>
      </c>
      <c r="L32" s="8" t="e">
        <f t="shared" ca="1" si="23"/>
        <v>#NAME?</v>
      </c>
      <c r="M32" s="8" t="e">
        <f t="shared" ca="1" si="24"/>
        <v>#NAME?</v>
      </c>
      <c r="N32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32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311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312</v>
      </c>
    </row>
    <row r="6" spans="1:15" x14ac:dyDescent="0.35">
      <c r="A6" s="2" t="s">
        <v>15</v>
      </c>
      <c r="B6" s="5">
        <v>2016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44</v>
      </c>
      <c r="B11" s="7" t="s">
        <v>45</v>
      </c>
      <c r="C11" s="8" t="e">
        <f t="shared" ref="C11:C22" ca="1" si="0">EPM($B$5,$B$6,1,A11,"period_net_amount",$B$7)</f>
        <v>#NAME?</v>
      </c>
      <c r="D11" s="8" t="e">
        <f t="shared" ref="D11:D22" ca="1" si="1">EPM($B$5,$B$6,2,A11,"period_net_amount",$B$7)</f>
        <v>#NAME?</v>
      </c>
      <c r="E11" s="8" t="e">
        <f t="shared" ref="E11:E22" ca="1" si="2">EPM($B$5,$B$6,3,A11,"period_net_amount",$B$7)</f>
        <v>#NAME?</v>
      </c>
      <c r="F11" s="8" t="e">
        <f t="shared" ref="F11:F22" ca="1" si="3">EPM($B$5,$B$6,4,A11,"period_net_amount",$B$7)</f>
        <v>#NAME?</v>
      </c>
      <c r="G11" s="8" t="e">
        <f t="shared" ref="G11:G22" ca="1" si="4">EPM($B$5,$B$6,5,A11,"period_net_amount",$B$7)</f>
        <v>#NAME?</v>
      </c>
      <c r="H11" s="8" t="e">
        <f t="shared" ref="H11:H22" ca="1" si="5">EPM($B$5,$B$6,6,A11,"period_net_amount",$B$7)</f>
        <v>#NAME?</v>
      </c>
      <c r="I11" s="8" t="e">
        <f t="shared" ref="I11:I22" ca="1" si="6">EPM($B$5,$B$6,7,A11,"period_net_amount",$B$7)</f>
        <v>#NAME?</v>
      </c>
      <c r="J11" s="8" t="e">
        <f t="shared" ref="J11:J22" ca="1" si="7">EPM($B$5,$B$6,8,A11,"period_net_amount",$B$7)</f>
        <v>#NAME?</v>
      </c>
      <c r="K11" s="8" t="e">
        <f t="shared" ref="K11:K22" ca="1" si="8">EPM($B$5,$B$6,9,A11,"period_net_amount",$B$7)</f>
        <v>#NAME?</v>
      </c>
      <c r="L11" s="8" t="e">
        <f t="shared" ref="L11:L22" ca="1" si="9">EPM($B$5,$B$6,10,A11,"period_net_amount",$B$7)</f>
        <v>#NAME?</v>
      </c>
      <c r="M11" s="8" t="e">
        <f t="shared" ref="M11:M22" ca="1" si="10">EPM($B$5,$B$6,11,A11,"period_net_amount",$B$7)</f>
        <v>#NAME?</v>
      </c>
      <c r="N11" s="8" t="e">
        <f t="shared" ref="N11:N22" ca="1" si="11">EPM($B$5,$B$6,12,A11,"period_net_amount",$B$7)</f>
        <v>#NAME?</v>
      </c>
      <c r="O11" s="9" t="e">
        <f t="shared" ref="O11:O22" ca="1" si="12">SUM(C11:N11)</f>
        <v>#NAME?</v>
      </c>
    </row>
    <row r="12" spans="1:15" x14ac:dyDescent="0.35">
      <c r="A12" s="7" t="s">
        <v>313</v>
      </c>
      <c r="B12" s="7" t="s">
        <v>314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52</v>
      </c>
      <c r="B13" s="7" t="s">
        <v>49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300</v>
      </c>
      <c r="B14" s="7" t="s">
        <v>301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315</v>
      </c>
      <c r="B15" s="7" t="s">
        <v>316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297</v>
      </c>
      <c r="B16" s="7" t="s">
        <v>317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36</v>
      </c>
      <c r="B17" s="7" t="s">
        <v>318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A18" s="7" t="s">
        <v>319</v>
      </c>
      <c r="B18" s="7" t="s">
        <v>320</v>
      </c>
      <c r="C18" s="8" t="e">
        <f t="shared" ca="1" si="0"/>
        <v>#NAME?</v>
      </c>
      <c r="D18" s="8" t="e">
        <f t="shared" ca="1" si="1"/>
        <v>#NAME?</v>
      </c>
      <c r="E18" s="8" t="e">
        <f t="shared" ca="1" si="2"/>
        <v>#NAME?</v>
      </c>
      <c r="F18" s="8" t="e">
        <f t="shared" ca="1" si="3"/>
        <v>#NAME?</v>
      </c>
      <c r="G18" s="8" t="e">
        <f t="shared" ca="1" si="4"/>
        <v>#NAME?</v>
      </c>
      <c r="H18" s="8" t="e">
        <f t="shared" ca="1" si="5"/>
        <v>#NAME?</v>
      </c>
      <c r="I18" s="8" t="e">
        <f t="shared" ca="1" si="6"/>
        <v>#NAME?</v>
      </c>
      <c r="J18" s="8" t="e">
        <f t="shared" ca="1" si="7"/>
        <v>#NAME?</v>
      </c>
      <c r="K18" s="8" t="e">
        <f t="shared" ca="1" si="8"/>
        <v>#NAME?</v>
      </c>
      <c r="L18" s="8" t="e">
        <f t="shared" ca="1" si="9"/>
        <v>#NAME?</v>
      </c>
      <c r="M18" s="8" t="e">
        <f t="shared" ca="1" si="10"/>
        <v>#NAME?</v>
      </c>
      <c r="N18" s="8" t="e">
        <f t="shared" ca="1" si="11"/>
        <v>#NAME?</v>
      </c>
      <c r="O18" s="9" t="e">
        <f t="shared" ca="1" si="12"/>
        <v>#NAME?</v>
      </c>
    </row>
    <row r="19" spans="1:15" x14ac:dyDescent="0.35">
      <c r="A19" s="7" t="s">
        <v>190</v>
      </c>
      <c r="B19" s="7" t="s">
        <v>191</v>
      </c>
      <c r="C19" s="8" t="e">
        <f t="shared" ca="1" si="0"/>
        <v>#NAME?</v>
      </c>
      <c r="D19" s="8" t="e">
        <f t="shared" ca="1" si="1"/>
        <v>#NAME?</v>
      </c>
      <c r="E19" s="8" t="e">
        <f t="shared" ca="1" si="2"/>
        <v>#NAME?</v>
      </c>
      <c r="F19" s="8" t="e">
        <f t="shared" ca="1" si="3"/>
        <v>#NAME?</v>
      </c>
      <c r="G19" s="8" t="e">
        <f t="shared" ca="1" si="4"/>
        <v>#NAME?</v>
      </c>
      <c r="H19" s="8" t="e">
        <f t="shared" ca="1" si="5"/>
        <v>#NAME?</v>
      </c>
      <c r="I19" s="8" t="e">
        <f t="shared" ca="1" si="6"/>
        <v>#NAME?</v>
      </c>
      <c r="J19" s="8" t="e">
        <f t="shared" ca="1" si="7"/>
        <v>#NAME?</v>
      </c>
      <c r="K19" s="8" t="e">
        <f t="shared" ca="1" si="8"/>
        <v>#NAME?</v>
      </c>
      <c r="L19" s="8" t="e">
        <f t="shared" ca="1" si="9"/>
        <v>#NAME?</v>
      </c>
      <c r="M19" s="8" t="e">
        <f t="shared" ca="1" si="10"/>
        <v>#NAME?</v>
      </c>
      <c r="N19" s="8" t="e">
        <f t="shared" ca="1" si="11"/>
        <v>#NAME?</v>
      </c>
      <c r="O19" s="9" t="e">
        <f t="shared" ca="1" si="12"/>
        <v>#NAME?</v>
      </c>
    </row>
    <row r="20" spans="1:15" x14ac:dyDescent="0.35">
      <c r="A20" s="7" t="s">
        <v>321</v>
      </c>
      <c r="B20" s="7" t="s">
        <v>322</v>
      </c>
      <c r="C20" s="8" t="e">
        <f t="shared" ca="1" si="0"/>
        <v>#NAME?</v>
      </c>
      <c r="D20" s="8" t="e">
        <f t="shared" ca="1" si="1"/>
        <v>#NAME?</v>
      </c>
      <c r="E20" s="8" t="e">
        <f t="shared" ca="1" si="2"/>
        <v>#NAME?</v>
      </c>
      <c r="F20" s="8" t="e">
        <f t="shared" ca="1" si="3"/>
        <v>#NAME?</v>
      </c>
      <c r="G20" s="8" t="e">
        <f t="shared" ca="1" si="4"/>
        <v>#NAME?</v>
      </c>
      <c r="H20" s="8" t="e">
        <f t="shared" ca="1" si="5"/>
        <v>#NAME?</v>
      </c>
      <c r="I20" s="8" t="e">
        <f t="shared" ca="1" si="6"/>
        <v>#NAME?</v>
      </c>
      <c r="J20" s="8" t="e">
        <f t="shared" ca="1" si="7"/>
        <v>#NAME?</v>
      </c>
      <c r="K20" s="8" t="e">
        <f t="shared" ca="1" si="8"/>
        <v>#NAME?</v>
      </c>
      <c r="L20" s="8" t="e">
        <f t="shared" ca="1" si="9"/>
        <v>#NAME?</v>
      </c>
      <c r="M20" s="8" t="e">
        <f t="shared" ca="1" si="10"/>
        <v>#NAME?</v>
      </c>
      <c r="N20" s="8" t="e">
        <f t="shared" ca="1" si="11"/>
        <v>#NAME?</v>
      </c>
      <c r="O20" s="9" t="e">
        <f t="shared" ca="1" si="12"/>
        <v>#NAME?</v>
      </c>
    </row>
    <row r="21" spans="1:15" x14ac:dyDescent="0.35">
      <c r="A21" s="7" t="s">
        <v>323</v>
      </c>
      <c r="B21" s="7" t="s">
        <v>324</v>
      </c>
      <c r="C21" s="8" t="e">
        <f t="shared" ca="1" si="0"/>
        <v>#NAME?</v>
      </c>
      <c r="D21" s="8" t="e">
        <f t="shared" ca="1" si="1"/>
        <v>#NAME?</v>
      </c>
      <c r="E21" s="8" t="e">
        <f t="shared" ca="1" si="2"/>
        <v>#NAME?</v>
      </c>
      <c r="F21" s="8" t="e">
        <f t="shared" ca="1" si="3"/>
        <v>#NAME?</v>
      </c>
      <c r="G21" s="8" t="e">
        <f t="shared" ca="1" si="4"/>
        <v>#NAME?</v>
      </c>
      <c r="H21" s="8" t="e">
        <f t="shared" ca="1" si="5"/>
        <v>#NAME?</v>
      </c>
      <c r="I21" s="8" t="e">
        <f t="shared" ca="1" si="6"/>
        <v>#NAME?</v>
      </c>
      <c r="J21" s="8" t="e">
        <f t="shared" ca="1" si="7"/>
        <v>#NAME?</v>
      </c>
      <c r="K21" s="8" t="e">
        <f t="shared" ca="1" si="8"/>
        <v>#NAME?</v>
      </c>
      <c r="L21" s="8" t="e">
        <f t="shared" ca="1" si="9"/>
        <v>#NAME?</v>
      </c>
      <c r="M21" s="8" t="e">
        <f t="shared" ca="1" si="10"/>
        <v>#NAME?</v>
      </c>
      <c r="N21" s="8" t="e">
        <f t="shared" ca="1" si="11"/>
        <v>#NAME?</v>
      </c>
      <c r="O21" s="9" t="e">
        <f t="shared" ca="1" si="12"/>
        <v>#NAME?</v>
      </c>
    </row>
    <row r="22" spans="1:15" x14ac:dyDescent="0.35">
      <c r="A22" s="7" t="s">
        <v>138</v>
      </c>
      <c r="B22" s="7" t="s">
        <v>139</v>
      </c>
      <c r="C22" s="8" t="e">
        <f t="shared" ca="1" si="0"/>
        <v>#NAME?</v>
      </c>
      <c r="D22" s="8" t="e">
        <f t="shared" ca="1" si="1"/>
        <v>#NAME?</v>
      </c>
      <c r="E22" s="8" t="e">
        <f t="shared" ca="1" si="2"/>
        <v>#NAME?</v>
      </c>
      <c r="F22" s="8" t="e">
        <f t="shared" ca="1" si="3"/>
        <v>#NAME?</v>
      </c>
      <c r="G22" s="8" t="e">
        <f t="shared" ca="1" si="4"/>
        <v>#NAME?</v>
      </c>
      <c r="H22" s="8" t="e">
        <f t="shared" ca="1" si="5"/>
        <v>#NAME?</v>
      </c>
      <c r="I22" s="8" t="e">
        <f t="shared" ca="1" si="6"/>
        <v>#NAME?</v>
      </c>
      <c r="J22" s="8" t="e">
        <f t="shared" ca="1" si="7"/>
        <v>#NAME?</v>
      </c>
      <c r="K22" s="8" t="e">
        <f t="shared" ca="1" si="8"/>
        <v>#NAME?</v>
      </c>
      <c r="L22" s="8" t="e">
        <f t="shared" ca="1" si="9"/>
        <v>#NAME?</v>
      </c>
      <c r="M22" s="8" t="e">
        <f t="shared" ca="1" si="10"/>
        <v>#NAME?</v>
      </c>
      <c r="N22" s="8" t="e">
        <f t="shared" ca="1" si="11"/>
        <v>#NAME?</v>
      </c>
      <c r="O22" s="9" t="e">
        <f t="shared" ca="1" si="12"/>
        <v>#NAME?</v>
      </c>
    </row>
    <row r="23" spans="1:15" x14ac:dyDescent="0.35">
      <c r="B23" s="10" t="s">
        <v>57</v>
      </c>
      <c r="C23" s="11" t="e">
        <f t="shared" ref="C23:O23" ca="1" si="13">SUM(C11:C22)</f>
        <v>#NAME?</v>
      </c>
      <c r="D23" s="11" t="e">
        <f t="shared" ca="1" si="13"/>
        <v>#NAME?</v>
      </c>
      <c r="E23" s="11" t="e">
        <f t="shared" ca="1" si="13"/>
        <v>#NAME?</v>
      </c>
      <c r="F23" s="11" t="e">
        <f t="shared" ca="1" si="13"/>
        <v>#NAME?</v>
      </c>
      <c r="G23" s="11" t="e">
        <f t="shared" ca="1" si="13"/>
        <v>#NAME?</v>
      </c>
      <c r="H23" s="11" t="e">
        <f t="shared" ca="1" si="13"/>
        <v>#NAME?</v>
      </c>
      <c r="I23" s="11" t="e">
        <f t="shared" ca="1" si="13"/>
        <v>#NAME?</v>
      </c>
      <c r="J23" s="11" t="e">
        <f t="shared" ca="1" si="13"/>
        <v>#NAME?</v>
      </c>
      <c r="K23" s="11" t="e">
        <f t="shared" ca="1" si="13"/>
        <v>#NAME?</v>
      </c>
      <c r="L23" s="11" t="e">
        <f t="shared" ca="1" si="13"/>
        <v>#NAME?</v>
      </c>
      <c r="M23" s="11" t="e">
        <f t="shared" ca="1" si="13"/>
        <v>#NAME?</v>
      </c>
      <c r="N23" s="11" t="e">
        <f t="shared" ca="1" si="13"/>
        <v>#NAME?</v>
      </c>
      <c r="O23" s="11" t="e">
        <f t="shared" ca="1" si="13"/>
        <v>#NAME?</v>
      </c>
    </row>
    <row r="25" spans="1:15" ht="15.5" x14ac:dyDescent="0.35">
      <c r="A25" s="4" t="s">
        <v>58</v>
      </c>
    </row>
    <row r="26" spans="1:15" x14ac:dyDescent="0.35">
      <c r="A26" s="6" t="s">
        <v>19</v>
      </c>
      <c r="B26" s="6" t="s">
        <v>20</v>
      </c>
      <c r="C26" s="6" t="s">
        <v>21</v>
      </c>
      <c r="D26" s="6" t="s">
        <v>22</v>
      </c>
      <c r="E26" s="6" t="s">
        <v>23</v>
      </c>
      <c r="F26" s="6" t="s">
        <v>24</v>
      </c>
      <c r="G26" s="6" t="s">
        <v>25</v>
      </c>
      <c r="H26" s="6" t="s">
        <v>26</v>
      </c>
      <c r="I26" s="6" t="s">
        <v>27</v>
      </c>
      <c r="J26" s="6" t="s">
        <v>28</v>
      </c>
      <c r="K26" s="6" t="s">
        <v>29</v>
      </c>
      <c r="L26" s="6" t="s">
        <v>30</v>
      </c>
      <c r="M26" s="6" t="s">
        <v>31</v>
      </c>
      <c r="N26" s="6" t="s">
        <v>32</v>
      </c>
    </row>
    <row r="27" spans="1:15" x14ac:dyDescent="0.35">
      <c r="A27" s="7" t="s">
        <v>256</v>
      </c>
      <c r="B27" s="7" t="s">
        <v>257</v>
      </c>
      <c r="C27" s="8" t="e">
        <f t="shared" ref="C27:C32" ca="1" si="14">EPM($B$5,$B$6,1,A27,"period_net_amount",$B$7)</f>
        <v>#NAME?</v>
      </c>
      <c r="D27" s="8" t="e">
        <f t="shared" ref="D27:D32" ca="1" si="15">EPM($B$5,$B$6,2,A27,"period_net_amount",$B$7)</f>
        <v>#NAME?</v>
      </c>
      <c r="E27" s="8" t="e">
        <f t="shared" ref="E27:E32" ca="1" si="16">EPM($B$5,$B$6,3,A27,"period_net_amount",$B$7)</f>
        <v>#NAME?</v>
      </c>
      <c r="F27" s="8" t="e">
        <f t="shared" ref="F27:F32" ca="1" si="17">EPM($B$5,$B$6,4,A27,"period_net_amount",$B$7)</f>
        <v>#NAME?</v>
      </c>
      <c r="G27" s="8" t="e">
        <f t="shared" ref="G27:G32" ca="1" si="18">EPM($B$5,$B$6,5,A27,"period_net_amount",$B$7)</f>
        <v>#NAME?</v>
      </c>
      <c r="H27" s="8" t="e">
        <f t="shared" ref="H27:H32" ca="1" si="19">EPM($B$5,$B$6,6,A27,"period_net_amount",$B$7)</f>
        <v>#NAME?</v>
      </c>
      <c r="I27" s="8" t="e">
        <f t="shared" ref="I27:I32" ca="1" si="20">EPM($B$5,$B$6,7,A27,"period_net_amount",$B$7)</f>
        <v>#NAME?</v>
      </c>
      <c r="J27" s="8" t="e">
        <f t="shared" ref="J27:J32" ca="1" si="21">EPM($B$5,$B$6,8,A27,"period_net_amount",$B$7)</f>
        <v>#NAME?</v>
      </c>
      <c r="K27" s="8" t="e">
        <f t="shared" ref="K27:K32" ca="1" si="22">EPM($B$5,$B$6,9,A27,"period_net_amount",$B$7)</f>
        <v>#NAME?</v>
      </c>
      <c r="L27" s="8" t="e">
        <f t="shared" ref="L27:L32" ca="1" si="23">EPM($B$5,$B$6,10,A27,"period_net_amount",$B$7)</f>
        <v>#NAME?</v>
      </c>
      <c r="M27" s="8" t="e">
        <f t="shared" ref="M27:M32" ca="1" si="24">EPM($B$5,$B$6,11,A27,"period_net_amount",$B$7)</f>
        <v>#NAME?</v>
      </c>
      <c r="N27" s="8" t="e">
        <f t="shared" ref="N27:N32" ca="1" si="25">EPM($B$5,$B$6,12,A27,"period_net_amount",$B$7)</f>
        <v>#NAME?</v>
      </c>
    </row>
    <row r="28" spans="1:15" x14ac:dyDescent="0.35">
      <c r="A28" s="7" t="s">
        <v>152</v>
      </c>
      <c r="B28" s="7" t="s">
        <v>153</v>
      </c>
      <c r="C28" s="8" t="e">
        <f t="shared" ca="1" si="14"/>
        <v>#NAME?</v>
      </c>
      <c r="D28" s="8" t="e">
        <f t="shared" ca="1" si="15"/>
        <v>#NAME?</v>
      </c>
      <c r="E28" s="8" t="e">
        <f t="shared" ca="1" si="16"/>
        <v>#NAME?</v>
      </c>
      <c r="F28" s="8" t="e">
        <f t="shared" ca="1" si="17"/>
        <v>#NAME?</v>
      </c>
      <c r="G28" s="8" t="e">
        <f t="shared" ca="1" si="18"/>
        <v>#NAME?</v>
      </c>
      <c r="H28" s="8" t="e">
        <f t="shared" ca="1" si="19"/>
        <v>#NAME?</v>
      </c>
      <c r="I28" s="8" t="e">
        <f t="shared" ca="1" si="20"/>
        <v>#NAME?</v>
      </c>
      <c r="J28" s="8" t="e">
        <f t="shared" ca="1" si="21"/>
        <v>#NAME?</v>
      </c>
      <c r="K28" s="8" t="e">
        <f t="shared" ca="1" si="22"/>
        <v>#NAME?</v>
      </c>
      <c r="L28" s="8" t="e">
        <f t="shared" ca="1" si="23"/>
        <v>#NAME?</v>
      </c>
      <c r="M28" s="8" t="e">
        <f t="shared" ca="1" si="24"/>
        <v>#NAME?</v>
      </c>
      <c r="N28" s="8" t="e">
        <f t="shared" ca="1" si="25"/>
        <v>#NAME?</v>
      </c>
    </row>
    <row r="29" spans="1:15" x14ac:dyDescent="0.35">
      <c r="A29" s="7" t="s">
        <v>150</v>
      </c>
      <c r="B29" s="7" t="s">
        <v>151</v>
      </c>
      <c r="C29" s="8" t="e">
        <f t="shared" ca="1" si="14"/>
        <v>#NAME?</v>
      </c>
      <c r="D29" s="8" t="e">
        <f t="shared" ca="1" si="15"/>
        <v>#NAME?</v>
      </c>
      <c r="E29" s="8" t="e">
        <f t="shared" ca="1" si="16"/>
        <v>#NAME?</v>
      </c>
      <c r="F29" s="8" t="e">
        <f t="shared" ca="1" si="17"/>
        <v>#NAME?</v>
      </c>
      <c r="G29" s="8" t="e">
        <f t="shared" ca="1" si="18"/>
        <v>#NAME?</v>
      </c>
      <c r="H29" s="8" t="e">
        <f t="shared" ca="1" si="19"/>
        <v>#NAME?</v>
      </c>
      <c r="I29" s="8" t="e">
        <f t="shared" ca="1" si="20"/>
        <v>#NAME?</v>
      </c>
      <c r="J29" s="8" t="e">
        <f t="shared" ca="1" si="21"/>
        <v>#NAME?</v>
      </c>
      <c r="K29" s="8" t="e">
        <f t="shared" ca="1" si="22"/>
        <v>#NAME?</v>
      </c>
      <c r="L29" s="8" t="e">
        <f t="shared" ca="1" si="23"/>
        <v>#NAME?</v>
      </c>
      <c r="M29" s="8" t="e">
        <f t="shared" ca="1" si="24"/>
        <v>#NAME?</v>
      </c>
      <c r="N29" s="8" t="e">
        <f t="shared" ca="1" si="25"/>
        <v>#NAME?</v>
      </c>
    </row>
    <row r="30" spans="1:15" x14ac:dyDescent="0.35">
      <c r="A30" s="7" t="s">
        <v>156</v>
      </c>
      <c r="B30" s="7" t="s">
        <v>325</v>
      </c>
      <c r="C30" s="8" t="e">
        <f t="shared" ca="1" si="14"/>
        <v>#NAME?</v>
      </c>
      <c r="D30" s="8" t="e">
        <f t="shared" ca="1" si="15"/>
        <v>#NAME?</v>
      </c>
      <c r="E30" s="8" t="e">
        <f t="shared" ca="1" si="16"/>
        <v>#NAME?</v>
      </c>
      <c r="F30" s="8" t="e">
        <f t="shared" ca="1" si="17"/>
        <v>#NAME?</v>
      </c>
      <c r="G30" s="8" t="e">
        <f t="shared" ca="1" si="18"/>
        <v>#NAME?</v>
      </c>
      <c r="H30" s="8" t="e">
        <f t="shared" ca="1" si="19"/>
        <v>#NAME?</v>
      </c>
      <c r="I30" s="8" t="e">
        <f t="shared" ca="1" si="20"/>
        <v>#NAME?</v>
      </c>
      <c r="J30" s="8" t="e">
        <f t="shared" ca="1" si="21"/>
        <v>#NAME?</v>
      </c>
      <c r="K30" s="8" t="e">
        <f t="shared" ca="1" si="22"/>
        <v>#NAME?</v>
      </c>
      <c r="L30" s="8" t="e">
        <f t="shared" ca="1" si="23"/>
        <v>#NAME?</v>
      </c>
      <c r="M30" s="8" t="e">
        <f t="shared" ca="1" si="24"/>
        <v>#NAME?</v>
      </c>
      <c r="N30" s="8" t="e">
        <f t="shared" ca="1" si="25"/>
        <v>#NAME?</v>
      </c>
    </row>
    <row r="31" spans="1:15" x14ac:dyDescent="0.35">
      <c r="A31" s="7" t="s">
        <v>326</v>
      </c>
      <c r="B31" s="7" t="s">
        <v>327</v>
      </c>
      <c r="C31" s="8" t="e">
        <f t="shared" ca="1" si="14"/>
        <v>#NAME?</v>
      </c>
      <c r="D31" s="8" t="e">
        <f t="shared" ca="1" si="15"/>
        <v>#NAME?</v>
      </c>
      <c r="E31" s="8" t="e">
        <f t="shared" ca="1" si="16"/>
        <v>#NAME?</v>
      </c>
      <c r="F31" s="8" t="e">
        <f t="shared" ca="1" si="17"/>
        <v>#NAME?</v>
      </c>
      <c r="G31" s="8" t="e">
        <f t="shared" ca="1" si="18"/>
        <v>#NAME?</v>
      </c>
      <c r="H31" s="8" t="e">
        <f t="shared" ca="1" si="19"/>
        <v>#NAME?</v>
      </c>
      <c r="I31" s="8" t="e">
        <f t="shared" ca="1" si="20"/>
        <v>#NAME?</v>
      </c>
      <c r="J31" s="8" t="e">
        <f t="shared" ca="1" si="21"/>
        <v>#NAME?</v>
      </c>
      <c r="K31" s="8" t="e">
        <f t="shared" ca="1" si="22"/>
        <v>#NAME?</v>
      </c>
      <c r="L31" s="8" t="e">
        <f t="shared" ca="1" si="23"/>
        <v>#NAME?</v>
      </c>
      <c r="M31" s="8" t="e">
        <f t="shared" ca="1" si="24"/>
        <v>#NAME?</v>
      </c>
      <c r="N31" s="8" t="e">
        <f t="shared" ca="1" si="25"/>
        <v>#NAME?</v>
      </c>
    </row>
    <row r="32" spans="1:15" x14ac:dyDescent="0.35">
      <c r="A32" s="7" t="s">
        <v>154</v>
      </c>
      <c r="B32" s="7" t="s">
        <v>155</v>
      </c>
      <c r="C32" s="8" t="e">
        <f t="shared" ca="1" si="14"/>
        <v>#NAME?</v>
      </c>
      <c r="D32" s="8" t="e">
        <f t="shared" ca="1" si="15"/>
        <v>#NAME?</v>
      </c>
      <c r="E32" s="8" t="e">
        <f t="shared" ca="1" si="16"/>
        <v>#NAME?</v>
      </c>
      <c r="F32" s="8" t="e">
        <f t="shared" ca="1" si="17"/>
        <v>#NAME?</v>
      </c>
      <c r="G32" s="8" t="e">
        <f t="shared" ca="1" si="18"/>
        <v>#NAME?</v>
      </c>
      <c r="H32" s="8" t="e">
        <f t="shared" ca="1" si="19"/>
        <v>#NAME?</v>
      </c>
      <c r="I32" s="8" t="e">
        <f t="shared" ca="1" si="20"/>
        <v>#NAME?</v>
      </c>
      <c r="J32" s="8" t="e">
        <f t="shared" ca="1" si="21"/>
        <v>#NAME?</v>
      </c>
      <c r="K32" s="8" t="e">
        <f t="shared" ca="1" si="22"/>
        <v>#NAME?</v>
      </c>
      <c r="L32" s="8" t="e">
        <f t="shared" ca="1" si="23"/>
        <v>#NAME?</v>
      </c>
      <c r="M32" s="8" t="e">
        <f t="shared" ca="1" si="24"/>
        <v>#NAME?</v>
      </c>
      <c r="N32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6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328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329</v>
      </c>
    </row>
    <row r="6" spans="1:15" x14ac:dyDescent="0.35">
      <c r="A6" s="2" t="s">
        <v>15</v>
      </c>
      <c r="B6" s="5">
        <v>2026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330</v>
      </c>
      <c r="B11" s="7" t="s">
        <v>331</v>
      </c>
      <c r="C11" s="8" t="e">
        <f ca="1">EPM($B$5,$B$6,1,A11,"period_net_amount",$B$7)</f>
        <v>#NAME?</v>
      </c>
      <c r="D11" s="8" t="e">
        <f ca="1">EPM($B$5,$B$6,2,A11,"period_net_amount",$B$7)</f>
        <v>#NAME?</v>
      </c>
      <c r="E11" s="8" t="e">
        <f ca="1">EPM($B$5,$B$6,3,A11,"period_net_amount",$B$7)</f>
        <v>#NAME?</v>
      </c>
      <c r="F11" s="8" t="e">
        <f ca="1">EPM($B$5,$B$6,4,A11,"period_net_amount",$B$7)</f>
        <v>#NAME?</v>
      </c>
      <c r="G11" s="8" t="e">
        <f ca="1">EPM($B$5,$B$6,5,A11,"period_net_amount",$B$7)</f>
        <v>#NAME?</v>
      </c>
      <c r="H11" s="8" t="e">
        <f ca="1">EPM($B$5,$B$6,6,A11,"period_net_amount",$B$7)</f>
        <v>#NAME?</v>
      </c>
      <c r="I11" s="8" t="e">
        <f ca="1">EPM($B$5,$B$6,7,A11,"period_net_amount",$B$7)</f>
        <v>#NAME?</v>
      </c>
      <c r="J11" s="8" t="e">
        <f ca="1">EPM($B$5,$B$6,8,A11,"period_net_amount",$B$7)</f>
        <v>#NAME?</v>
      </c>
      <c r="K11" s="8" t="e">
        <f ca="1">EPM($B$5,$B$6,9,A11,"period_net_amount",$B$7)</f>
        <v>#NAME?</v>
      </c>
      <c r="L11" s="8" t="e">
        <f ca="1">EPM($B$5,$B$6,10,A11,"period_net_amount",$B$7)</f>
        <v>#NAME?</v>
      </c>
      <c r="M11" s="8" t="e">
        <f ca="1">EPM($B$5,$B$6,11,A11,"period_net_amount",$B$7)</f>
        <v>#NAME?</v>
      </c>
      <c r="N11" s="8" t="e">
        <f ca="1">EPM($B$5,$B$6,12,A11,"period_net_amount",$B$7)</f>
        <v>#NAME?</v>
      </c>
      <c r="O11" s="9" t="e">
        <f ca="1">SUM(C11:N11)</f>
        <v>#NAME?</v>
      </c>
    </row>
    <row r="12" spans="1:15" x14ac:dyDescent="0.35">
      <c r="A12" s="7" t="s">
        <v>332</v>
      </c>
      <c r="B12" s="7" t="s">
        <v>333</v>
      </c>
      <c r="C12" s="8" t="e">
        <f ca="1">EPM($B$5,$B$6,1,A12,"period_net_amount",$B$7)</f>
        <v>#NAME?</v>
      </c>
      <c r="D12" s="8" t="e">
        <f ca="1">EPM($B$5,$B$6,2,A12,"period_net_amount",$B$7)</f>
        <v>#NAME?</v>
      </c>
      <c r="E12" s="8" t="e">
        <f ca="1">EPM($B$5,$B$6,3,A12,"period_net_amount",$B$7)</f>
        <v>#NAME?</v>
      </c>
      <c r="F12" s="8" t="e">
        <f ca="1">EPM($B$5,$B$6,4,A12,"period_net_amount",$B$7)</f>
        <v>#NAME?</v>
      </c>
      <c r="G12" s="8" t="e">
        <f ca="1">EPM($B$5,$B$6,5,A12,"period_net_amount",$B$7)</f>
        <v>#NAME?</v>
      </c>
      <c r="H12" s="8" t="e">
        <f ca="1">EPM($B$5,$B$6,6,A12,"period_net_amount",$B$7)</f>
        <v>#NAME?</v>
      </c>
      <c r="I12" s="8" t="e">
        <f ca="1">EPM($B$5,$B$6,7,A12,"period_net_amount",$B$7)</f>
        <v>#NAME?</v>
      </c>
      <c r="J12" s="8" t="e">
        <f ca="1">EPM($B$5,$B$6,8,A12,"period_net_amount",$B$7)</f>
        <v>#NAME?</v>
      </c>
      <c r="K12" s="8" t="e">
        <f ca="1">EPM($B$5,$B$6,9,A12,"period_net_amount",$B$7)</f>
        <v>#NAME?</v>
      </c>
      <c r="L12" s="8" t="e">
        <f ca="1">EPM($B$5,$B$6,10,A12,"period_net_amount",$B$7)</f>
        <v>#NAME?</v>
      </c>
      <c r="M12" s="8" t="e">
        <f ca="1">EPM($B$5,$B$6,11,A12,"period_net_amount",$B$7)</f>
        <v>#NAME?</v>
      </c>
      <c r="N12" s="8" t="e">
        <f ca="1">EPM($B$5,$B$6,12,A12,"period_net_amount",$B$7)</f>
        <v>#NAME?</v>
      </c>
      <c r="O12" s="9" t="e">
        <f ca="1">SUM(C12:N12)</f>
        <v>#NAME?</v>
      </c>
    </row>
    <row r="13" spans="1:15" x14ac:dyDescent="0.35">
      <c r="A13" s="7" t="s">
        <v>334</v>
      </c>
      <c r="B13" s="7" t="s">
        <v>335</v>
      </c>
      <c r="C13" s="8" t="e">
        <f ca="1">EPM($B$5,$B$6,1,A13,"period_net_amount",$B$7)</f>
        <v>#NAME?</v>
      </c>
      <c r="D13" s="8" t="e">
        <f ca="1">EPM($B$5,$B$6,2,A13,"period_net_amount",$B$7)</f>
        <v>#NAME?</v>
      </c>
      <c r="E13" s="8" t="e">
        <f ca="1">EPM($B$5,$B$6,3,A13,"period_net_amount",$B$7)</f>
        <v>#NAME?</v>
      </c>
      <c r="F13" s="8" t="e">
        <f ca="1">EPM($B$5,$B$6,4,A13,"period_net_amount",$B$7)</f>
        <v>#NAME?</v>
      </c>
      <c r="G13" s="8" t="e">
        <f ca="1">EPM($B$5,$B$6,5,A13,"period_net_amount",$B$7)</f>
        <v>#NAME?</v>
      </c>
      <c r="H13" s="8" t="e">
        <f ca="1">EPM($B$5,$B$6,6,A13,"period_net_amount",$B$7)</f>
        <v>#NAME?</v>
      </c>
      <c r="I13" s="8" t="e">
        <f ca="1">EPM($B$5,$B$6,7,A13,"period_net_amount",$B$7)</f>
        <v>#NAME?</v>
      </c>
      <c r="J13" s="8" t="e">
        <f ca="1">EPM($B$5,$B$6,8,A13,"period_net_amount",$B$7)</f>
        <v>#NAME?</v>
      </c>
      <c r="K13" s="8" t="e">
        <f ca="1">EPM($B$5,$B$6,9,A13,"period_net_amount",$B$7)</f>
        <v>#NAME?</v>
      </c>
      <c r="L13" s="8" t="e">
        <f ca="1">EPM($B$5,$B$6,10,A13,"period_net_amount",$B$7)</f>
        <v>#NAME?</v>
      </c>
      <c r="M13" s="8" t="e">
        <f ca="1">EPM($B$5,$B$6,11,A13,"period_net_amount",$B$7)</f>
        <v>#NAME?</v>
      </c>
      <c r="N13" s="8" t="e">
        <f ca="1">EPM($B$5,$B$6,12,A13,"period_net_amount",$B$7)</f>
        <v>#NAME?</v>
      </c>
      <c r="O13" s="9" t="e">
        <f ca="1">SUM(C13:N13)</f>
        <v>#NAME?</v>
      </c>
    </row>
    <row r="14" spans="1:15" x14ac:dyDescent="0.35">
      <c r="A14" s="7" t="s">
        <v>336</v>
      </c>
      <c r="B14" s="7" t="s">
        <v>337</v>
      </c>
      <c r="C14" s="8" t="e">
        <f ca="1">EPM($B$5,$B$6,1,A14,"period_net_amount",$B$7)</f>
        <v>#NAME?</v>
      </c>
      <c r="D14" s="8" t="e">
        <f ca="1">EPM($B$5,$B$6,2,A14,"period_net_amount",$B$7)</f>
        <v>#NAME?</v>
      </c>
      <c r="E14" s="8" t="e">
        <f ca="1">EPM($B$5,$B$6,3,A14,"period_net_amount",$B$7)</f>
        <v>#NAME?</v>
      </c>
      <c r="F14" s="8" t="e">
        <f ca="1">EPM($B$5,$B$6,4,A14,"period_net_amount",$B$7)</f>
        <v>#NAME?</v>
      </c>
      <c r="G14" s="8" t="e">
        <f ca="1">EPM($B$5,$B$6,5,A14,"period_net_amount",$B$7)</f>
        <v>#NAME?</v>
      </c>
      <c r="H14" s="8" t="e">
        <f ca="1">EPM($B$5,$B$6,6,A14,"period_net_amount",$B$7)</f>
        <v>#NAME?</v>
      </c>
      <c r="I14" s="8" t="e">
        <f ca="1">EPM($B$5,$B$6,7,A14,"period_net_amount",$B$7)</f>
        <v>#NAME?</v>
      </c>
      <c r="J14" s="8" t="e">
        <f ca="1">EPM($B$5,$B$6,8,A14,"period_net_amount",$B$7)</f>
        <v>#NAME?</v>
      </c>
      <c r="K14" s="8" t="e">
        <f ca="1">EPM($B$5,$B$6,9,A14,"period_net_amount",$B$7)</f>
        <v>#NAME?</v>
      </c>
      <c r="L14" s="8" t="e">
        <f ca="1">EPM($B$5,$B$6,10,A14,"period_net_amount",$B$7)</f>
        <v>#NAME?</v>
      </c>
      <c r="M14" s="8" t="e">
        <f ca="1">EPM($B$5,$B$6,11,A14,"period_net_amount",$B$7)</f>
        <v>#NAME?</v>
      </c>
      <c r="N14" s="8" t="e">
        <f ca="1">EPM($B$5,$B$6,12,A14,"period_net_amount",$B$7)</f>
        <v>#NAME?</v>
      </c>
      <c r="O14" s="9" t="e">
        <f ca="1">SUM(C14:N14)</f>
        <v>#NAME?</v>
      </c>
    </row>
    <row r="15" spans="1:15" x14ac:dyDescent="0.35">
      <c r="A15" s="7" t="s">
        <v>338</v>
      </c>
      <c r="B15" s="7" t="s">
        <v>339</v>
      </c>
      <c r="C15" s="8" t="e">
        <f ca="1">EPM($B$5,$B$6,1,A15,"period_net_amount",$B$7)</f>
        <v>#NAME?</v>
      </c>
      <c r="D15" s="8" t="e">
        <f ca="1">EPM($B$5,$B$6,2,A15,"period_net_amount",$B$7)</f>
        <v>#NAME?</v>
      </c>
      <c r="E15" s="8" t="e">
        <f ca="1">EPM($B$5,$B$6,3,A15,"period_net_amount",$B$7)</f>
        <v>#NAME?</v>
      </c>
      <c r="F15" s="8" t="e">
        <f ca="1">EPM($B$5,$B$6,4,A15,"period_net_amount",$B$7)</f>
        <v>#NAME?</v>
      </c>
      <c r="G15" s="8" t="e">
        <f ca="1">EPM($B$5,$B$6,5,A15,"period_net_amount",$B$7)</f>
        <v>#NAME?</v>
      </c>
      <c r="H15" s="8" t="e">
        <f ca="1">EPM($B$5,$B$6,6,A15,"period_net_amount",$B$7)</f>
        <v>#NAME?</v>
      </c>
      <c r="I15" s="8" t="e">
        <f ca="1">EPM($B$5,$B$6,7,A15,"period_net_amount",$B$7)</f>
        <v>#NAME?</v>
      </c>
      <c r="J15" s="8" t="e">
        <f ca="1">EPM($B$5,$B$6,8,A15,"period_net_amount",$B$7)</f>
        <v>#NAME?</v>
      </c>
      <c r="K15" s="8" t="e">
        <f ca="1">EPM($B$5,$B$6,9,A15,"period_net_amount",$B$7)</f>
        <v>#NAME?</v>
      </c>
      <c r="L15" s="8" t="e">
        <f ca="1">EPM($B$5,$B$6,10,A15,"period_net_amount",$B$7)</f>
        <v>#NAME?</v>
      </c>
      <c r="M15" s="8" t="e">
        <f ca="1">EPM($B$5,$B$6,11,A15,"period_net_amount",$B$7)</f>
        <v>#NAME?</v>
      </c>
      <c r="N15" s="8" t="e">
        <f ca="1">EPM($B$5,$B$6,12,A15,"period_net_amount",$B$7)</f>
        <v>#NAME?</v>
      </c>
      <c r="O15" s="9" t="e">
        <f ca="1">SUM(C15:N15)</f>
        <v>#NAME?</v>
      </c>
    </row>
    <row r="16" spans="1:15" x14ac:dyDescent="0.35">
      <c r="B16" s="10" t="s">
        <v>57</v>
      </c>
      <c r="C16" s="11" t="e">
        <f t="shared" ref="C16:O16" ca="1" si="0">SUM(C11:C15)</f>
        <v>#NAME?</v>
      </c>
      <c r="D16" s="11" t="e">
        <f t="shared" ca="1" si="0"/>
        <v>#NAME?</v>
      </c>
      <c r="E16" s="11" t="e">
        <f t="shared" ca="1" si="0"/>
        <v>#NAME?</v>
      </c>
      <c r="F16" s="11" t="e">
        <f t="shared" ca="1" si="0"/>
        <v>#NAME?</v>
      </c>
      <c r="G16" s="11" t="e">
        <f t="shared" ca="1" si="0"/>
        <v>#NAME?</v>
      </c>
      <c r="H16" s="11" t="e">
        <f t="shared" ca="1" si="0"/>
        <v>#NAME?</v>
      </c>
      <c r="I16" s="11" t="e">
        <f t="shared" ca="1" si="0"/>
        <v>#NAME?</v>
      </c>
      <c r="J16" s="11" t="e">
        <f t="shared" ca="1" si="0"/>
        <v>#NAME?</v>
      </c>
      <c r="K16" s="11" t="e">
        <f t="shared" ca="1" si="0"/>
        <v>#NAME?</v>
      </c>
      <c r="L16" s="11" t="e">
        <f t="shared" ca="1" si="0"/>
        <v>#NAME?</v>
      </c>
      <c r="M16" s="11" t="e">
        <f t="shared" ca="1" si="0"/>
        <v>#NAME?</v>
      </c>
      <c r="N16" s="11" t="e">
        <f t="shared" ca="1" si="0"/>
        <v>#NAME?</v>
      </c>
      <c r="O16" s="11" t="e">
        <f t="shared" ca="1" si="0"/>
        <v>#NAME?</v>
      </c>
    </row>
  </sheetData>
  <mergeCells count="1">
    <mergeCell ref="A1:O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30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340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341</v>
      </c>
    </row>
    <row r="6" spans="1:15" x14ac:dyDescent="0.35">
      <c r="A6" s="2" t="s">
        <v>15</v>
      </c>
      <c r="B6" s="5">
        <v>2016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342</v>
      </c>
      <c r="B11" s="7" t="s">
        <v>343</v>
      </c>
      <c r="C11" s="8" t="e">
        <f t="shared" ref="C11:C20" ca="1" si="0">EPM($B$5,$B$6,1,A11,"period_net_amount",$B$7)</f>
        <v>#NAME?</v>
      </c>
      <c r="D11" s="8" t="e">
        <f t="shared" ref="D11:D20" ca="1" si="1">EPM($B$5,$B$6,2,A11,"period_net_amount",$B$7)</f>
        <v>#NAME?</v>
      </c>
      <c r="E11" s="8" t="e">
        <f t="shared" ref="E11:E20" ca="1" si="2">EPM($B$5,$B$6,3,A11,"period_net_amount",$B$7)</f>
        <v>#NAME?</v>
      </c>
      <c r="F11" s="8" t="e">
        <f t="shared" ref="F11:F20" ca="1" si="3">EPM($B$5,$B$6,4,A11,"period_net_amount",$B$7)</f>
        <v>#NAME?</v>
      </c>
      <c r="G11" s="8" t="e">
        <f t="shared" ref="G11:G20" ca="1" si="4">EPM($B$5,$B$6,5,A11,"period_net_amount",$B$7)</f>
        <v>#NAME?</v>
      </c>
      <c r="H11" s="8" t="e">
        <f t="shared" ref="H11:H20" ca="1" si="5">EPM($B$5,$B$6,6,A11,"period_net_amount",$B$7)</f>
        <v>#NAME?</v>
      </c>
      <c r="I11" s="8" t="e">
        <f t="shared" ref="I11:I20" ca="1" si="6">EPM($B$5,$B$6,7,A11,"period_net_amount",$B$7)</f>
        <v>#NAME?</v>
      </c>
      <c r="J11" s="8" t="e">
        <f t="shared" ref="J11:J20" ca="1" si="7">EPM($B$5,$B$6,8,A11,"period_net_amount",$B$7)</f>
        <v>#NAME?</v>
      </c>
      <c r="K11" s="8" t="e">
        <f t="shared" ref="K11:K20" ca="1" si="8">EPM($B$5,$B$6,9,A11,"period_net_amount",$B$7)</f>
        <v>#NAME?</v>
      </c>
      <c r="L11" s="8" t="e">
        <f t="shared" ref="L11:L20" ca="1" si="9">EPM($B$5,$B$6,10,A11,"period_net_amount",$B$7)</f>
        <v>#NAME?</v>
      </c>
      <c r="M11" s="8" t="e">
        <f t="shared" ref="M11:M20" ca="1" si="10">EPM($B$5,$B$6,11,A11,"period_net_amount",$B$7)</f>
        <v>#NAME?</v>
      </c>
      <c r="N11" s="8" t="e">
        <f t="shared" ref="N11:N20" ca="1" si="11">EPM($B$5,$B$6,12,A11,"period_net_amount",$B$7)</f>
        <v>#NAME?</v>
      </c>
      <c r="O11" s="9" t="e">
        <f t="shared" ref="O11:O20" ca="1" si="12">SUM(C11:N11)</f>
        <v>#NAME?</v>
      </c>
    </row>
    <row r="12" spans="1:15" x14ac:dyDescent="0.35">
      <c r="A12" s="7" t="s">
        <v>344</v>
      </c>
      <c r="B12" s="7" t="s">
        <v>345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346</v>
      </c>
      <c r="B13" s="7" t="s">
        <v>347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348</v>
      </c>
      <c r="B14" s="7" t="s">
        <v>349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350</v>
      </c>
      <c r="B15" s="7" t="s">
        <v>351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352</v>
      </c>
      <c r="B16" s="7" t="s">
        <v>353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354</v>
      </c>
      <c r="B17" s="7" t="s">
        <v>355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A18" s="7" t="s">
        <v>356</v>
      </c>
      <c r="B18" s="7" t="s">
        <v>357</v>
      </c>
      <c r="C18" s="8" t="e">
        <f t="shared" ca="1" si="0"/>
        <v>#NAME?</v>
      </c>
      <c r="D18" s="8" t="e">
        <f t="shared" ca="1" si="1"/>
        <v>#NAME?</v>
      </c>
      <c r="E18" s="8" t="e">
        <f t="shared" ca="1" si="2"/>
        <v>#NAME?</v>
      </c>
      <c r="F18" s="8" t="e">
        <f t="shared" ca="1" si="3"/>
        <v>#NAME?</v>
      </c>
      <c r="G18" s="8" t="e">
        <f t="shared" ca="1" si="4"/>
        <v>#NAME?</v>
      </c>
      <c r="H18" s="8" t="e">
        <f t="shared" ca="1" si="5"/>
        <v>#NAME?</v>
      </c>
      <c r="I18" s="8" t="e">
        <f t="shared" ca="1" si="6"/>
        <v>#NAME?</v>
      </c>
      <c r="J18" s="8" t="e">
        <f t="shared" ca="1" si="7"/>
        <v>#NAME?</v>
      </c>
      <c r="K18" s="8" t="e">
        <f t="shared" ca="1" si="8"/>
        <v>#NAME?</v>
      </c>
      <c r="L18" s="8" t="e">
        <f t="shared" ca="1" si="9"/>
        <v>#NAME?</v>
      </c>
      <c r="M18" s="8" t="e">
        <f t="shared" ca="1" si="10"/>
        <v>#NAME?</v>
      </c>
      <c r="N18" s="8" t="e">
        <f t="shared" ca="1" si="11"/>
        <v>#NAME?</v>
      </c>
      <c r="O18" s="9" t="e">
        <f t="shared" ca="1" si="12"/>
        <v>#NAME?</v>
      </c>
    </row>
    <row r="19" spans="1:15" x14ac:dyDescent="0.35">
      <c r="A19" s="7" t="s">
        <v>358</v>
      </c>
      <c r="B19" s="7" t="s">
        <v>359</v>
      </c>
      <c r="C19" s="8" t="e">
        <f t="shared" ca="1" si="0"/>
        <v>#NAME?</v>
      </c>
      <c r="D19" s="8" t="e">
        <f t="shared" ca="1" si="1"/>
        <v>#NAME?</v>
      </c>
      <c r="E19" s="8" t="e">
        <f t="shared" ca="1" si="2"/>
        <v>#NAME?</v>
      </c>
      <c r="F19" s="8" t="e">
        <f t="shared" ca="1" si="3"/>
        <v>#NAME?</v>
      </c>
      <c r="G19" s="8" t="e">
        <f t="shared" ca="1" si="4"/>
        <v>#NAME?</v>
      </c>
      <c r="H19" s="8" t="e">
        <f t="shared" ca="1" si="5"/>
        <v>#NAME?</v>
      </c>
      <c r="I19" s="8" t="e">
        <f t="shared" ca="1" si="6"/>
        <v>#NAME?</v>
      </c>
      <c r="J19" s="8" t="e">
        <f t="shared" ca="1" si="7"/>
        <v>#NAME?</v>
      </c>
      <c r="K19" s="8" t="e">
        <f t="shared" ca="1" si="8"/>
        <v>#NAME?</v>
      </c>
      <c r="L19" s="8" t="e">
        <f t="shared" ca="1" si="9"/>
        <v>#NAME?</v>
      </c>
      <c r="M19" s="8" t="e">
        <f t="shared" ca="1" si="10"/>
        <v>#NAME?</v>
      </c>
      <c r="N19" s="8" t="e">
        <f t="shared" ca="1" si="11"/>
        <v>#NAME?</v>
      </c>
      <c r="O19" s="9" t="e">
        <f t="shared" ca="1" si="12"/>
        <v>#NAME?</v>
      </c>
    </row>
    <row r="20" spans="1:15" x14ac:dyDescent="0.35">
      <c r="A20" s="7" t="s">
        <v>360</v>
      </c>
      <c r="B20" s="7" t="s">
        <v>361</v>
      </c>
      <c r="C20" s="8" t="e">
        <f t="shared" ca="1" si="0"/>
        <v>#NAME?</v>
      </c>
      <c r="D20" s="8" t="e">
        <f t="shared" ca="1" si="1"/>
        <v>#NAME?</v>
      </c>
      <c r="E20" s="8" t="e">
        <f t="shared" ca="1" si="2"/>
        <v>#NAME?</v>
      </c>
      <c r="F20" s="8" t="e">
        <f t="shared" ca="1" si="3"/>
        <v>#NAME?</v>
      </c>
      <c r="G20" s="8" t="e">
        <f t="shared" ca="1" si="4"/>
        <v>#NAME?</v>
      </c>
      <c r="H20" s="8" t="e">
        <f t="shared" ca="1" si="5"/>
        <v>#NAME?</v>
      </c>
      <c r="I20" s="8" t="e">
        <f t="shared" ca="1" si="6"/>
        <v>#NAME?</v>
      </c>
      <c r="J20" s="8" t="e">
        <f t="shared" ca="1" si="7"/>
        <v>#NAME?</v>
      </c>
      <c r="K20" s="8" t="e">
        <f t="shared" ca="1" si="8"/>
        <v>#NAME?</v>
      </c>
      <c r="L20" s="8" t="e">
        <f t="shared" ca="1" si="9"/>
        <v>#NAME?</v>
      </c>
      <c r="M20" s="8" t="e">
        <f t="shared" ca="1" si="10"/>
        <v>#NAME?</v>
      </c>
      <c r="N20" s="8" t="e">
        <f t="shared" ca="1" si="11"/>
        <v>#NAME?</v>
      </c>
      <c r="O20" s="9" t="e">
        <f t="shared" ca="1" si="12"/>
        <v>#NAME?</v>
      </c>
    </row>
    <row r="21" spans="1:15" x14ac:dyDescent="0.35">
      <c r="B21" s="10" t="s">
        <v>57</v>
      </c>
      <c r="C21" s="11" t="e">
        <f t="shared" ref="C21:O21" ca="1" si="13">SUM(C11:C20)</f>
        <v>#NAME?</v>
      </c>
      <c r="D21" s="11" t="e">
        <f t="shared" ca="1" si="13"/>
        <v>#NAME?</v>
      </c>
      <c r="E21" s="11" t="e">
        <f t="shared" ca="1" si="13"/>
        <v>#NAME?</v>
      </c>
      <c r="F21" s="11" t="e">
        <f t="shared" ca="1" si="13"/>
        <v>#NAME?</v>
      </c>
      <c r="G21" s="11" t="e">
        <f t="shared" ca="1" si="13"/>
        <v>#NAME?</v>
      </c>
      <c r="H21" s="11" t="e">
        <f t="shared" ca="1" si="13"/>
        <v>#NAME?</v>
      </c>
      <c r="I21" s="11" t="e">
        <f t="shared" ca="1" si="13"/>
        <v>#NAME?</v>
      </c>
      <c r="J21" s="11" t="e">
        <f t="shared" ca="1" si="13"/>
        <v>#NAME?</v>
      </c>
      <c r="K21" s="11" t="e">
        <f t="shared" ca="1" si="13"/>
        <v>#NAME?</v>
      </c>
      <c r="L21" s="11" t="e">
        <f t="shared" ca="1" si="13"/>
        <v>#NAME?</v>
      </c>
      <c r="M21" s="11" t="e">
        <f t="shared" ca="1" si="13"/>
        <v>#NAME?</v>
      </c>
      <c r="N21" s="11" t="e">
        <f t="shared" ca="1" si="13"/>
        <v>#NAME?</v>
      </c>
      <c r="O21" s="11" t="e">
        <f t="shared" ca="1" si="13"/>
        <v>#NAME?</v>
      </c>
    </row>
    <row r="23" spans="1:15" ht="15.5" x14ac:dyDescent="0.35">
      <c r="A23" s="4" t="s">
        <v>58</v>
      </c>
    </row>
    <row r="24" spans="1:15" x14ac:dyDescent="0.35">
      <c r="A24" s="6" t="s">
        <v>19</v>
      </c>
      <c r="B24" s="6" t="s">
        <v>20</v>
      </c>
      <c r="C24" s="6" t="s">
        <v>21</v>
      </c>
      <c r="D24" s="6" t="s">
        <v>22</v>
      </c>
      <c r="E24" s="6" t="s">
        <v>23</v>
      </c>
      <c r="F24" s="6" t="s">
        <v>24</v>
      </c>
      <c r="G24" s="6" t="s">
        <v>25</v>
      </c>
      <c r="H24" s="6" t="s">
        <v>26</v>
      </c>
      <c r="I24" s="6" t="s">
        <v>27</v>
      </c>
      <c r="J24" s="6" t="s">
        <v>28</v>
      </c>
      <c r="K24" s="6" t="s">
        <v>29</v>
      </c>
      <c r="L24" s="6" t="s">
        <v>30</v>
      </c>
      <c r="M24" s="6" t="s">
        <v>31</v>
      </c>
      <c r="N24" s="6" t="s">
        <v>32</v>
      </c>
    </row>
    <row r="25" spans="1:15" x14ac:dyDescent="0.35">
      <c r="A25" s="7" t="s">
        <v>362</v>
      </c>
      <c r="B25" s="7" t="s">
        <v>363</v>
      </c>
      <c r="C25" s="8" t="e">
        <f t="shared" ref="C25:C30" ca="1" si="14">EPM($B$5,$B$6,1,A25,"period_net_amount",$B$7)</f>
        <v>#NAME?</v>
      </c>
      <c r="D25" s="8" t="e">
        <f t="shared" ref="D25:D30" ca="1" si="15">EPM($B$5,$B$6,2,A25,"period_net_amount",$B$7)</f>
        <v>#NAME?</v>
      </c>
      <c r="E25" s="8" t="e">
        <f t="shared" ref="E25:E30" ca="1" si="16">EPM($B$5,$B$6,3,A25,"period_net_amount",$B$7)</f>
        <v>#NAME?</v>
      </c>
      <c r="F25" s="8" t="e">
        <f t="shared" ref="F25:F30" ca="1" si="17">EPM($B$5,$B$6,4,A25,"period_net_amount",$B$7)</f>
        <v>#NAME?</v>
      </c>
      <c r="G25" s="8" t="e">
        <f t="shared" ref="G25:G30" ca="1" si="18">EPM($B$5,$B$6,5,A25,"period_net_amount",$B$7)</f>
        <v>#NAME?</v>
      </c>
      <c r="H25" s="8" t="e">
        <f t="shared" ref="H25:H30" ca="1" si="19">EPM($B$5,$B$6,6,A25,"period_net_amount",$B$7)</f>
        <v>#NAME?</v>
      </c>
      <c r="I25" s="8" t="e">
        <f t="shared" ref="I25:I30" ca="1" si="20">EPM($B$5,$B$6,7,A25,"period_net_amount",$B$7)</f>
        <v>#NAME?</v>
      </c>
      <c r="J25" s="8" t="e">
        <f t="shared" ref="J25:J30" ca="1" si="21">EPM($B$5,$B$6,8,A25,"period_net_amount",$B$7)</f>
        <v>#NAME?</v>
      </c>
      <c r="K25" s="8" t="e">
        <f t="shared" ref="K25:K30" ca="1" si="22">EPM($B$5,$B$6,9,A25,"period_net_amount",$B$7)</f>
        <v>#NAME?</v>
      </c>
      <c r="L25" s="8" t="e">
        <f t="shared" ref="L25:L30" ca="1" si="23">EPM($B$5,$B$6,10,A25,"period_net_amount",$B$7)</f>
        <v>#NAME?</v>
      </c>
      <c r="M25" s="8" t="e">
        <f t="shared" ref="M25:M30" ca="1" si="24">EPM($B$5,$B$6,11,A25,"period_net_amount",$B$7)</f>
        <v>#NAME?</v>
      </c>
      <c r="N25" s="8" t="e">
        <f t="shared" ref="N25:N30" ca="1" si="25">EPM($B$5,$B$6,12,A25,"period_net_amount",$B$7)</f>
        <v>#NAME?</v>
      </c>
    </row>
    <row r="26" spans="1:15" x14ac:dyDescent="0.35">
      <c r="A26" s="7" t="s">
        <v>364</v>
      </c>
      <c r="B26" s="7" t="s">
        <v>365</v>
      </c>
      <c r="C26" s="8" t="e">
        <f t="shared" ca="1" si="14"/>
        <v>#NAME?</v>
      </c>
      <c r="D26" s="8" t="e">
        <f t="shared" ca="1" si="15"/>
        <v>#NAME?</v>
      </c>
      <c r="E26" s="8" t="e">
        <f t="shared" ca="1" si="16"/>
        <v>#NAME?</v>
      </c>
      <c r="F26" s="8" t="e">
        <f t="shared" ca="1" si="17"/>
        <v>#NAME?</v>
      </c>
      <c r="G26" s="8" t="e">
        <f t="shared" ca="1" si="18"/>
        <v>#NAME?</v>
      </c>
      <c r="H26" s="8" t="e">
        <f t="shared" ca="1" si="19"/>
        <v>#NAME?</v>
      </c>
      <c r="I26" s="8" t="e">
        <f t="shared" ca="1" si="20"/>
        <v>#NAME?</v>
      </c>
      <c r="J26" s="8" t="e">
        <f t="shared" ca="1" si="21"/>
        <v>#NAME?</v>
      </c>
      <c r="K26" s="8" t="e">
        <f t="shared" ca="1" si="22"/>
        <v>#NAME?</v>
      </c>
      <c r="L26" s="8" t="e">
        <f t="shared" ca="1" si="23"/>
        <v>#NAME?</v>
      </c>
      <c r="M26" s="8" t="e">
        <f t="shared" ca="1" si="24"/>
        <v>#NAME?</v>
      </c>
      <c r="N26" s="8" t="e">
        <f t="shared" ca="1" si="25"/>
        <v>#NAME?</v>
      </c>
    </row>
    <row r="27" spans="1:15" x14ac:dyDescent="0.35">
      <c r="A27" s="7" t="s">
        <v>366</v>
      </c>
      <c r="B27" s="7" t="s">
        <v>367</v>
      </c>
      <c r="C27" s="8" t="e">
        <f t="shared" ca="1" si="14"/>
        <v>#NAME?</v>
      </c>
      <c r="D27" s="8" t="e">
        <f t="shared" ca="1" si="15"/>
        <v>#NAME?</v>
      </c>
      <c r="E27" s="8" t="e">
        <f t="shared" ca="1" si="16"/>
        <v>#NAME?</v>
      </c>
      <c r="F27" s="8" t="e">
        <f t="shared" ca="1" si="17"/>
        <v>#NAME?</v>
      </c>
      <c r="G27" s="8" t="e">
        <f t="shared" ca="1" si="18"/>
        <v>#NAME?</v>
      </c>
      <c r="H27" s="8" t="e">
        <f t="shared" ca="1" si="19"/>
        <v>#NAME?</v>
      </c>
      <c r="I27" s="8" t="e">
        <f t="shared" ca="1" si="20"/>
        <v>#NAME?</v>
      </c>
      <c r="J27" s="8" t="e">
        <f t="shared" ca="1" si="21"/>
        <v>#NAME?</v>
      </c>
      <c r="K27" s="8" t="e">
        <f t="shared" ca="1" si="22"/>
        <v>#NAME?</v>
      </c>
      <c r="L27" s="8" t="e">
        <f t="shared" ca="1" si="23"/>
        <v>#NAME?</v>
      </c>
      <c r="M27" s="8" t="e">
        <f t="shared" ca="1" si="24"/>
        <v>#NAME?</v>
      </c>
      <c r="N27" s="8" t="e">
        <f t="shared" ca="1" si="25"/>
        <v>#NAME?</v>
      </c>
    </row>
    <row r="28" spans="1:15" x14ac:dyDescent="0.35">
      <c r="A28" s="7" t="s">
        <v>368</v>
      </c>
      <c r="B28" s="7" t="s">
        <v>369</v>
      </c>
      <c r="C28" s="8" t="e">
        <f t="shared" ca="1" si="14"/>
        <v>#NAME?</v>
      </c>
      <c r="D28" s="8" t="e">
        <f t="shared" ca="1" si="15"/>
        <v>#NAME?</v>
      </c>
      <c r="E28" s="8" t="e">
        <f t="shared" ca="1" si="16"/>
        <v>#NAME?</v>
      </c>
      <c r="F28" s="8" t="e">
        <f t="shared" ca="1" si="17"/>
        <v>#NAME?</v>
      </c>
      <c r="G28" s="8" t="e">
        <f t="shared" ca="1" si="18"/>
        <v>#NAME?</v>
      </c>
      <c r="H28" s="8" t="e">
        <f t="shared" ca="1" si="19"/>
        <v>#NAME?</v>
      </c>
      <c r="I28" s="8" t="e">
        <f t="shared" ca="1" si="20"/>
        <v>#NAME?</v>
      </c>
      <c r="J28" s="8" t="e">
        <f t="shared" ca="1" si="21"/>
        <v>#NAME?</v>
      </c>
      <c r="K28" s="8" t="e">
        <f t="shared" ca="1" si="22"/>
        <v>#NAME?</v>
      </c>
      <c r="L28" s="8" t="e">
        <f t="shared" ca="1" si="23"/>
        <v>#NAME?</v>
      </c>
      <c r="M28" s="8" t="e">
        <f t="shared" ca="1" si="24"/>
        <v>#NAME?</v>
      </c>
      <c r="N28" s="8" t="e">
        <f t="shared" ca="1" si="25"/>
        <v>#NAME?</v>
      </c>
    </row>
    <row r="29" spans="1:15" x14ac:dyDescent="0.35">
      <c r="A29" s="7" t="s">
        <v>370</v>
      </c>
      <c r="B29" s="7" t="s">
        <v>371</v>
      </c>
      <c r="C29" s="8" t="e">
        <f t="shared" ca="1" si="14"/>
        <v>#NAME?</v>
      </c>
      <c r="D29" s="8" t="e">
        <f t="shared" ca="1" si="15"/>
        <v>#NAME?</v>
      </c>
      <c r="E29" s="8" t="e">
        <f t="shared" ca="1" si="16"/>
        <v>#NAME?</v>
      </c>
      <c r="F29" s="8" t="e">
        <f t="shared" ca="1" si="17"/>
        <v>#NAME?</v>
      </c>
      <c r="G29" s="8" t="e">
        <f t="shared" ca="1" si="18"/>
        <v>#NAME?</v>
      </c>
      <c r="H29" s="8" t="e">
        <f t="shared" ca="1" si="19"/>
        <v>#NAME?</v>
      </c>
      <c r="I29" s="8" t="e">
        <f t="shared" ca="1" si="20"/>
        <v>#NAME?</v>
      </c>
      <c r="J29" s="8" t="e">
        <f t="shared" ca="1" si="21"/>
        <v>#NAME?</v>
      </c>
      <c r="K29" s="8" t="e">
        <f t="shared" ca="1" si="22"/>
        <v>#NAME?</v>
      </c>
      <c r="L29" s="8" t="e">
        <f t="shared" ca="1" si="23"/>
        <v>#NAME?</v>
      </c>
      <c r="M29" s="8" t="e">
        <f t="shared" ca="1" si="24"/>
        <v>#NAME?</v>
      </c>
      <c r="N29" s="8" t="e">
        <f t="shared" ca="1" si="25"/>
        <v>#NAME?</v>
      </c>
    </row>
    <row r="30" spans="1:15" x14ac:dyDescent="0.35">
      <c r="A30" s="7" t="s">
        <v>372</v>
      </c>
      <c r="B30" s="7" t="s">
        <v>373</v>
      </c>
      <c r="C30" s="8" t="e">
        <f t="shared" ca="1" si="14"/>
        <v>#NAME?</v>
      </c>
      <c r="D30" s="8" t="e">
        <f t="shared" ca="1" si="15"/>
        <v>#NAME?</v>
      </c>
      <c r="E30" s="8" t="e">
        <f t="shared" ca="1" si="16"/>
        <v>#NAME?</v>
      </c>
      <c r="F30" s="8" t="e">
        <f t="shared" ca="1" si="17"/>
        <v>#NAME?</v>
      </c>
      <c r="G30" s="8" t="e">
        <f t="shared" ca="1" si="18"/>
        <v>#NAME?</v>
      </c>
      <c r="H30" s="8" t="e">
        <f t="shared" ca="1" si="19"/>
        <v>#NAME?</v>
      </c>
      <c r="I30" s="8" t="e">
        <f t="shared" ca="1" si="20"/>
        <v>#NAME?</v>
      </c>
      <c r="J30" s="8" t="e">
        <f t="shared" ca="1" si="21"/>
        <v>#NAME?</v>
      </c>
      <c r="K30" s="8" t="e">
        <f t="shared" ca="1" si="22"/>
        <v>#NAME?</v>
      </c>
      <c r="L30" s="8" t="e">
        <f t="shared" ca="1" si="23"/>
        <v>#NAME?</v>
      </c>
      <c r="M30" s="8" t="e">
        <f t="shared" ca="1" si="24"/>
        <v>#NAME?</v>
      </c>
      <c r="N30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32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374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375</v>
      </c>
    </row>
    <row r="6" spans="1:15" x14ac:dyDescent="0.35">
      <c r="A6" s="2" t="s">
        <v>15</v>
      </c>
      <c r="B6" s="5">
        <v>2016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376</v>
      </c>
      <c r="B11" s="7" t="s">
        <v>377</v>
      </c>
      <c r="C11" s="8" t="e">
        <f t="shared" ref="C11:C22" ca="1" si="0">EPM($B$5,$B$6,1,A11,"period_net_amount",$B$7)</f>
        <v>#NAME?</v>
      </c>
      <c r="D11" s="8" t="e">
        <f t="shared" ref="D11:D22" ca="1" si="1">EPM($B$5,$B$6,2,A11,"period_net_amount",$B$7)</f>
        <v>#NAME?</v>
      </c>
      <c r="E11" s="8" t="e">
        <f t="shared" ref="E11:E22" ca="1" si="2">EPM($B$5,$B$6,3,A11,"period_net_amount",$B$7)</f>
        <v>#NAME?</v>
      </c>
      <c r="F11" s="8" t="e">
        <f t="shared" ref="F11:F22" ca="1" si="3">EPM($B$5,$B$6,4,A11,"period_net_amount",$B$7)</f>
        <v>#NAME?</v>
      </c>
      <c r="G11" s="8" t="e">
        <f t="shared" ref="G11:G22" ca="1" si="4">EPM($B$5,$B$6,5,A11,"period_net_amount",$B$7)</f>
        <v>#NAME?</v>
      </c>
      <c r="H11" s="8" t="e">
        <f t="shared" ref="H11:H22" ca="1" si="5">EPM($B$5,$B$6,6,A11,"period_net_amount",$B$7)</f>
        <v>#NAME?</v>
      </c>
      <c r="I11" s="8" t="e">
        <f t="shared" ref="I11:I22" ca="1" si="6">EPM($B$5,$B$6,7,A11,"period_net_amount",$B$7)</f>
        <v>#NAME?</v>
      </c>
      <c r="J11" s="8" t="e">
        <f t="shared" ref="J11:J22" ca="1" si="7">EPM($B$5,$B$6,8,A11,"period_net_amount",$B$7)</f>
        <v>#NAME?</v>
      </c>
      <c r="K11" s="8" t="e">
        <f t="shared" ref="K11:K22" ca="1" si="8">EPM($B$5,$B$6,9,A11,"period_net_amount",$B$7)</f>
        <v>#NAME?</v>
      </c>
      <c r="L11" s="8" t="e">
        <f t="shared" ref="L11:L22" ca="1" si="9">EPM($B$5,$B$6,10,A11,"period_net_amount",$B$7)</f>
        <v>#NAME?</v>
      </c>
      <c r="M11" s="8" t="e">
        <f t="shared" ref="M11:M22" ca="1" si="10">EPM($B$5,$B$6,11,A11,"period_net_amount",$B$7)</f>
        <v>#NAME?</v>
      </c>
      <c r="N11" s="8" t="e">
        <f t="shared" ref="N11:N22" ca="1" si="11">EPM($B$5,$B$6,12,A11,"period_net_amount",$B$7)</f>
        <v>#NAME?</v>
      </c>
      <c r="O11" s="9" t="e">
        <f t="shared" ref="O11:O22" ca="1" si="12">SUM(C11:N11)</f>
        <v>#NAME?</v>
      </c>
    </row>
    <row r="12" spans="1:15" x14ac:dyDescent="0.35">
      <c r="A12" s="7" t="s">
        <v>346</v>
      </c>
      <c r="B12" s="7" t="s">
        <v>347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378</v>
      </c>
      <c r="B13" s="7" t="s">
        <v>379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380</v>
      </c>
      <c r="B14" s="7" t="s">
        <v>381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382</v>
      </c>
      <c r="B15" s="7" t="s">
        <v>383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384</v>
      </c>
      <c r="B16" s="7" t="s">
        <v>385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386</v>
      </c>
      <c r="B17" s="7" t="s">
        <v>387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A18" s="7" t="s">
        <v>350</v>
      </c>
      <c r="B18" s="7" t="s">
        <v>388</v>
      </c>
      <c r="C18" s="8" t="e">
        <f t="shared" ca="1" si="0"/>
        <v>#NAME?</v>
      </c>
      <c r="D18" s="8" t="e">
        <f t="shared" ca="1" si="1"/>
        <v>#NAME?</v>
      </c>
      <c r="E18" s="8" t="e">
        <f t="shared" ca="1" si="2"/>
        <v>#NAME?</v>
      </c>
      <c r="F18" s="8" t="e">
        <f t="shared" ca="1" si="3"/>
        <v>#NAME?</v>
      </c>
      <c r="G18" s="8" t="e">
        <f t="shared" ca="1" si="4"/>
        <v>#NAME?</v>
      </c>
      <c r="H18" s="8" t="e">
        <f t="shared" ca="1" si="5"/>
        <v>#NAME?</v>
      </c>
      <c r="I18" s="8" t="e">
        <f t="shared" ca="1" si="6"/>
        <v>#NAME?</v>
      </c>
      <c r="J18" s="8" t="e">
        <f t="shared" ca="1" si="7"/>
        <v>#NAME?</v>
      </c>
      <c r="K18" s="8" t="e">
        <f t="shared" ca="1" si="8"/>
        <v>#NAME?</v>
      </c>
      <c r="L18" s="8" t="e">
        <f t="shared" ca="1" si="9"/>
        <v>#NAME?</v>
      </c>
      <c r="M18" s="8" t="e">
        <f t="shared" ca="1" si="10"/>
        <v>#NAME?</v>
      </c>
      <c r="N18" s="8" t="e">
        <f t="shared" ca="1" si="11"/>
        <v>#NAME?</v>
      </c>
      <c r="O18" s="9" t="e">
        <f t="shared" ca="1" si="12"/>
        <v>#NAME?</v>
      </c>
    </row>
    <row r="19" spans="1:15" x14ac:dyDescent="0.35">
      <c r="A19" s="7" t="s">
        <v>352</v>
      </c>
      <c r="B19" s="7" t="s">
        <v>353</v>
      </c>
      <c r="C19" s="8" t="e">
        <f t="shared" ca="1" si="0"/>
        <v>#NAME?</v>
      </c>
      <c r="D19" s="8" t="e">
        <f t="shared" ca="1" si="1"/>
        <v>#NAME?</v>
      </c>
      <c r="E19" s="8" t="e">
        <f t="shared" ca="1" si="2"/>
        <v>#NAME?</v>
      </c>
      <c r="F19" s="8" t="e">
        <f t="shared" ca="1" si="3"/>
        <v>#NAME?</v>
      </c>
      <c r="G19" s="8" t="e">
        <f t="shared" ca="1" si="4"/>
        <v>#NAME?</v>
      </c>
      <c r="H19" s="8" t="e">
        <f t="shared" ca="1" si="5"/>
        <v>#NAME?</v>
      </c>
      <c r="I19" s="8" t="e">
        <f t="shared" ca="1" si="6"/>
        <v>#NAME?</v>
      </c>
      <c r="J19" s="8" t="e">
        <f t="shared" ca="1" si="7"/>
        <v>#NAME?</v>
      </c>
      <c r="K19" s="8" t="e">
        <f t="shared" ca="1" si="8"/>
        <v>#NAME?</v>
      </c>
      <c r="L19" s="8" t="e">
        <f t="shared" ca="1" si="9"/>
        <v>#NAME?</v>
      </c>
      <c r="M19" s="8" t="e">
        <f t="shared" ca="1" si="10"/>
        <v>#NAME?</v>
      </c>
      <c r="N19" s="8" t="e">
        <f t="shared" ca="1" si="11"/>
        <v>#NAME?</v>
      </c>
      <c r="O19" s="9" t="e">
        <f t="shared" ca="1" si="12"/>
        <v>#NAME?</v>
      </c>
    </row>
    <row r="20" spans="1:15" x14ac:dyDescent="0.35">
      <c r="A20" s="7" t="s">
        <v>389</v>
      </c>
      <c r="B20" s="7" t="s">
        <v>390</v>
      </c>
      <c r="C20" s="8" t="e">
        <f t="shared" ca="1" si="0"/>
        <v>#NAME?</v>
      </c>
      <c r="D20" s="8" t="e">
        <f t="shared" ca="1" si="1"/>
        <v>#NAME?</v>
      </c>
      <c r="E20" s="8" t="e">
        <f t="shared" ca="1" si="2"/>
        <v>#NAME?</v>
      </c>
      <c r="F20" s="8" t="e">
        <f t="shared" ca="1" si="3"/>
        <v>#NAME?</v>
      </c>
      <c r="G20" s="8" t="e">
        <f t="shared" ca="1" si="4"/>
        <v>#NAME?</v>
      </c>
      <c r="H20" s="8" t="e">
        <f t="shared" ca="1" si="5"/>
        <v>#NAME?</v>
      </c>
      <c r="I20" s="8" t="e">
        <f t="shared" ca="1" si="6"/>
        <v>#NAME?</v>
      </c>
      <c r="J20" s="8" t="e">
        <f t="shared" ca="1" si="7"/>
        <v>#NAME?</v>
      </c>
      <c r="K20" s="8" t="e">
        <f t="shared" ca="1" si="8"/>
        <v>#NAME?</v>
      </c>
      <c r="L20" s="8" t="e">
        <f t="shared" ca="1" si="9"/>
        <v>#NAME?</v>
      </c>
      <c r="M20" s="8" t="e">
        <f t="shared" ca="1" si="10"/>
        <v>#NAME?</v>
      </c>
      <c r="N20" s="8" t="e">
        <f t="shared" ca="1" si="11"/>
        <v>#NAME?</v>
      </c>
      <c r="O20" s="9" t="e">
        <f t="shared" ca="1" si="12"/>
        <v>#NAME?</v>
      </c>
    </row>
    <row r="21" spans="1:15" x14ac:dyDescent="0.35">
      <c r="A21" s="7" t="s">
        <v>354</v>
      </c>
      <c r="B21" s="7" t="s">
        <v>355</v>
      </c>
      <c r="C21" s="8" t="e">
        <f t="shared" ca="1" si="0"/>
        <v>#NAME?</v>
      </c>
      <c r="D21" s="8" t="e">
        <f t="shared" ca="1" si="1"/>
        <v>#NAME?</v>
      </c>
      <c r="E21" s="8" t="e">
        <f t="shared" ca="1" si="2"/>
        <v>#NAME?</v>
      </c>
      <c r="F21" s="8" t="e">
        <f t="shared" ca="1" si="3"/>
        <v>#NAME?</v>
      </c>
      <c r="G21" s="8" t="e">
        <f t="shared" ca="1" si="4"/>
        <v>#NAME?</v>
      </c>
      <c r="H21" s="8" t="e">
        <f t="shared" ca="1" si="5"/>
        <v>#NAME?</v>
      </c>
      <c r="I21" s="8" t="e">
        <f t="shared" ca="1" si="6"/>
        <v>#NAME?</v>
      </c>
      <c r="J21" s="8" t="e">
        <f t="shared" ca="1" si="7"/>
        <v>#NAME?</v>
      </c>
      <c r="K21" s="8" t="e">
        <f t="shared" ca="1" si="8"/>
        <v>#NAME?</v>
      </c>
      <c r="L21" s="8" t="e">
        <f t="shared" ca="1" si="9"/>
        <v>#NAME?</v>
      </c>
      <c r="M21" s="8" t="e">
        <f t="shared" ca="1" si="10"/>
        <v>#NAME?</v>
      </c>
      <c r="N21" s="8" t="e">
        <f t="shared" ca="1" si="11"/>
        <v>#NAME?</v>
      </c>
      <c r="O21" s="9" t="e">
        <f t="shared" ca="1" si="12"/>
        <v>#NAME?</v>
      </c>
    </row>
    <row r="22" spans="1:15" x14ac:dyDescent="0.35">
      <c r="A22" s="7" t="s">
        <v>356</v>
      </c>
      <c r="B22" s="7" t="s">
        <v>357</v>
      </c>
      <c r="C22" s="8" t="e">
        <f t="shared" ca="1" si="0"/>
        <v>#NAME?</v>
      </c>
      <c r="D22" s="8" t="e">
        <f t="shared" ca="1" si="1"/>
        <v>#NAME?</v>
      </c>
      <c r="E22" s="8" t="e">
        <f t="shared" ca="1" si="2"/>
        <v>#NAME?</v>
      </c>
      <c r="F22" s="8" t="e">
        <f t="shared" ca="1" si="3"/>
        <v>#NAME?</v>
      </c>
      <c r="G22" s="8" t="e">
        <f t="shared" ca="1" si="4"/>
        <v>#NAME?</v>
      </c>
      <c r="H22" s="8" t="e">
        <f t="shared" ca="1" si="5"/>
        <v>#NAME?</v>
      </c>
      <c r="I22" s="8" t="e">
        <f t="shared" ca="1" si="6"/>
        <v>#NAME?</v>
      </c>
      <c r="J22" s="8" t="e">
        <f t="shared" ca="1" si="7"/>
        <v>#NAME?</v>
      </c>
      <c r="K22" s="8" t="e">
        <f t="shared" ca="1" si="8"/>
        <v>#NAME?</v>
      </c>
      <c r="L22" s="8" t="e">
        <f t="shared" ca="1" si="9"/>
        <v>#NAME?</v>
      </c>
      <c r="M22" s="8" t="e">
        <f t="shared" ca="1" si="10"/>
        <v>#NAME?</v>
      </c>
      <c r="N22" s="8" t="e">
        <f t="shared" ca="1" si="11"/>
        <v>#NAME?</v>
      </c>
      <c r="O22" s="9" t="e">
        <f t="shared" ca="1" si="12"/>
        <v>#NAME?</v>
      </c>
    </row>
    <row r="23" spans="1:15" x14ac:dyDescent="0.35">
      <c r="B23" s="10" t="s">
        <v>57</v>
      </c>
      <c r="C23" s="11" t="e">
        <f t="shared" ref="C23:O23" ca="1" si="13">SUM(C11:C22)</f>
        <v>#NAME?</v>
      </c>
      <c r="D23" s="11" t="e">
        <f t="shared" ca="1" si="13"/>
        <v>#NAME?</v>
      </c>
      <c r="E23" s="11" t="e">
        <f t="shared" ca="1" si="13"/>
        <v>#NAME?</v>
      </c>
      <c r="F23" s="11" t="e">
        <f t="shared" ca="1" si="13"/>
        <v>#NAME?</v>
      </c>
      <c r="G23" s="11" t="e">
        <f t="shared" ca="1" si="13"/>
        <v>#NAME?</v>
      </c>
      <c r="H23" s="11" t="e">
        <f t="shared" ca="1" si="13"/>
        <v>#NAME?</v>
      </c>
      <c r="I23" s="11" t="e">
        <f t="shared" ca="1" si="13"/>
        <v>#NAME?</v>
      </c>
      <c r="J23" s="11" t="e">
        <f t="shared" ca="1" si="13"/>
        <v>#NAME?</v>
      </c>
      <c r="K23" s="11" t="e">
        <f t="shared" ca="1" si="13"/>
        <v>#NAME?</v>
      </c>
      <c r="L23" s="11" t="e">
        <f t="shared" ca="1" si="13"/>
        <v>#NAME?</v>
      </c>
      <c r="M23" s="11" t="e">
        <f t="shared" ca="1" si="13"/>
        <v>#NAME?</v>
      </c>
      <c r="N23" s="11" t="e">
        <f t="shared" ca="1" si="13"/>
        <v>#NAME?</v>
      </c>
      <c r="O23" s="11" t="e">
        <f t="shared" ca="1" si="13"/>
        <v>#NAME?</v>
      </c>
    </row>
    <row r="25" spans="1:15" ht="15.5" x14ac:dyDescent="0.35">
      <c r="A25" s="4" t="s">
        <v>58</v>
      </c>
    </row>
    <row r="26" spans="1:15" x14ac:dyDescent="0.35">
      <c r="A26" s="6" t="s">
        <v>19</v>
      </c>
      <c r="B26" s="6" t="s">
        <v>20</v>
      </c>
      <c r="C26" s="6" t="s">
        <v>21</v>
      </c>
      <c r="D26" s="6" t="s">
        <v>22</v>
      </c>
      <c r="E26" s="6" t="s">
        <v>23</v>
      </c>
      <c r="F26" s="6" t="s">
        <v>24</v>
      </c>
      <c r="G26" s="6" t="s">
        <v>25</v>
      </c>
      <c r="H26" s="6" t="s">
        <v>26</v>
      </c>
      <c r="I26" s="6" t="s">
        <v>27</v>
      </c>
      <c r="J26" s="6" t="s">
        <v>28</v>
      </c>
      <c r="K26" s="6" t="s">
        <v>29</v>
      </c>
      <c r="L26" s="6" t="s">
        <v>30</v>
      </c>
      <c r="M26" s="6" t="s">
        <v>31</v>
      </c>
      <c r="N26" s="6" t="s">
        <v>32</v>
      </c>
    </row>
    <row r="27" spans="1:15" x14ac:dyDescent="0.35">
      <c r="A27" s="7" t="s">
        <v>391</v>
      </c>
      <c r="B27" s="7" t="s">
        <v>392</v>
      </c>
      <c r="C27" s="8" t="e">
        <f t="shared" ref="C27:C32" ca="1" si="14">EPM($B$5,$B$6,1,A27,"period_net_amount",$B$7)</f>
        <v>#NAME?</v>
      </c>
      <c r="D27" s="8" t="e">
        <f t="shared" ref="D27:D32" ca="1" si="15">EPM($B$5,$B$6,2,A27,"period_net_amount",$B$7)</f>
        <v>#NAME?</v>
      </c>
      <c r="E27" s="8" t="e">
        <f t="shared" ref="E27:E32" ca="1" si="16">EPM($B$5,$B$6,3,A27,"period_net_amount",$B$7)</f>
        <v>#NAME?</v>
      </c>
      <c r="F27" s="8" t="e">
        <f t="shared" ref="F27:F32" ca="1" si="17">EPM($B$5,$B$6,4,A27,"period_net_amount",$B$7)</f>
        <v>#NAME?</v>
      </c>
      <c r="G27" s="8" t="e">
        <f t="shared" ref="G27:G32" ca="1" si="18">EPM($B$5,$B$6,5,A27,"period_net_amount",$B$7)</f>
        <v>#NAME?</v>
      </c>
      <c r="H27" s="8" t="e">
        <f t="shared" ref="H27:H32" ca="1" si="19">EPM($B$5,$B$6,6,A27,"period_net_amount",$B$7)</f>
        <v>#NAME?</v>
      </c>
      <c r="I27" s="8" t="e">
        <f t="shared" ref="I27:I32" ca="1" si="20">EPM($B$5,$B$6,7,A27,"period_net_amount",$B$7)</f>
        <v>#NAME?</v>
      </c>
      <c r="J27" s="8" t="e">
        <f t="shared" ref="J27:J32" ca="1" si="21">EPM($B$5,$B$6,8,A27,"period_net_amount",$B$7)</f>
        <v>#NAME?</v>
      </c>
      <c r="K27" s="8" t="e">
        <f t="shared" ref="K27:K32" ca="1" si="22">EPM($B$5,$B$6,9,A27,"period_net_amount",$B$7)</f>
        <v>#NAME?</v>
      </c>
      <c r="L27" s="8" t="e">
        <f t="shared" ref="L27:L32" ca="1" si="23">EPM($B$5,$B$6,10,A27,"period_net_amount",$B$7)</f>
        <v>#NAME?</v>
      </c>
      <c r="M27" s="8" t="e">
        <f t="shared" ref="M27:M32" ca="1" si="24">EPM($B$5,$B$6,11,A27,"period_net_amount",$B$7)</f>
        <v>#NAME?</v>
      </c>
      <c r="N27" s="8" t="e">
        <f t="shared" ref="N27:N32" ca="1" si="25">EPM($B$5,$B$6,12,A27,"period_net_amount",$B$7)</f>
        <v>#NAME?</v>
      </c>
    </row>
    <row r="28" spans="1:15" x14ac:dyDescent="0.35">
      <c r="A28" s="7" t="s">
        <v>366</v>
      </c>
      <c r="B28" s="7" t="s">
        <v>367</v>
      </c>
      <c r="C28" s="8" t="e">
        <f t="shared" ca="1" si="14"/>
        <v>#NAME?</v>
      </c>
      <c r="D28" s="8" t="e">
        <f t="shared" ca="1" si="15"/>
        <v>#NAME?</v>
      </c>
      <c r="E28" s="8" t="e">
        <f t="shared" ca="1" si="16"/>
        <v>#NAME?</v>
      </c>
      <c r="F28" s="8" t="e">
        <f t="shared" ca="1" si="17"/>
        <v>#NAME?</v>
      </c>
      <c r="G28" s="8" t="e">
        <f t="shared" ca="1" si="18"/>
        <v>#NAME?</v>
      </c>
      <c r="H28" s="8" t="e">
        <f t="shared" ca="1" si="19"/>
        <v>#NAME?</v>
      </c>
      <c r="I28" s="8" t="e">
        <f t="shared" ca="1" si="20"/>
        <v>#NAME?</v>
      </c>
      <c r="J28" s="8" t="e">
        <f t="shared" ca="1" si="21"/>
        <v>#NAME?</v>
      </c>
      <c r="K28" s="8" t="e">
        <f t="shared" ca="1" si="22"/>
        <v>#NAME?</v>
      </c>
      <c r="L28" s="8" t="e">
        <f t="shared" ca="1" si="23"/>
        <v>#NAME?</v>
      </c>
      <c r="M28" s="8" t="e">
        <f t="shared" ca="1" si="24"/>
        <v>#NAME?</v>
      </c>
      <c r="N28" s="8" t="e">
        <f t="shared" ca="1" si="25"/>
        <v>#NAME?</v>
      </c>
    </row>
    <row r="29" spans="1:15" x14ac:dyDescent="0.35">
      <c r="A29" s="7" t="s">
        <v>393</v>
      </c>
      <c r="B29" s="7" t="s">
        <v>394</v>
      </c>
      <c r="C29" s="8" t="e">
        <f t="shared" ca="1" si="14"/>
        <v>#NAME?</v>
      </c>
      <c r="D29" s="8" t="e">
        <f t="shared" ca="1" si="15"/>
        <v>#NAME?</v>
      </c>
      <c r="E29" s="8" t="e">
        <f t="shared" ca="1" si="16"/>
        <v>#NAME?</v>
      </c>
      <c r="F29" s="8" t="e">
        <f t="shared" ca="1" si="17"/>
        <v>#NAME?</v>
      </c>
      <c r="G29" s="8" t="e">
        <f t="shared" ca="1" si="18"/>
        <v>#NAME?</v>
      </c>
      <c r="H29" s="8" t="e">
        <f t="shared" ca="1" si="19"/>
        <v>#NAME?</v>
      </c>
      <c r="I29" s="8" t="e">
        <f t="shared" ca="1" si="20"/>
        <v>#NAME?</v>
      </c>
      <c r="J29" s="8" t="e">
        <f t="shared" ca="1" si="21"/>
        <v>#NAME?</v>
      </c>
      <c r="K29" s="8" t="e">
        <f t="shared" ca="1" si="22"/>
        <v>#NAME?</v>
      </c>
      <c r="L29" s="8" t="e">
        <f t="shared" ca="1" si="23"/>
        <v>#NAME?</v>
      </c>
      <c r="M29" s="8" t="e">
        <f t="shared" ca="1" si="24"/>
        <v>#NAME?</v>
      </c>
      <c r="N29" s="8" t="e">
        <f t="shared" ca="1" si="25"/>
        <v>#NAME?</v>
      </c>
    </row>
    <row r="30" spans="1:15" x14ac:dyDescent="0.35">
      <c r="A30" s="7" t="s">
        <v>362</v>
      </c>
      <c r="B30" s="7" t="s">
        <v>363</v>
      </c>
      <c r="C30" s="8" t="e">
        <f t="shared" ca="1" si="14"/>
        <v>#NAME?</v>
      </c>
      <c r="D30" s="8" t="e">
        <f t="shared" ca="1" si="15"/>
        <v>#NAME?</v>
      </c>
      <c r="E30" s="8" t="e">
        <f t="shared" ca="1" si="16"/>
        <v>#NAME?</v>
      </c>
      <c r="F30" s="8" t="e">
        <f t="shared" ca="1" si="17"/>
        <v>#NAME?</v>
      </c>
      <c r="G30" s="8" t="e">
        <f t="shared" ca="1" si="18"/>
        <v>#NAME?</v>
      </c>
      <c r="H30" s="8" t="e">
        <f t="shared" ca="1" si="19"/>
        <v>#NAME?</v>
      </c>
      <c r="I30" s="8" t="e">
        <f t="shared" ca="1" si="20"/>
        <v>#NAME?</v>
      </c>
      <c r="J30" s="8" t="e">
        <f t="shared" ca="1" si="21"/>
        <v>#NAME?</v>
      </c>
      <c r="K30" s="8" t="e">
        <f t="shared" ca="1" si="22"/>
        <v>#NAME?</v>
      </c>
      <c r="L30" s="8" t="e">
        <f t="shared" ca="1" si="23"/>
        <v>#NAME?</v>
      </c>
      <c r="M30" s="8" t="e">
        <f t="shared" ca="1" si="24"/>
        <v>#NAME?</v>
      </c>
      <c r="N30" s="8" t="e">
        <f t="shared" ca="1" si="25"/>
        <v>#NAME?</v>
      </c>
    </row>
    <row r="31" spans="1:15" x14ac:dyDescent="0.35">
      <c r="A31" s="7" t="s">
        <v>395</v>
      </c>
      <c r="B31" s="7" t="s">
        <v>396</v>
      </c>
      <c r="C31" s="8" t="e">
        <f t="shared" ca="1" si="14"/>
        <v>#NAME?</v>
      </c>
      <c r="D31" s="8" t="e">
        <f t="shared" ca="1" si="15"/>
        <v>#NAME?</v>
      </c>
      <c r="E31" s="8" t="e">
        <f t="shared" ca="1" si="16"/>
        <v>#NAME?</v>
      </c>
      <c r="F31" s="8" t="e">
        <f t="shared" ca="1" si="17"/>
        <v>#NAME?</v>
      </c>
      <c r="G31" s="8" t="e">
        <f t="shared" ca="1" si="18"/>
        <v>#NAME?</v>
      </c>
      <c r="H31" s="8" t="e">
        <f t="shared" ca="1" si="19"/>
        <v>#NAME?</v>
      </c>
      <c r="I31" s="8" t="e">
        <f t="shared" ca="1" si="20"/>
        <v>#NAME?</v>
      </c>
      <c r="J31" s="8" t="e">
        <f t="shared" ca="1" si="21"/>
        <v>#NAME?</v>
      </c>
      <c r="K31" s="8" t="e">
        <f t="shared" ca="1" si="22"/>
        <v>#NAME?</v>
      </c>
      <c r="L31" s="8" t="e">
        <f t="shared" ca="1" si="23"/>
        <v>#NAME?</v>
      </c>
      <c r="M31" s="8" t="e">
        <f t="shared" ca="1" si="24"/>
        <v>#NAME?</v>
      </c>
      <c r="N31" s="8" t="e">
        <f t="shared" ca="1" si="25"/>
        <v>#NAME?</v>
      </c>
    </row>
    <row r="32" spans="1:15" x14ac:dyDescent="0.35">
      <c r="A32" s="7" t="s">
        <v>397</v>
      </c>
      <c r="B32" s="7" t="s">
        <v>398</v>
      </c>
      <c r="C32" s="8" t="e">
        <f t="shared" ca="1" si="14"/>
        <v>#NAME?</v>
      </c>
      <c r="D32" s="8" t="e">
        <f t="shared" ca="1" si="15"/>
        <v>#NAME?</v>
      </c>
      <c r="E32" s="8" t="e">
        <f t="shared" ca="1" si="16"/>
        <v>#NAME?</v>
      </c>
      <c r="F32" s="8" t="e">
        <f t="shared" ca="1" si="17"/>
        <v>#NAME?</v>
      </c>
      <c r="G32" s="8" t="e">
        <f t="shared" ca="1" si="18"/>
        <v>#NAME?</v>
      </c>
      <c r="H32" s="8" t="e">
        <f t="shared" ca="1" si="19"/>
        <v>#NAME?</v>
      </c>
      <c r="I32" s="8" t="e">
        <f t="shared" ca="1" si="20"/>
        <v>#NAME?</v>
      </c>
      <c r="J32" s="8" t="e">
        <f t="shared" ca="1" si="21"/>
        <v>#NAME?</v>
      </c>
      <c r="K32" s="8" t="e">
        <f t="shared" ca="1" si="22"/>
        <v>#NAME?</v>
      </c>
      <c r="L32" s="8" t="e">
        <f t="shared" ca="1" si="23"/>
        <v>#NAME?</v>
      </c>
      <c r="M32" s="8" t="e">
        <f t="shared" ca="1" si="24"/>
        <v>#NAME?</v>
      </c>
      <c r="N32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32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399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400</v>
      </c>
    </row>
    <row r="6" spans="1:15" x14ac:dyDescent="0.35">
      <c r="A6" s="2" t="s">
        <v>15</v>
      </c>
      <c r="B6" s="5">
        <v>2016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295</v>
      </c>
      <c r="B11" s="7" t="s">
        <v>401</v>
      </c>
      <c r="C11" s="8" t="e">
        <f t="shared" ref="C11:C22" ca="1" si="0">EPM($B$5,$B$6,1,A11,"period_net_amount",$B$7)</f>
        <v>#NAME?</v>
      </c>
      <c r="D11" s="8" t="e">
        <f t="shared" ref="D11:D22" ca="1" si="1">EPM($B$5,$B$6,2,A11,"period_net_amount",$B$7)</f>
        <v>#NAME?</v>
      </c>
      <c r="E11" s="8" t="e">
        <f t="shared" ref="E11:E22" ca="1" si="2">EPM($B$5,$B$6,3,A11,"period_net_amount",$B$7)</f>
        <v>#NAME?</v>
      </c>
      <c r="F11" s="8" t="e">
        <f t="shared" ref="F11:F22" ca="1" si="3">EPM($B$5,$B$6,4,A11,"period_net_amount",$B$7)</f>
        <v>#NAME?</v>
      </c>
      <c r="G11" s="8" t="e">
        <f t="shared" ref="G11:G22" ca="1" si="4">EPM($B$5,$B$6,5,A11,"period_net_amount",$B$7)</f>
        <v>#NAME?</v>
      </c>
      <c r="H11" s="8" t="e">
        <f t="shared" ref="H11:H22" ca="1" si="5">EPM($B$5,$B$6,6,A11,"period_net_amount",$B$7)</f>
        <v>#NAME?</v>
      </c>
      <c r="I11" s="8" t="e">
        <f t="shared" ref="I11:I22" ca="1" si="6">EPM($B$5,$B$6,7,A11,"period_net_amount",$B$7)</f>
        <v>#NAME?</v>
      </c>
      <c r="J11" s="8" t="e">
        <f t="shared" ref="J11:J22" ca="1" si="7">EPM($B$5,$B$6,8,A11,"period_net_amount",$B$7)</f>
        <v>#NAME?</v>
      </c>
      <c r="K11" s="8" t="e">
        <f t="shared" ref="K11:K22" ca="1" si="8">EPM($B$5,$B$6,9,A11,"period_net_amount",$B$7)</f>
        <v>#NAME?</v>
      </c>
      <c r="L11" s="8" t="e">
        <f t="shared" ref="L11:L22" ca="1" si="9">EPM($B$5,$B$6,10,A11,"period_net_amount",$B$7)</f>
        <v>#NAME?</v>
      </c>
      <c r="M11" s="8" t="e">
        <f t="shared" ref="M11:M22" ca="1" si="10">EPM($B$5,$B$6,11,A11,"period_net_amount",$B$7)</f>
        <v>#NAME?</v>
      </c>
      <c r="N11" s="8" t="e">
        <f t="shared" ref="N11:N22" ca="1" si="11">EPM($B$5,$B$6,12,A11,"period_net_amount",$B$7)</f>
        <v>#NAME?</v>
      </c>
      <c r="O11" s="9" t="e">
        <f t="shared" ref="O11:O22" ca="1" si="12">SUM(C11:N11)</f>
        <v>#NAME?</v>
      </c>
    </row>
    <row r="12" spans="1:15" x14ac:dyDescent="0.35">
      <c r="A12" s="7" t="s">
        <v>242</v>
      </c>
      <c r="B12" s="7" t="s">
        <v>243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402</v>
      </c>
      <c r="B13" s="7" t="s">
        <v>403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297</v>
      </c>
      <c r="B14" s="7" t="s">
        <v>298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404</v>
      </c>
      <c r="B15" s="7" t="s">
        <v>405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406</v>
      </c>
      <c r="B16" s="7" t="s">
        <v>407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304</v>
      </c>
      <c r="B17" s="7" t="s">
        <v>408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A18" s="7" t="s">
        <v>323</v>
      </c>
      <c r="B18" s="7" t="s">
        <v>409</v>
      </c>
      <c r="C18" s="8" t="e">
        <f t="shared" ca="1" si="0"/>
        <v>#NAME?</v>
      </c>
      <c r="D18" s="8" t="e">
        <f t="shared" ca="1" si="1"/>
        <v>#NAME?</v>
      </c>
      <c r="E18" s="8" t="e">
        <f t="shared" ca="1" si="2"/>
        <v>#NAME?</v>
      </c>
      <c r="F18" s="8" t="e">
        <f t="shared" ca="1" si="3"/>
        <v>#NAME?</v>
      </c>
      <c r="G18" s="8" t="e">
        <f t="shared" ca="1" si="4"/>
        <v>#NAME?</v>
      </c>
      <c r="H18" s="8" t="e">
        <f t="shared" ca="1" si="5"/>
        <v>#NAME?</v>
      </c>
      <c r="I18" s="8" t="e">
        <f t="shared" ca="1" si="6"/>
        <v>#NAME?</v>
      </c>
      <c r="J18" s="8" t="e">
        <f t="shared" ca="1" si="7"/>
        <v>#NAME?</v>
      </c>
      <c r="K18" s="8" t="e">
        <f t="shared" ca="1" si="8"/>
        <v>#NAME?</v>
      </c>
      <c r="L18" s="8" t="e">
        <f t="shared" ca="1" si="9"/>
        <v>#NAME?</v>
      </c>
      <c r="M18" s="8" t="e">
        <f t="shared" ca="1" si="10"/>
        <v>#NAME?</v>
      </c>
      <c r="N18" s="8" t="e">
        <f t="shared" ca="1" si="11"/>
        <v>#NAME?</v>
      </c>
      <c r="O18" s="9" t="e">
        <f t="shared" ca="1" si="12"/>
        <v>#NAME?</v>
      </c>
    </row>
    <row r="19" spans="1:15" x14ac:dyDescent="0.35">
      <c r="A19" s="7" t="s">
        <v>36</v>
      </c>
      <c r="B19" s="7" t="s">
        <v>318</v>
      </c>
      <c r="C19" s="8" t="e">
        <f t="shared" ca="1" si="0"/>
        <v>#NAME?</v>
      </c>
      <c r="D19" s="8" t="e">
        <f t="shared" ca="1" si="1"/>
        <v>#NAME?</v>
      </c>
      <c r="E19" s="8" t="e">
        <f t="shared" ca="1" si="2"/>
        <v>#NAME?</v>
      </c>
      <c r="F19" s="8" t="e">
        <f t="shared" ca="1" si="3"/>
        <v>#NAME?</v>
      </c>
      <c r="G19" s="8" t="e">
        <f t="shared" ca="1" si="4"/>
        <v>#NAME?</v>
      </c>
      <c r="H19" s="8" t="e">
        <f t="shared" ca="1" si="5"/>
        <v>#NAME?</v>
      </c>
      <c r="I19" s="8" t="e">
        <f t="shared" ca="1" si="6"/>
        <v>#NAME?</v>
      </c>
      <c r="J19" s="8" t="e">
        <f t="shared" ca="1" si="7"/>
        <v>#NAME?</v>
      </c>
      <c r="K19" s="8" t="e">
        <f t="shared" ca="1" si="8"/>
        <v>#NAME?</v>
      </c>
      <c r="L19" s="8" t="e">
        <f t="shared" ca="1" si="9"/>
        <v>#NAME?</v>
      </c>
      <c r="M19" s="8" t="e">
        <f t="shared" ca="1" si="10"/>
        <v>#NAME?</v>
      </c>
      <c r="N19" s="8" t="e">
        <f t="shared" ca="1" si="11"/>
        <v>#NAME?</v>
      </c>
      <c r="O19" s="9" t="e">
        <f t="shared" ca="1" si="12"/>
        <v>#NAME?</v>
      </c>
    </row>
    <row r="20" spans="1:15" x14ac:dyDescent="0.35">
      <c r="A20" s="7" t="s">
        <v>410</v>
      </c>
      <c r="B20" s="7" t="s">
        <v>411</v>
      </c>
      <c r="C20" s="8" t="e">
        <f t="shared" ca="1" si="0"/>
        <v>#NAME?</v>
      </c>
      <c r="D20" s="8" t="e">
        <f t="shared" ca="1" si="1"/>
        <v>#NAME?</v>
      </c>
      <c r="E20" s="8" t="e">
        <f t="shared" ca="1" si="2"/>
        <v>#NAME?</v>
      </c>
      <c r="F20" s="8" t="e">
        <f t="shared" ca="1" si="3"/>
        <v>#NAME?</v>
      </c>
      <c r="G20" s="8" t="e">
        <f t="shared" ca="1" si="4"/>
        <v>#NAME?</v>
      </c>
      <c r="H20" s="8" t="e">
        <f t="shared" ca="1" si="5"/>
        <v>#NAME?</v>
      </c>
      <c r="I20" s="8" t="e">
        <f t="shared" ca="1" si="6"/>
        <v>#NAME?</v>
      </c>
      <c r="J20" s="8" t="e">
        <f t="shared" ca="1" si="7"/>
        <v>#NAME?</v>
      </c>
      <c r="K20" s="8" t="e">
        <f t="shared" ca="1" si="8"/>
        <v>#NAME?</v>
      </c>
      <c r="L20" s="8" t="e">
        <f t="shared" ca="1" si="9"/>
        <v>#NAME?</v>
      </c>
      <c r="M20" s="8" t="e">
        <f t="shared" ca="1" si="10"/>
        <v>#NAME?</v>
      </c>
      <c r="N20" s="8" t="e">
        <f t="shared" ca="1" si="11"/>
        <v>#NAME?</v>
      </c>
      <c r="O20" s="9" t="e">
        <f t="shared" ca="1" si="12"/>
        <v>#NAME?</v>
      </c>
    </row>
    <row r="21" spans="1:15" x14ac:dyDescent="0.35">
      <c r="A21" s="7" t="s">
        <v>412</v>
      </c>
      <c r="B21" s="7" t="s">
        <v>413</v>
      </c>
      <c r="C21" s="8" t="e">
        <f t="shared" ca="1" si="0"/>
        <v>#NAME?</v>
      </c>
      <c r="D21" s="8" t="e">
        <f t="shared" ca="1" si="1"/>
        <v>#NAME?</v>
      </c>
      <c r="E21" s="8" t="e">
        <f t="shared" ca="1" si="2"/>
        <v>#NAME?</v>
      </c>
      <c r="F21" s="8" t="e">
        <f t="shared" ca="1" si="3"/>
        <v>#NAME?</v>
      </c>
      <c r="G21" s="8" t="e">
        <f t="shared" ca="1" si="4"/>
        <v>#NAME?</v>
      </c>
      <c r="H21" s="8" t="e">
        <f t="shared" ca="1" si="5"/>
        <v>#NAME?</v>
      </c>
      <c r="I21" s="8" t="e">
        <f t="shared" ca="1" si="6"/>
        <v>#NAME?</v>
      </c>
      <c r="J21" s="8" t="e">
        <f t="shared" ca="1" si="7"/>
        <v>#NAME?</v>
      </c>
      <c r="K21" s="8" t="e">
        <f t="shared" ca="1" si="8"/>
        <v>#NAME?</v>
      </c>
      <c r="L21" s="8" t="e">
        <f t="shared" ca="1" si="9"/>
        <v>#NAME?</v>
      </c>
      <c r="M21" s="8" t="e">
        <f t="shared" ca="1" si="10"/>
        <v>#NAME?</v>
      </c>
      <c r="N21" s="8" t="e">
        <f t="shared" ca="1" si="11"/>
        <v>#NAME?</v>
      </c>
      <c r="O21" s="9" t="e">
        <f t="shared" ca="1" si="12"/>
        <v>#NAME?</v>
      </c>
    </row>
    <row r="22" spans="1:15" x14ac:dyDescent="0.35">
      <c r="A22" s="7" t="s">
        <v>244</v>
      </c>
      <c r="B22" s="7" t="s">
        <v>245</v>
      </c>
      <c r="C22" s="8" t="e">
        <f t="shared" ca="1" si="0"/>
        <v>#NAME?</v>
      </c>
      <c r="D22" s="8" t="e">
        <f t="shared" ca="1" si="1"/>
        <v>#NAME?</v>
      </c>
      <c r="E22" s="8" t="e">
        <f t="shared" ca="1" si="2"/>
        <v>#NAME?</v>
      </c>
      <c r="F22" s="8" t="e">
        <f t="shared" ca="1" si="3"/>
        <v>#NAME?</v>
      </c>
      <c r="G22" s="8" t="e">
        <f t="shared" ca="1" si="4"/>
        <v>#NAME?</v>
      </c>
      <c r="H22" s="8" t="e">
        <f t="shared" ca="1" si="5"/>
        <v>#NAME?</v>
      </c>
      <c r="I22" s="8" t="e">
        <f t="shared" ca="1" si="6"/>
        <v>#NAME?</v>
      </c>
      <c r="J22" s="8" t="e">
        <f t="shared" ca="1" si="7"/>
        <v>#NAME?</v>
      </c>
      <c r="K22" s="8" t="e">
        <f t="shared" ca="1" si="8"/>
        <v>#NAME?</v>
      </c>
      <c r="L22" s="8" t="e">
        <f t="shared" ca="1" si="9"/>
        <v>#NAME?</v>
      </c>
      <c r="M22" s="8" t="e">
        <f t="shared" ca="1" si="10"/>
        <v>#NAME?</v>
      </c>
      <c r="N22" s="8" t="e">
        <f t="shared" ca="1" si="11"/>
        <v>#NAME?</v>
      </c>
      <c r="O22" s="9" t="e">
        <f t="shared" ca="1" si="12"/>
        <v>#NAME?</v>
      </c>
    </row>
    <row r="23" spans="1:15" x14ac:dyDescent="0.35">
      <c r="B23" s="10" t="s">
        <v>57</v>
      </c>
      <c r="C23" s="11" t="e">
        <f t="shared" ref="C23:O23" ca="1" si="13">SUM(C11:C22)</f>
        <v>#NAME?</v>
      </c>
      <c r="D23" s="11" t="e">
        <f t="shared" ca="1" si="13"/>
        <v>#NAME?</v>
      </c>
      <c r="E23" s="11" t="e">
        <f t="shared" ca="1" si="13"/>
        <v>#NAME?</v>
      </c>
      <c r="F23" s="11" t="e">
        <f t="shared" ca="1" si="13"/>
        <v>#NAME?</v>
      </c>
      <c r="G23" s="11" t="e">
        <f t="shared" ca="1" si="13"/>
        <v>#NAME?</v>
      </c>
      <c r="H23" s="11" t="e">
        <f t="shared" ca="1" si="13"/>
        <v>#NAME?</v>
      </c>
      <c r="I23" s="11" t="e">
        <f t="shared" ca="1" si="13"/>
        <v>#NAME?</v>
      </c>
      <c r="J23" s="11" t="e">
        <f t="shared" ca="1" si="13"/>
        <v>#NAME?</v>
      </c>
      <c r="K23" s="11" t="e">
        <f t="shared" ca="1" si="13"/>
        <v>#NAME?</v>
      </c>
      <c r="L23" s="11" t="e">
        <f t="shared" ca="1" si="13"/>
        <v>#NAME?</v>
      </c>
      <c r="M23" s="11" t="e">
        <f t="shared" ca="1" si="13"/>
        <v>#NAME?</v>
      </c>
      <c r="N23" s="11" t="e">
        <f t="shared" ca="1" si="13"/>
        <v>#NAME?</v>
      </c>
      <c r="O23" s="11" t="e">
        <f t="shared" ca="1" si="13"/>
        <v>#NAME?</v>
      </c>
    </row>
    <row r="25" spans="1:15" ht="15.5" x14ac:dyDescent="0.35">
      <c r="A25" s="4" t="s">
        <v>58</v>
      </c>
    </row>
    <row r="26" spans="1:15" x14ac:dyDescent="0.35">
      <c r="A26" s="6" t="s">
        <v>19</v>
      </c>
      <c r="B26" s="6" t="s">
        <v>20</v>
      </c>
      <c r="C26" s="6" t="s">
        <v>21</v>
      </c>
      <c r="D26" s="6" t="s">
        <v>22</v>
      </c>
      <c r="E26" s="6" t="s">
        <v>23</v>
      </c>
      <c r="F26" s="6" t="s">
        <v>24</v>
      </c>
      <c r="G26" s="6" t="s">
        <v>25</v>
      </c>
      <c r="H26" s="6" t="s">
        <v>26</v>
      </c>
      <c r="I26" s="6" t="s">
        <v>27</v>
      </c>
      <c r="J26" s="6" t="s">
        <v>28</v>
      </c>
      <c r="K26" s="6" t="s">
        <v>29</v>
      </c>
      <c r="L26" s="6" t="s">
        <v>30</v>
      </c>
      <c r="M26" s="6" t="s">
        <v>31</v>
      </c>
      <c r="N26" s="6" t="s">
        <v>32</v>
      </c>
    </row>
    <row r="27" spans="1:15" x14ac:dyDescent="0.35">
      <c r="A27" s="7" t="s">
        <v>414</v>
      </c>
      <c r="B27" s="7" t="s">
        <v>415</v>
      </c>
      <c r="C27" s="8" t="e">
        <f t="shared" ref="C27:C32" ca="1" si="14">EPM($B$5,$B$6,1,A27,"period_net_amount",$B$7)</f>
        <v>#NAME?</v>
      </c>
      <c r="D27" s="8" t="e">
        <f t="shared" ref="D27:D32" ca="1" si="15">EPM($B$5,$B$6,2,A27,"period_net_amount",$B$7)</f>
        <v>#NAME?</v>
      </c>
      <c r="E27" s="8" t="e">
        <f t="shared" ref="E27:E32" ca="1" si="16">EPM($B$5,$B$6,3,A27,"period_net_amount",$B$7)</f>
        <v>#NAME?</v>
      </c>
      <c r="F27" s="8" t="e">
        <f t="shared" ref="F27:F32" ca="1" si="17">EPM($B$5,$B$6,4,A27,"period_net_amount",$B$7)</f>
        <v>#NAME?</v>
      </c>
      <c r="G27" s="8" t="e">
        <f t="shared" ref="G27:G32" ca="1" si="18">EPM($B$5,$B$6,5,A27,"period_net_amount",$B$7)</f>
        <v>#NAME?</v>
      </c>
      <c r="H27" s="8" t="e">
        <f t="shared" ref="H27:H32" ca="1" si="19">EPM($B$5,$B$6,6,A27,"period_net_amount",$B$7)</f>
        <v>#NAME?</v>
      </c>
      <c r="I27" s="8" t="e">
        <f t="shared" ref="I27:I32" ca="1" si="20">EPM($B$5,$B$6,7,A27,"period_net_amount",$B$7)</f>
        <v>#NAME?</v>
      </c>
      <c r="J27" s="8" t="e">
        <f t="shared" ref="J27:J32" ca="1" si="21">EPM($B$5,$B$6,8,A27,"period_net_amount",$B$7)</f>
        <v>#NAME?</v>
      </c>
      <c r="K27" s="8" t="e">
        <f t="shared" ref="K27:K32" ca="1" si="22">EPM($B$5,$B$6,9,A27,"period_net_amount",$B$7)</f>
        <v>#NAME?</v>
      </c>
      <c r="L27" s="8" t="e">
        <f t="shared" ref="L27:L32" ca="1" si="23">EPM($B$5,$B$6,10,A27,"period_net_amount",$B$7)</f>
        <v>#NAME?</v>
      </c>
      <c r="M27" s="8" t="e">
        <f t="shared" ref="M27:M32" ca="1" si="24">EPM($B$5,$B$6,11,A27,"period_net_amount",$B$7)</f>
        <v>#NAME?</v>
      </c>
      <c r="N27" s="8" t="e">
        <f t="shared" ref="N27:N32" ca="1" si="25">EPM($B$5,$B$6,12,A27,"period_net_amount",$B$7)</f>
        <v>#NAME?</v>
      </c>
    </row>
    <row r="28" spans="1:15" x14ac:dyDescent="0.35">
      <c r="A28" s="7" t="s">
        <v>150</v>
      </c>
      <c r="B28" s="7" t="s">
        <v>416</v>
      </c>
      <c r="C28" s="8" t="e">
        <f t="shared" ca="1" si="14"/>
        <v>#NAME?</v>
      </c>
      <c r="D28" s="8" t="e">
        <f t="shared" ca="1" si="15"/>
        <v>#NAME?</v>
      </c>
      <c r="E28" s="8" t="e">
        <f t="shared" ca="1" si="16"/>
        <v>#NAME?</v>
      </c>
      <c r="F28" s="8" t="e">
        <f t="shared" ca="1" si="17"/>
        <v>#NAME?</v>
      </c>
      <c r="G28" s="8" t="e">
        <f t="shared" ca="1" si="18"/>
        <v>#NAME?</v>
      </c>
      <c r="H28" s="8" t="e">
        <f t="shared" ca="1" si="19"/>
        <v>#NAME?</v>
      </c>
      <c r="I28" s="8" t="e">
        <f t="shared" ca="1" si="20"/>
        <v>#NAME?</v>
      </c>
      <c r="J28" s="8" t="e">
        <f t="shared" ca="1" si="21"/>
        <v>#NAME?</v>
      </c>
      <c r="K28" s="8" t="e">
        <f t="shared" ca="1" si="22"/>
        <v>#NAME?</v>
      </c>
      <c r="L28" s="8" t="e">
        <f t="shared" ca="1" si="23"/>
        <v>#NAME?</v>
      </c>
      <c r="M28" s="8" t="e">
        <f t="shared" ca="1" si="24"/>
        <v>#NAME?</v>
      </c>
      <c r="N28" s="8" t="e">
        <f t="shared" ca="1" si="25"/>
        <v>#NAME?</v>
      </c>
    </row>
    <row r="29" spans="1:15" x14ac:dyDescent="0.35">
      <c r="A29" s="7" t="s">
        <v>417</v>
      </c>
      <c r="B29" s="7" t="s">
        <v>418</v>
      </c>
      <c r="C29" s="8" t="e">
        <f t="shared" ca="1" si="14"/>
        <v>#NAME?</v>
      </c>
      <c r="D29" s="8" t="e">
        <f t="shared" ca="1" si="15"/>
        <v>#NAME?</v>
      </c>
      <c r="E29" s="8" t="e">
        <f t="shared" ca="1" si="16"/>
        <v>#NAME?</v>
      </c>
      <c r="F29" s="8" t="e">
        <f t="shared" ca="1" si="17"/>
        <v>#NAME?</v>
      </c>
      <c r="G29" s="8" t="e">
        <f t="shared" ca="1" si="18"/>
        <v>#NAME?</v>
      </c>
      <c r="H29" s="8" t="e">
        <f t="shared" ca="1" si="19"/>
        <v>#NAME?</v>
      </c>
      <c r="I29" s="8" t="e">
        <f t="shared" ca="1" si="20"/>
        <v>#NAME?</v>
      </c>
      <c r="J29" s="8" t="e">
        <f t="shared" ca="1" si="21"/>
        <v>#NAME?</v>
      </c>
      <c r="K29" s="8" t="e">
        <f t="shared" ca="1" si="22"/>
        <v>#NAME?</v>
      </c>
      <c r="L29" s="8" t="e">
        <f t="shared" ca="1" si="23"/>
        <v>#NAME?</v>
      </c>
      <c r="M29" s="8" t="e">
        <f t="shared" ca="1" si="24"/>
        <v>#NAME?</v>
      </c>
      <c r="N29" s="8" t="e">
        <f t="shared" ca="1" si="25"/>
        <v>#NAME?</v>
      </c>
    </row>
    <row r="30" spans="1:15" x14ac:dyDescent="0.35">
      <c r="A30" s="7" t="s">
        <v>402</v>
      </c>
      <c r="B30" s="7" t="s">
        <v>419</v>
      </c>
      <c r="C30" s="8" t="e">
        <f t="shared" ca="1" si="14"/>
        <v>#NAME?</v>
      </c>
      <c r="D30" s="8" t="e">
        <f t="shared" ca="1" si="15"/>
        <v>#NAME?</v>
      </c>
      <c r="E30" s="8" t="e">
        <f t="shared" ca="1" si="16"/>
        <v>#NAME?</v>
      </c>
      <c r="F30" s="8" t="e">
        <f t="shared" ca="1" si="17"/>
        <v>#NAME?</v>
      </c>
      <c r="G30" s="8" t="e">
        <f t="shared" ca="1" si="18"/>
        <v>#NAME?</v>
      </c>
      <c r="H30" s="8" t="e">
        <f t="shared" ca="1" si="19"/>
        <v>#NAME?</v>
      </c>
      <c r="I30" s="8" t="e">
        <f t="shared" ca="1" si="20"/>
        <v>#NAME?</v>
      </c>
      <c r="J30" s="8" t="e">
        <f t="shared" ca="1" si="21"/>
        <v>#NAME?</v>
      </c>
      <c r="K30" s="8" t="e">
        <f t="shared" ca="1" si="22"/>
        <v>#NAME?</v>
      </c>
      <c r="L30" s="8" t="e">
        <f t="shared" ca="1" si="23"/>
        <v>#NAME?</v>
      </c>
      <c r="M30" s="8" t="e">
        <f t="shared" ca="1" si="24"/>
        <v>#NAME?</v>
      </c>
      <c r="N30" s="8" t="e">
        <f t="shared" ca="1" si="25"/>
        <v>#NAME?</v>
      </c>
    </row>
    <row r="31" spans="1:15" x14ac:dyDescent="0.35">
      <c r="A31" s="7" t="s">
        <v>203</v>
      </c>
      <c r="B31" s="7" t="s">
        <v>204</v>
      </c>
      <c r="C31" s="8" t="e">
        <f t="shared" ca="1" si="14"/>
        <v>#NAME?</v>
      </c>
      <c r="D31" s="8" t="e">
        <f t="shared" ca="1" si="15"/>
        <v>#NAME?</v>
      </c>
      <c r="E31" s="8" t="e">
        <f t="shared" ca="1" si="16"/>
        <v>#NAME?</v>
      </c>
      <c r="F31" s="8" t="e">
        <f t="shared" ca="1" si="17"/>
        <v>#NAME?</v>
      </c>
      <c r="G31" s="8" t="e">
        <f t="shared" ca="1" si="18"/>
        <v>#NAME?</v>
      </c>
      <c r="H31" s="8" t="e">
        <f t="shared" ca="1" si="19"/>
        <v>#NAME?</v>
      </c>
      <c r="I31" s="8" t="e">
        <f t="shared" ca="1" si="20"/>
        <v>#NAME?</v>
      </c>
      <c r="J31" s="8" t="e">
        <f t="shared" ca="1" si="21"/>
        <v>#NAME?</v>
      </c>
      <c r="K31" s="8" t="e">
        <f t="shared" ca="1" si="22"/>
        <v>#NAME?</v>
      </c>
      <c r="L31" s="8" t="e">
        <f t="shared" ca="1" si="23"/>
        <v>#NAME?</v>
      </c>
      <c r="M31" s="8" t="e">
        <f t="shared" ca="1" si="24"/>
        <v>#NAME?</v>
      </c>
      <c r="N31" s="8" t="e">
        <f t="shared" ca="1" si="25"/>
        <v>#NAME?</v>
      </c>
    </row>
    <row r="32" spans="1:15" x14ac:dyDescent="0.35">
      <c r="A32" s="7" t="s">
        <v>420</v>
      </c>
      <c r="B32" s="7" t="s">
        <v>421</v>
      </c>
      <c r="C32" s="8" t="e">
        <f t="shared" ca="1" si="14"/>
        <v>#NAME?</v>
      </c>
      <c r="D32" s="8" t="e">
        <f t="shared" ca="1" si="15"/>
        <v>#NAME?</v>
      </c>
      <c r="E32" s="8" t="e">
        <f t="shared" ca="1" si="16"/>
        <v>#NAME?</v>
      </c>
      <c r="F32" s="8" t="e">
        <f t="shared" ca="1" si="17"/>
        <v>#NAME?</v>
      </c>
      <c r="G32" s="8" t="e">
        <f t="shared" ca="1" si="18"/>
        <v>#NAME?</v>
      </c>
      <c r="H32" s="8" t="e">
        <f t="shared" ca="1" si="19"/>
        <v>#NAME?</v>
      </c>
      <c r="I32" s="8" t="e">
        <f t="shared" ca="1" si="20"/>
        <v>#NAME?</v>
      </c>
      <c r="J32" s="8" t="e">
        <f t="shared" ca="1" si="21"/>
        <v>#NAME?</v>
      </c>
      <c r="K32" s="8" t="e">
        <f t="shared" ca="1" si="22"/>
        <v>#NAME?</v>
      </c>
      <c r="L32" s="8" t="e">
        <f t="shared" ca="1" si="23"/>
        <v>#NAME?</v>
      </c>
      <c r="M32" s="8" t="e">
        <f t="shared" ca="1" si="24"/>
        <v>#NAME?</v>
      </c>
      <c r="N32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32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422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423</v>
      </c>
    </row>
    <row r="6" spans="1:15" x14ac:dyDescent="0.35">
      <c r="A6" s="2" t="s">
        <v>15</v>
      </c>
      <c r="B6" s="5">
        <v>2015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44</v>
      </c>
      <c r="B11" s="7" t="s">
        <v>45</v>
      </c>
      <c r="C11" s="8" t="e">
        <f t="shared" ref="C11:C22" ca="1" si="0">EPM($B$5,$B$6,1,A11,"period_net_amount",$B$7)</f>
        <v>#NAME?</v>
      </c>
      <c r="D11" s="8" t="e">
        <f t="shared" ref="D11:D22" ca="1" si="1">EPM($B$5,$B$6,2,A11,"period_net_amount",$B$7)</f>
        <v>#NAME?</v>
      </c>
      <c r="E11" s="8" t="e">
        <f t="shared" ref="E11:E22" ca="1" si="2">EPM($B$5,$B$6,3,A11,"period_net_amount",$B$7)</f>
        <v>#NAME?</v>
      </c>
      <c r="F11" s="8" t="e">
        <f t="shared" ref="F11:F22" ca="1" si="3">EPM($B$5,$B$6,4,A11,"period_net_amount",$B$7)</f>
        <v>#NAME?</v>
      </c>
      <c r="G11" s="8" t="e">
        <f t="shared" ref="G11:G22" ca="1" si="4">EPM($B$5,$B$6,5,A11,"period_net_amount",$B$7)</f>
        <v>#NAME?</v>
      </c>
      <c r="H11" s="8" t="e">
        <f t="shared" ref="H11:H22" ca="1" si="5">EPM($B$5,$B$6,6,A11,"period_net_amount",$B$7)</f>
        <v>#NAME?</v>
      </c>
      <c r="I11" s="8" t="e">
        <f t="shared" ref="I11:I22" ca="1" si="6">EPM($B$5,$B$6,7,A11,"period_net_amount",$B$7)</f>
        <v>#NAME?</v>
      </c>
      <c r="J11" s="8" t="e">
        <f t="shared" ref="J11:J22" ca="1" si="7">EPM($B$5,$B$6,8,A11,"period_net_amount",$B$7)</f>
        <v>#NAME?</v>
      </c>
      <c r="K11" s="8" t="e">
        <f t="shared" ref="K11:K22" ca="1" si="8">EPM($B$5,$B$6,9,A11,"period_net_amount",$B$7)</f>
        <v>#NAME?</v>
      </c>
      <c r="L11" s="8" t="e">
        <f t="shared" ref="L11:L22" ca="1" si="9">EPM($B$5,$B$6,10,A11,"period_net_amount",$B$7)</f>
        <v>#NAME?</v>
      </c>
      <c r="M11" s="8" t="e">
        <f t="shared" ref="M11:M22" ca="1" si="10">EPM($B$5,$B$6,11,A11,"period_net_amount",$B$7)</f>
        <v>#NAME?</v>
      </c>
      <c r="N11" s="8" t="e">
        <f t="shared" ref="N11:N22" ca="1" si="11">EPM($B$5,$B$6,12,A11,"period_net_amount",$B$7)</f>
        <v>#NAME?</v>
      </c>
      <c r="O11" s="9" t="e">
        <f t="shared" ref="O11:O22" ca="1" si="12">SUM(C11:N11)</f>
        <v>#NAME?</v>
      </c>
    </row>
    <row r="12" spans="1:15" x14ac:dyDescent="0.35">
      <c r="A12" s="7" t="s">
        <v>300</v>
      </c>
      <c r="B12" s="7" t="s">
        <v>301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52</v>
      </c>
      <c r="B13" s="7" t="s">
        <v>49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297</v>
      </c>
      <c r="B14" s="7" t="s">
        <v>317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34</v>
      </c>
      <c r="B15" s="7" t="s">
        <v>35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242</v>
      </c>
      <c r="B16" s="7" t="s">
        <v>299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216</v>
      </c>
      <c r="B17" s="7" t="s">
        <v>217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A18" s="7" t="s">
        <v>267</v>
      </c>
      <c r="B18" s="7" t="s">
        <v>268</v>
      </c>
      <c r="C18" s="8" t="e">
        <f t="shared" ca="1" si="0"/>
        <v>#NAME?</v>
      </c>
      <c r="D18" s="8" t="e">
        <f t="shared" ca="1" si="1"/>
        <v>#NAME?</v>
      </c>
      <c r="E18" s="8" t="e">
        <f t="shared" ca="1" si="2"/>
        <v>#NAME?</v>
      </c>
      <c r="F18" s="8" t="e">
        <f t="shared" ca="1" si="3"/>
        <v>#NAME?</v>
      </c>
      <c r="G18" s="8" t="e">
        <f t="shared" ca="1" si="4"/>
        <v>#NAME?</v>
      </c>
      <c r="H18" s="8" t="e">
        <f t="shared" ca="1" si="5"/>
        <v>#NAME?</v>
      </c>
      <c r="I18" s="8" t="e">
        <f t="shared" ca="1" si="6"/>
        <v>#NAME?</v>
      </c>
      <c r="J18" s="8" t="e">
        <f t="shared" ca="1" si="7"/>
        <v>#NAME?</v>
      </c>
      <c r="K18" s="8" t="e">
        <f t="shared" ca="1" si="8"/>
        <v>#NAME?</v>
      </c>
      <c r="L18" s="8" t="e">
        <f t="shared" ca="1" si="9"/>
        <v>#NAME?</v>
      </c>
      <c r="M18" s="8" t="e">
        <f t="shared" ca="1" si="10"/>
        <v>#NAME?</v>
      </c>
      <c r="N18" s="8" t="e">
        <f t="shared" ca="1" si="11"/>
        <v>#NAME?</v>
      </c>
      <c r="O18" s="9" t="e">
        <f t="shared" ca="1" si="12"/>
        <v>#NAME?</v>
      </c>
    </row>
    <row r="19" spans="1:15" x14ac:dyDescent="0.35">
      <c r="A19" s="7" t="s">
        <v>142</v>
      </c>
      <c r="B19" s="7" t="s">
        <v>193</v>
      </c>
      <c r="C19" s="8" t="e">
        <f t="shared" ca="1" si="0"/>
        <v>#NAME?</v>
      </c>
      <c r="D19" s="8" t="e">
        <f t="shared" ca="1" si="1"/>
        <v>#NAME?</v>
      </c>
      <c r="E19" s="8" t="e">
        <f t="shared" ca="1" si="2"/>
        <v>#NAME?</v>
      </c>
      <c r="F19" s="8" t="e">
        <f t="shared" ca="1" si="3"/>
        <v>#NAME?</v>
      </c>
      <c r="G19" s="8" t="e">
        <f t="shared" ca="1" si="4"/>
        <v>#NAME?</v>
      </c>
      <c r="H19" s="8" t="e">
        <f t="shared" ca="1" si="5"/>
        <v>#NAME?</v>
      </c>
      <c r="I19" s="8" t="e">
        <f t="shared" ca="1" si="6"/>
        <v>#NAME?</v>
      </c>
      <c r="J19" s="8" t="e">
        <f t="shared" ca="1" si="7"/>
        <v>#NAME?</v>
      </c>
      <c r="K19" s="8" t="e">
        <f t="shared" ca="1" si="8"/>
        <v>#NAME?</v>
      </c>
      <c r="L19" s="8" t="e">
        <f t="shared" ca="1" si="9"/>
        <v>#NAME?</v>
      </c>
      <c r="M19" s="8" t="e">
        <f t="shared" ca="1" si="10"/>
        <v>#NAME?</v>
      </c>
      <c r="N19" s="8" t="e">
        <f t="shared" ca="1" si="11"/>
        <v>#NAME?</v>
      </c>
      <c r="O19" s="9" t="e">
        <f t="shared" ca="1" si="12"/>
        <v>#NAME?</v>
      </c>
    </row>
    <row r="20" spans="1:15" x14ac:dyDescent="0.35">
      <c r="A20" s="7" t="s">
        <v>218</v>
      </c>
      <c r="B20" s="7" t="s">
        <v>219</v>
      </c>
      <c r="C20" s="8" t="e">
        <f t="shared" ca="1" si="0"/>
        <v>#NAME?</v>
      </c>
      <c r="D20" s="8" t="e">
        <f t="shared" ca="1" si="1"/>
        <v>#NAME?</v>
      </c>
      <c r="E20" s="8" t="e">
        <f t="shared" ca="1" si="2"/>
        <v>#NAME?</v>
      </c>
      <c r="F20" s="8" t="e">
        <f t="shared" ca="1" si="3"/>
        <v>#NAME?</v>
      </c>
      <c r="G20" s="8" t="e">
        <f t="shared" ca="1" si="4"/>
        <v>#NAME?</v>
      </c>
      <c r="H20" s="8" t="e">
        <f t="shared" ca="1" si="5"/>
        <v>#NAME?</v>
      </c>
      <c r="I20" s="8" t="e">
        <f t="shared" ca="1" si="6"/>
        <v>#NAME?</v>
      </c>
      <c r="J20" s="8" t="e">
        <f t="shared" ca="1" si="7"/>
        <v>#NAME?</v>
      </c>
      <c r="K20" s="8" t="e">
        <f t="shared" ca="1" si="8"/>
        <v>#NAME?</v>
      </c>
      <c r="L20" s="8" t="e">
        <f t="shared" ca="1" si="9"/>
        <v>#NAME?</v>
      </c>
      <c r="M20" s="8" t="e">
        <f t="shared" ca="1" si="10"/>
        <v>#NAME?</v>
      </c>
      <c r="N20" s="8" t="e">
        <f t="shared" ca="1" si="11"/>
        <v>#NAME?</v>
      </c>
      <c r="O20" s="9" t="e">
        <f t="shared" ca="1" si="12"/>
        <v>#NAME?</v>
      </c>
    </row>
    <row r="21" spans="1:15" x14ac:dyDescent="0.35">
      <c r="A21" s="7" t="s">
        <v>313</v>
      </c>
      <c r="B21" s="7" t="s">
        <v>424</v>
      </c>
      <c r="C21" s="8" t="e">
        <f t="shared" ca="1" si="0"/>
        <v>#NAME?</v>
      </c>
      <c r="D21" s="8" t="e">
        <f t="shared" ca="1" si="1"/>
        <v>#NAME?</v>
      </c>
      <c r="E21" s="8" t="e">
        <f t="shared" ca="1" si="2"/>
        <v>#NAME?</v>
      </c>
      <c r="F21" s="8" t="e">
        <f t="shared" ca="1" si="3"/>
        <v>#NAME?</v>
      </c>
      <c r="G21" s="8" t="e">
        <f t="shared" ca="1" si="4"/>
        <v>#NAME?</v>
      </c>
      <c r="H21" s="8" t="e">
        <f t="shared" ca="1" si="5"/>
        <v>#NAME?</v>
      </c>
      <c r="I21" s="8" t="e">
        <f t="shared" ca="1" si="6"/>
        <v>#NAME?</v>
      </c>
      <c r="J21" s="8" t="e">
        <f t="shared" ca="1" si="7"/>
        <v>#NAME?</v>
      </c>
      <c r="K21" s="8" t="e">
        <f t="shared" ca="1" si="8"/>
        <v>#NAME?</v>
      </c>
      <c r="L21" s="8" t="e">
        <f t="shared" ca="1" si="9"/>
        <v>#NAME?</v>
      </c>
      <c r="M21" s="8" t="e">
        <f t="shared" ca="1" si="10"/>
        <v>#NAME?</v>
      </c>
      <c r="N21" s="8" t="e">
        <f t="shared" ca="1" si="11"/>
        <v>#NAME?</v>
      </c>
      <c r="O21" s="9" t="e">
        <f t="shared" ca="1" si="12"/>
        <v>#NAME?</v>
      </c>
    </row>
    <row r="22" spans="1:15" x14ac:dyDescent="0.35">
      <c r="A22" s="7" t="s">
        <v>319</v>
      </c>
      <c r="B22" s="7" t="s">
        <v>320</v>
      </c>
      <c r="C22" s="8" t="e">
        <f t="shared" ca="1" si="0"/>
        <v>#NAME?</v>
      </c>
      <c r="D22" s="8" t="e">
        <f t="shared" ca="1" si="1"/>
        <v>#NAME?</v>
      </c>
      <c r="E22" s="8" t="e">
        <f t="shared" ca="1" si="2"/>
        <v>#NAME?</v>
      </c>
      <c r="F22" s="8" t="e">
        <f t="shared" ca="1" si="3"/>
        <v>#NAME?</v>
      </c>
      <c r="G22" s="8" t="e">
        <f t="shared" ca="1" si="4"/>
        <v>#NAME?</v>
      </c>
      <c r="H22" s="8" t="e">
        <f t="shared" ca="1" si="5"/>
        <v>#NAME?</v>
      </c>
      <c r="I22" s="8" t="e">
        <f t="shared" ca="1" si="6"/>
        <v>#NAME?</v>
      </c>
      <c r="J22" s="8" t="e">
        <f t="shared" ca="1" si="7"/>
        <v>#NAME?</v>
      </c>
      <c r="K22" s="8" t="e">
        <f t="shared" ca="1" si="8"/>
        <v>#NAME?</v>
      </c>
      <c r="L22" s="8" t="e">
        <f t="shared" ca="1" si="9"/>
        <v>#NAME?</v>
      </c>
      <c r="M22" s="8" t="e">
        <f t="shared" ca="1" si="10"/>
        <v>#NAME?</v>
      </c>
      <c r="N22" s="8" t="e">
        <f t="shared" ca="1" si="11"/>
        <v>#NAME?</v>
      </c>
      <c r="O22" s="9" t="e">
        <f t="shared" ca="1" si="12"/>
        <v>#NAME?</v>
      </c>
    </row>
    <row r="23" spans="1:15" x14ac:dyDescent="0.35">
      <c r="B23" s="10" t="s">
        <v>57</v>
      </c>
      <c r="C23" s="11" t="e">
        <f t="shared" ref="C23:O23" ca="1" si="13">SUM(C11:C22)</f>
        <v>#NAME?</v>
      </c>
      <c r="D23" s="11" t="e">
        <f t="shared" ca="1" si="13"/>
        <v>#NAME?</v>
      </c>
      <c r="E23" s="11" t="e">
        <f t="shared" ca="1" si="13"/>
        <v>#NAME?</v>
      </c>
      <c r="F23" s="11" t="e">
        <f t="shared" ca="1" si="13"/>
        <v>#NAME?</v>
      </c>
      <c r="G23" s="11" t="e">
        <f t="shared" ca="1" si="13"/>
        <v>#NAME?</v>
      </c>
      <c r="H23" s="11" t="e">
        <f t="shared" ca="1" si="13"/>
        <v>#NAME?</v>
      </c>
      <c r="I23" s="11" t="e">
        <f t="shared" ca="1" si="13"/>
        <v>#NAME?</v>
      </c>
      <c r="J23" s="11" t="e">
        <f t="shared" ca="1" si="13"/>
        <v>#NAME?</v>
      </c>
      <c r="K23" s="11" t="e">
        <f t="shared" ca="1" si="13"/>
        <v>#NAME?</v>
      </c>
      <c r="L23" s="11" t="e">
        <f t="shared" ca="1" si="13"/>
        <v>#NAME?</v>
      </c>
      <c r="M23" s="11" t="e">
        <f t="shared" ca="1" si="13"/>
        <v>#NAME?</v>
      </c>
      <c r="N23" s="11" t="e">
        <f t="shared" ca="1" si="13"/>
        <v>#NAME?</v>
      </c>
      <c r="O23" s="11" t="e">
        <f t="shared" ca="1" si="13"/>
        <v>#NAME?</v>
      </c>
    </row>
    <row r="25" spans="1:15" ht="15.5" x14ac:dyDescent="0.35">
      <c r="A25" s="4" t="s">
        <v>58</v>
      </c>
    </row>
    <row r="26" spans="1:15" x14ac:dyDescent="0.35">
      <c r="A26" s="6" t="s">
        <v>19</v>
      </c>
      <c r="B26" s="6" t="s">
        <v>20</v>
      </c>
      <c r="C26" s="6" t="s">
        <v>21</v>
      </c>
      <c r="D26" s="6" t="s">
        <v>22</v>
      </c>
      <c r="E26" s="6" t="s">
        <v>23</v>
      </c>
      <c r="F26" s="6" t="s">
        <v>24</v>
      </c>
      <c r="G26" s="6" t="s">
        <v>25</v>
      </c>
      <c r="H26" s="6" t="s">
        <v>26</v>
      </c>
      <c r="I26" s="6" t="s">
        <v>27</v>
      </c>
      <c r="J26" s="6" t="s">
        <v>28</v>
      </c>
      <c r="K26" s="6" t="s">
        <v>29</v>
      </c>
      <c r="L26" s="6" t="s">
        <v>30</v>
      </c>
      <c r="M26" s="6" t="s">
        <v>31</v>
      </c>
      <c r="N26" s="6" t="s">
        <v>32</v>
      </c>
    </row>
    <row r="27" spans="1:15" x14ac:dyDescent="0.35">
      <c r="A27" s="7" t="s">
        <v>150</v>
      </c>
      <c r="B27" s="7" t="s">
        <v>416</v>
      </c>
      <c r="C27" s="8" t="e">
        <f t="shared" ref="C27:C32" ca="1" si="14">EPM($B$5,$B$6,1,A27,"period_net_amount",$B$7)</f>
        <v>#NAME?</v>
      </c>
      <c r="D27" s="8" t="e">
        <f t="shared" ref="D27:D32" ca="1" si="15">EPM($B$5,$B$6,2,A27,"period_net_amount",$B$7)</f>
        <v>#NAME?</v>
      </c>
      <c r="E27" s="8" t="e">
        <f t="shared" ref="E27:E32" ca="1" si="16">EPM($B$5,$B$6,3,A27,"period_net_amount",$B$7)</f>
        <v>#NAME?</v>
      </c>
      <c r="F27" s="8" t="e">
        <f t="shared" ref="F27:F32" ca="1" si="17">EPM($B$5,$B$6,4,A27,"period_net_amount",$B$7)</f>
        <v>#NAME?</v>
      </c>
      <c r="G27" s="8" t="e">
        <f t="shared" ref="G27:G32" ca="1" si="18">EPM($B$5,$B$6,5,A27,"period_net_amount",$B$7)</f>
        <v>#NAME?</v>
      </c>
      <c r="H27" s="8" t="e">
        <f t="shared" ref="H27:H32" ca="1" si="19">EPM($B$5,$B$6,6,A27,"period_net_amount",$B$7)</f>
        <v>#NAME?</v>
      </c>
      <c r="I27" s="8" t="e">
        <f t="shared" ref="I27:I32" ca="1" si="20">EPM($B$5,$B$6,7,A27,"period_net_amount",$B$7)</f>
        <v>#NAME?</v>
      </c>
      <c r="J27" s="8" t="e">
        <f t="shared" ref="J27:J32" ca="1" si="21">EPM($B$5,$B$6,8,A27,"period_net_amount",$B$7)</f>
        <v>#NAME?</v>
      </c>
      <c r="K27" s="8" t="e">
        <f t="shared" ref="K27:K32" ca="1" si="22">EPM($B$5,$B$6,9,A27,"period_net_amount",$B$7)</f>
        <v>#NAME?</v>
      </c>
      <c r="L27" s="8" t="e">
        <f t="shared" ref="L27:L32" ca="1" si="23">EPM($B$5,$B$6,10,A27,"period_net_amount",$B$7)</f>
        <v>#NAME?</v>
      </c>
      <c r="M27" s="8" t="e">
        <f t="shared" ref="M27:M32" ca="1" si="24">EPM($B$5,$B$6,11,A27,"period_net_amount",$B$7)</f>
        <v>#NAME?</v>
      </c>
      <c r="N27" s="8" t="e">
        <f t="shared" ref="N27:N32" ca="1" si="25">EPM($B$5,$B$6,12,A27,"period_net_amount",$B$7)</f>
        <v>#NAME?</v>
      </c>
    </row>
    <row r="28" spans="1:15" x14ac:dyDescent="0.35">
      <c r="A28" s="7" t="s">
        <v>61</v>
      </c>
      <c r="B28" s="7" t="s">
        <v>62</v>
      </c>
      <c r="C28" s="8" t="e">
        <f t="shared" ca="1" si="14"/>
        <v>#NAME?</v>
      </c>
      <c r="D28" s="8" t="e">
        <f t="shared" ca="1" si="15"/>
        <v>#NAME?</v>
      </c>
      <c r="E28" s="8" t="e">
        <f t="shared" ca="1" si="16"/>
        <v>#NAME?</v>
      </c>
      <c r="F28" s="8" t="e">
        <f t="shared" ca="1" si="17"/>
        <v>#NAME?</v>
      </c>
      <c r="G28" s="8" t="e">
        <f t="shared" ca="1" si="18"/>
        <v>#NAME?</v>
      </c>
      <c r="H28" s="8" t="e">
        <f t="shared" ca="1" si="19"/>
        <v>#NAME?</v>
      </c>
      <c r="I28" s="8" t="e">
        <f t="shared" ca="1" si="20"/>
        <v>#NAME?</v>
      </c>
      <c r="J28" s="8" t="e">
        <f t="shared" ca="1" si="21"/>
        <v>#NAME?</v>
      </c>
      <c r="K28" s="8" t="e">
        <f t="shared" ca="1" si="22"/>
        <v>#NAME?</v>
      </c>
      <c r="L28" s="8" t="e">
        <f t="shared" ca="1" si="23"/>
        <v>#NAME?</v>
      </c>
      <c r="M28" s="8" t="e">
        <f t="shared" ca="1" si="24"/>
        <v>#NAME?</v>
      </c>
      <c r="N28" s="8" t="e">
        <f t="shared" ca="1" si="25"/>
        <v>#NAME?</v>
      </c>
    </row>
    <row r="29" spans="1:15" x14ac:dyDescent="0.35">
      <c r="A29" s="7" t="s">
        <v>203</v>
      </c>
      <c r="B29" s="7" t="s">
        <v>204</v>
      </c>
      <c r="C29" s="8" t="e">
        <f t="shared" ca="1" si="14"/>
        <v>#NAME?</v>
      </c>
      <c r="D29" s="8" t="e">
        <f t="shared" ca="1" si="15"/>
        <v>#NAME?</v>
      </c>
      <c r="E29" s="8" t="e">
        <f t="shared" ca="1" si="16"/>
        <v>#NAME?</v>
      </c>
      <c r="F29" s="8" t="e">
        <f t="shared" ca="1" si="17"/>
        <v>#NAME?</v>
      </c>
      <c r="G29" s="8" t="e">
        <f t="shared" ca="1" si="18"/>
        <v>#NAME?</v>
      </c>
      <c r="H29" s="8" t="e">
        <f t="shared" ca="1" si="19"/>
        <v>#NAME?</v>
      </c>
      <c r="I29" s="8" t="e">
        <f t="shared" ca="1" si="20"/>
        <v>#NAME?</v>
      </c>
      <c r="J29" s="8" t="e">
        <f t="shared" ca="1" si="21"/>
        <v>#NAME?</v>
      </c>
      <c r="K29" s="8" t="e">
        <f t="shared" ca="1" si="22"/>
        <v>#NAME?</v>
      </c>
      <c r="L29" s="8" t="e">
        <f t="shared" ca="1" si="23"/>
        <v>#NAME?</v>
      </c>
      <c r="M29" s="8" t="e">
        <f t="shared" ca="1" si="24"/>
        <v>#NAME?</v>
      </c>
      <c r="N29" s="8" t="e">
        <f t="shared" ca="1" si="25"/>
        <v>#NAME?</v>
      </c>
    </row>
    <row r="30" spans="1:15" x14ac:dyDescent="0.35">
      <c r="A30" s="7" t="s">
        <v>414</v>
      </c>
      <c r="B30" s="7" t="s">
        <v>415</v>
      </c>
      <c r="C30" s="8" t="e">
        <f t="shared" ca="1" si="14"/>
        <v>#NAME?</v>
      </c>
      <c r="D30" s="8" t="e">
        <f t="shared" ca="1" si="15"/>
        <v>#NAME?</v>
      </c>
      <c r="E30" s="8" t="e">
        <f t="shared" ca="1" si="16"/>
        <v>#NAME?</v>
      </c>
      <c r="F30" s="8" t="e">
        <f t="shared" ca="1" si="17"/>
        <v>#NAME?</v>
      </c>
      <c r="G30" s="8" t="e">
        <f t="shared" ca="1" si="18"/>
        <v>#NAME?</v>
      </c>
      <c r="H30" s="8" t="e">
        <f t="shared" ca="1" si="19"/>
        <v>#NAME?</v>
      </c>
      <c r="I30" s="8" t="e">
        <f t="shared" ca="1" si="20"/>
        <v>#NAME?</v>
      </c>
      <c r="J30" s="8" t="e">
        <f t="shared" ca="1" si="21"/>
        <v>#NAME?</v>
      </c>
      <c r="K30" s="8" t="e">
        <f t="shared" ca="1" si="22"/>
        <v>#NAME?</v>
      </c>
      <c r="L30" s="8" t="e">
        <f t="shared" ca="1" si="23"/>
        <v>#NAME?</v>
      </c>
      <c r="M30" s="8" t="e">
        <f t="shared" ca="1" si="24"/>
        <v>#NAME?</v>
      </c>
      <c r="N30" s="8" t="e">
        <f t="shared" ca="1" si="25"/>
        <v>#NAME?</v>
      </c>
    </row>
    <row r="31" spans="1:15" x14ac:dyDescent="0.35">
      <c r="A31" s="7" t="s">
        <v>232</v>
      </c>
      <c r="B31" s="7" t="s">
        <v>425</v>
      </c>
      <c r="C31" s="8" t="e">
        <f t="shared" ca="1" si="14"/>
        <v>#NAME?</v>
      </c>
      <c r="D31" s="8" t="e">
        <f t="shared" ca="1" si="15"/>
        <v>#NAME?</v>
      </c>
      <c r="E31" s="8" t="e">
        <f t="shared" ca="1" si="16"/>
        <v>#NAME?</v>
      </c>
      <c r="F31" s="8" t="e">
        <f t="shared" ca="1" si="17"/>
        <v>#NAME?</v>
      </c>
      <c r="G31" s="8" t="e">
        <f t="shared" ca="1" si="18"/>
        <v>#NAME?</v>
      </c>
      <c r="H31" s="8" t="e">
        <f t="shared" ca="1" si="19"/>
        <v>#NAME?</v>
      </c>
      <c r="I31" s="8" t="e">
        <f t="shared" ca="1" si="20"/>
        <v>#NAME?</v>
      </c>
      <c r="J31" s="8" t="e">
        <f t="shared" ca="1" si="21"/>
        <v>#NAME?</v>
      </c>
      <c r="K31" s="8" t="e">
        <f t="shared" ca="1" si="22"/>
        <v>#NAME?</v>
      </c>
      <c r="L31" s="8" t="e">
        <f t="shared" ca="1" si="23"/>
        <v>#NAME?</v>
      </c>
      <c r="M31" s="8" t="e">
        <f t="shared" ca="1" si="24"/>
        <v>#NAME?</v>
      </c>
      <c r="N31" s="8" t="e">
        <f t="shared" ca="1" si="25"/>
        <v>#NAME?</v>
      </c>
    </row>
    <row r="32" spans="1:15" x14ac:dyDescent="0.35">
      <c r="A32" s="7" t="s">
        <v>309</v>
      </c>
      <c r="B32" s="7" t="s">
        <v>426</v>
      </c>
      <c r="C32" s="8" t="e">
        <f t="shared" ca="1" si="14"/>
        <v>#NAME?</v>
      </c>
      <c r="D32" s="8" t="e">
        <f t="shared" ca="1" si="15"/>
        <v>#NAME?</v>
      </c>
      <c r="E32" s="8" t="e">
        <f t="shared" ca="1" si="16"/>
        <v>#NAME?</v>
      </c>
      <c r="F32" s="8" t="e">
        <f t="shared" ca="1" si="17"/>
        <v>#NAME?</v>
      </c>
      <c r="G32" s="8" t="e">
        <f t="shared" ca="1" si="18"/>
        <v>#NAME?</v>
      </c>
      <c r="H32" s="8" t="e">
        <f t="shared" ca="1" si="19"/>
        <v>#NAME?</v>
      </c>
      <c r="I32" s="8" t="e">
        <f t="shared" ca="1" si="20"/>
        <v>#NAME?</v>
      </c>
      <c r="J32" s="8" t="e">
        <f t="shared" ca="1" si="21"/>
        <v>#NAME?</v>
      </c>
      <c r="K32" s="8" t="e">
        <f t="shared" ca="1" si="22"/>
        <v>#NAME?</v>
      </c>
      <c r="L32" s="8" t="e">
        <f t="shared" ca="1" si="23"/>
        <v>#NAME?</v>
      </c>
      <c r="M32" s="8" t="e">
        <f t="shared" ca="1" si="24"/>
        <v>#NAME?</v>
      </c>
      <c r="N32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32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427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428</v>
      </c>
    </row>
    <row r="6" spans="1:15" x14ac:dyDescent="0.35">
      <c r="A6" s="2" t="s">
        <v>15</v>
      </c>
      <c r="B6" s="5">
        <v>2024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300</v>
      </c>
      <c r="B11" s="7" t="s">
        <v>301</v>
      </c>
      <c r="C11" s="8" t="e">
        <f t="shared" ref="C11:C22" ca="1" si="0">EPM($B$5,$B$6,1,A11,"period_net_amount",$B$7)</f>
        <v>#NAME?</v>
      </c>
      <c r="D11" s="8" t="e">
        <f t="shared" ref="D11:D22" ca="1" si="1">EPM($B$5,$B$6,2,A11,"period_net_amount",$B$7)</f>
        <v>#NAME?</v>
      </c>
      <c r="E11" s="8" t="e">
        <f t="shared" ref="E11:E22" ca="1" si="2">EPM($B$5,$B$6,3,A11,"period_net_amount",$B$7)</f>
        <v>#NAME?</v>
      </c>
      <c r="F11" s="8" t="e">
        <f t="shared" ref="F11:F22" ca="1" si="3">EPM($B$5,$B$6,4,A11,"period_net_amount",$B$7)</f>
        <v>#NAME?</v>
      </c>
      <c r="G11" s="8" t="e">
        <f t="shared" ref="G11:G22" ca="1" si="4">EPM($B$5,$B$6,5,A11,"period_net_amount",$B$7)</f>
        <v>#NAME?</v>
      </c>
      <c r="H11" s="8" t="e">
        <f t="shared" ref="H11:H22" ca="1" si="5">EPM($B$5,$B$6,6,A11,"period_net_amount",$B$7)</f>
        <v>#NAME?</v>
      </c>
      <c r="I11" s="8" t="e">
        <f t="shared" ref="I11:I22" ca="1" si="6">EPM($B$5,$B$6,7,A11,"period_net_amount",$B$7)</f>
        <v>#NAME?</v>
      </c>
      <c r="J11" s="8" t="e">
        <f t="shared" ref="J11:J22" ca="1" si="7">EPM($B$5,$B$6,8,A11,"period_net_amount",$B$7)</f>
        <v>#NAME?</v>
      </c>
      <c r="K11" s="8" t="e">
        <f t="shared" ref="K11:K22" ca="1" si="8">EPM($B$5,$B$6,9,A11,"period_net_amount",$B$7)</f>
        <v>#NAME?</v>
      </c>
      <c r="L11" s="8" t="e">
        <f t="shared" ref="L11:L22" ca="1" si="9">EPM($B$5,$B$6,10,A11,"period_net_amount",$B$7)</f>
        <v>#NAME?</v>
      </c>
      <c r="M11" s="8" t="e">
        <f t="shared" ref="M11:M22" ca="1" si="10">EPM($B$5,$B$6,11,A11,"period_net_amount",$B$7)</f>
        <v>#NAME?</v>
      </c>
      <c r="N11" s="8" t="e">
        <f t="shared" ref="N11:N22" ca="1" si="11">EPM($B$5,$B$6,12,A11,"period_net_amount",$B$7)</f>
        <v>#NAME?</v>
      </c>
      <c r="O11" s="9" t="e">
        <f t="shared" ref="O11:O22" ca="1" si="12">SUM(C11:N11)</f>
        <v>#NAME?</v>
      </c>
    </row>
    <row r="12" spans="1:15" x14ac:dyDescent="0.35">
      <c r="A12" s="7" t="s">
        <v>429</v>
      </c>
      <c r="B12" s="7" t="s">
        <v>430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138</v>
      </c>
      <c r="B13" s="7" t="s">
        <v>139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44</v>
      </c>
      <c r="B14" s="7" t="s">
        <v>45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142</v>
      </c>
      <c r="B15" s="7" t="s">
        <v>143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302</v>
      </c>
      <c r="B16" s="7" t="s">
        <v>47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52</v>
      </c>
      <c r="B17" s="7" t="s">
        <v>49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A18" s="7" t="s">
        <v>36</v>
      </c>
      <c r="B18" s="7" t="s">
        <v>318</v>
      </c>
      <c r="C18" s="8" t="e">
        <f t="shared" ca="1" si="0"/>
        <v>#NAME?</v>
      </c>
      <c r="D18" s="8" t="e">
        <f t="shared" ca="1" si="1"/>
        <v>#NAME?</v>
      </c>
      <c r="E18" s="8" t="e">
        <f t="shared" ca="1" si="2"/>
        <v>#NAME?</v>
      </c>
      <c r="F18" s="8" t="e">
        <f t="shared" ca="1" si="3"/>
        <v>#NAME?</v>
      </c>
      <c r="G18" s="8" t="e">
        <f t="shared" ca="1" si="4"/>
        <v>#NAME?</v>
      </c>
      <c r="H18" s="8" t="e">
        <f t="shared" ca="1" si="5"/>
        <v>#NAME?</v>
      </c>
      <c r="I18" s="8" t="e">
        <f t="shared" ca="1" si="6"/>
        <v>#NAME?</v>
      </c>
      <c r="J18" s="8" t="e">
        <f t="shared" ca="1" si="7"/>
        <v>#NAME?</v>
      </c>
      <c r="K18" s="8" t="e">
        <f t="shared" ca="1" si="8"/>
        <v>#NAME?</v>
      </c>
      <c r="L18" s="8" t="e">
        <f t="shared" ca="1" si="9"/>
        <v>#NAME?</v>
      </c>
      <c r="M18" s="8" t="e">
        <f t="shared" ca="1" si="10"/>
        <v>#NAME?</v>
      </c>
      <c r="N18" s="8" t="e">
        <f t="shared" ca="1" si="11"/>
        <v>#NAME?</v>
      </c>
      <c r="O18" s="9" t="e">
        <f t="shared" ca="1" si="12"/>
        <v>#NAME?</v>
      </c>
    </row>
    <row r="19" spans="1:15" x14ac:dyDescent="0.35">
      <c r="A19" s="7" t="s">
        <v>34</v>
      </c>
      <c r="B19" s="7" t="s">
        <v>431</v>
      </c>
      <c r="C19" s="8" t="e">
        <f t="shared" ca="1" si="0"/>
        <v>#NAME?</v>
      </c>
      <c r="D19" s="8" t="e">
        <f t="shared" ca="1" si="1"/>
        <v>#NAME?</v>
      </c>
      <c r="E19" s="8" t="e">
        <f t="shared" ca="1" si="2"/>
        <v>#NAME?</v>
      </c>
      <c r="F19" s="8" t="e">
        <f t="shared" ca="1" si="3"/>
        <v>#NAME?</v>
      </c>
      <c r="G19" s="8" t="e">
        <f t="shared" ca="1" si="4"/>
        <v>#NAME?</v>
      </c>
      <c r="H19" s="8" t="e">
        <f t="shared" ca="1" si="5"/>
        <v>#NAME?</v>
      </c>
      <c r="I19" s="8" t="e">
        <f t="shared" ca="1" si="6"/>
        <v>#NAME?</v>
      </c>
      <c r="J19" s="8" t="e">
        <f t="shared" ca="1" si="7"/>
        <v>#NAME?</v>
      </c>
      <c r="K19" s="8" t="e">
        <f t="shared" ca="1" si="8"/>
        <v>#NAME?</v>
      </c>
      <c r="L19" s="8" t="e">
        <f t="shared" ca="1" si="9"/>
        <v>#NAME?</v>
      </c>
      <c r="M19" s="8" t="e">
        <f t="shared" ca="1" si="10"/>
        <v>#NAME?</v>
      </c>
      <c r="N19" s="8" t="e">
        <f t="shared" ca="1" si="11"/>
        <v>#NAME?</v>
      </c>
      <c r="O19" s="9" t="e">
        <f t="shared" ca="1" si="12"/>
        <v>#NAME?</v>
      </c>
    </row>
    <row r="20" spans="1:15" x14ac:dyDescent="0.35">
      <c r="A20" s="7" t="s">
        <v>432</v>
      </c>
      <c r="B20" s="7" t="s">
        <v>433</v>
      </c>
      <c r="C20" s="8" t="e">
        <f t="shared" ca="1" si="0"/>
        <v>#NAME?</v>
      </c>
      <c r="D20" s="8" t="e">
        <f t="shared" ca="1" si="1"/>
        <v>#NAME?</v>
      </c>
      <c r="E20" s="8" t="e">
        <f t="shared" ca="1" si="2"/>
        <v>#NAME?</v>
      </c>
      <c r="F20" s="8" t="e">
        <f t="shared" ca="1" si="3"/>
        <v>#NAME?</v>
      </c>
      <c r="G20" s="8" t="e">
        <f t="shared" ca="1" si="4"/>
        <v>#NAME?</v>
      </c>
      <c r="H20" s="8" t="e">
        <f t="shared" ca="1" si="5"/>
        <v>#NAME?</v>
      </c>
      <c r="I20" s="8" t="e">
        <f t="shared" ca="1" si="6"/>
        <v>#NAME?</v>
      </c>
      <c r="J20" s="8" t="e">
        <f t="shared" ca="1" si="7"/>
        <v>#NAME?</v>
      </c>
      <c r="K20" s="8" t="e">
        <f t="shared" ca="1" si="8"/>
        <v>#NAME?</v>
      </c>
      <c r="L20" s="8" t="e">
        <f t="shared" ca="1" si="9"/>
        <v>#NAME?</v>
      </c>
      <c r="M20" s="8" t="e">
        <f t="shared" ca="1" si="10"/>
        <v>#NAME?</v>
      </c>
      <c r="N20" s="8" t="e">
        <f t="shared" ca="1" si="11"/>
        <v>#NAME?</v>
      </c>
      <c r="O20" s="9" t="e">
        <f t="shared" ca="1" si="12"/>
        <v>#NAME?</v>
      </c>
    </row>
    <row r="21" spans="1:15" x14ac:dyDescent="0.35">
      <c r="A21" s="7" t="s">
        <v>306</v>
      </c>
      <c r="B21" s="7" t="s">
        <v>307</v>
      </c>
      <c r="C21" s="8" t="e">
        <f t="shared" ca="1" si="0"/>
        <v>#NAME?</v>
      </c>
      <c r="D21" s="8" t="e">
        <f t="shared" ca="1" si="1"/>
        <v>#NAME?</v>
      </c>
      <c r="E21" s="8" t="e">
        <f t="shared" ca="1" si="2"/>
        <v>#NAME?</v>
      </c>
      <c r="F21" s="8" t="e">
        <f t="shared" ca="1" si="3"/>
        <v>#NAME?</v>
      </c>
      <c r="G21" s="8" t="e">
        <f t="shared" ca="1" si="4"/>
        <v>#NAME?</v>
      </c>
      <c r="H21" s="8" t="e">
        <f t="shared" ca="1" si="5"/>
        <v>#NAME?</v>
      </c>
      <c r="I21" s="8" t="e">
        <f t="shared" ca="1" si="6"/>
        <v>#NAME?</v>
      </c>
      <c r="J21" s="8" t="e">
        <f t="shared" ca="1" si="7"/>
        <v>#NAME?</v>
      </c>
      <c r="K21" s="8" t="e">
        <f t="shared" ca="1" si="8"/>
        <v>#NAME?</v>
      </c>
      <c r="L21" s="8" t="e">
        <f t="shared" ca="1" si="9"/>
        <v>#NAME?</v>
      </c>
      <c r="M21" s="8" t="e">
        <f t="shared" ca="1" si="10"/>
        <v>#NAME?</v>
      </c>
      <c r="N21" s="8" t="e">
        <f t="shared" ca="1" si="11"/>
        <v>#NAME?</v>
      </c>
      <c r="O21" s="9" t="e">
        <f t="shared" ca="1" si="12"/>
        <v>#NAME?</v>
      </c>
    </row>
    <row r="22" spans="1:15" x14ac:dyDescent="0.35">
      <c r="A22" s="7" t="s">
        <v>323</v>
      </c>
      <c r="B22" s="7" t="s">
        <v>434</v>
      </c>
      <c r="C22" s="8" t="e">
        <f t="shared" ca="1" si="0"/>
        <v>#NAME?</v>
      </c>
      <c r="D22" s="8" t="e">
        <f t="shared" ca="1" si="1"/>
        <v>#NAME?</v>
      </c>
      <c r="E22" s="8" t="e">
        <f t="shared" ca="1" si="2"/>
        <v>#NAME?</v>
      </c>
      <c r="F22" s="8" t="e">
        <f t="shared" ca="1" si="3"/>
        <v>#NAME?</v>
      </c>
      <c r="G22" s="8" t="e">
        <f t="shared" ca="1" si="4"/>
        <v>#NAME?</v>
      </c>
      <c r="H22" s="8" t="e">
        <f t="shared" ca="1" si="5"/>
        <v>#NAME?</v>
      </c>
      <c r="I22" s="8" t="e">
        <f t="shared" ca="1" si="6"/>
        <v>#NAME?</v>
      </c>
      <c r="J22" s="8" t="e">
        <f t="shared" ca="1" si="7"/>
        <v>#NAME?</v>
      </c>
      <c r="K22" s="8" t="e">
        <f t="shared" ca="1" si="8"/>
        <v>#NAME?</v>
      </c>
      <c r="L22" s="8" t="e">
        <f t="shared" ca="1" si="9"/>
        <v>#NAME?</v>
      </c>
      <c r="M22" s="8" t="e">
        <f t="shared" ca="1" si="10"/>
        <v>#NAME?</v>
      </c>
      <c r="N22" s="8" t="e">
        <f t="shared" ca="1" si="11"/>
        <v>#NAME?</v>
      </c>
      <c r="O22" s="9" t="e">
        <f t="shared" ca="1" si="12"/>
        <v>#NAME?</v>
      </c>
    </row>
    <row r="23" spans="1:15" x14ac:dyDescent="0.35">
      <c r="B23" s="10" t="s">
        <v>57</v>
      </c>
      <c r="C23" s="11" t="e">
        <f t="shared" ref="C23:O23" ca="1" si="13">SUM(C11:C22)</f>
        <v>#NAME?</v>
      </c>
      <c r="D23" s="11" t="e">
        <f t="shared" ca="1" si="13"/>
        <v>#NAME?</v>
      </c>
      <c r="E23" s="11" t="e">
        <f t="shared" ca="1" si="13"/>
        <v>#NAME?</v>
      </c>
      <c r="F23" s="11" t="e">
        <f t="shared" ca="1" si="13"/>
        <v>#NAME?</v>
      </c>
      <c r="G23" s="11" t="e">
        <f t="shared" ca="1" si="13"/>
        <v>#NAME?</v>
      </c>
      <c r="H23" s="11" t="e">
        <f t="shared" ca="1" si="13"/>
        <v>#NAME?</v>
      </c>
      <c r="I23" s="11" t="e">
        <f t="shared" ca="1" si="13"/>
        <v>#NAME?</v>
      </c>
      <c r="J23" s="11" t="e">
        <f t="shared" ca="1" si="13"/>
        <v>#NAME?</v>
      </c>
      <c r="K23" s="11" t="e">
        <f t="shared" ca="1" si="13"/>
        <v>#NAME?</v>
      </c>
      <c r="L23" s="11" t="e">
        <f t="shared" ca="1" si="13"/>
        <v>#NAME?</v>
      </c>
      <c r="M23" s="11" t="e">
        <f t="shared" ca="1" si="13"/>
        <v>#NAME?</v>
      </c>
      <c r="N23" s="11" t="e">
        <f t="shared" ca="1" si="13"/>
        <v>#NAME?</v>
      </c>
      <c r="O23" s="11" t="e">
        <f t="shared" ca="1" si="13"/>
        <v>#NAME?</v>
      </c>
    </row>
    <row r="25" spans="1:15" ht="15.5" x14ac:dyDescent="0.35">
      <c r="A25" s="4" t="s">
        <v>58</v>
      </c>
    </row>
    <row r="26" spans="1:15" x14ac:dyDescent="0.35">
      <c r="A26" s="6" t="s">
        <v>19</v>
      </c>
      <c r="B26" s="6" t="s">
        <v>20</v>
      </c>
      <c r="C26" s="6" t="s">
        <v>21</v>
      </c>
      <c r="D26" s="6" t="s">
        <v>22</v>
      </c>
      <c r="E26" s="6" t="s">
        <v>23</v>
      </c>
      <c r="F26" s="6" t="s">
        <v>24</v>
      </c>
      <c r="G26" s="6" t="s">
        <v>25</v>
      </c>
      <c r="H26" s="6" t="s">
        <v>26</v>
      </c>
      <c r="I26" s="6" t="s">
        <v>27</v>
      </c>
      <c r="J26" s="6" t="s">
        <v>28</v>
      </c>
      <c r="K26" s="6" t="s">
        <v>29</v>
      </c>
      <c r="L26" s="6" t="s">
        <v>30</v>
      </c>
      <c r="M26" s="6" t="s">
        <v>31</v>
      </c>
      <c r="N26" s="6" t="s">
        <v>32</v>
      </c>
    </row>
    <row r="27" spans="1:15" x14ac:dyDescent="0.35">
      <c r="A27" s="7" t="s">
        <v>206</v>
      </c>
      <c r="B27" s="7" t="s">
        <v>207</v>
      </c>
      <c r="C27" s="8" t="e">
        <f t="shared" ref="C27:C32" ca="1" si="14">EPM($B$5,$B$6,1,A27,"period_net_amount",$B$7)</f>
        <v>#NAME?</v>
      </c>
      <c r="D27" s="8" t="e">
        <f t="shared" ref="D27:D32" ca="1" si="15">EPM($B$5,$B$6,2,A27,"period_net_amount",$B$7)</f>
        <v>#NAME?</v>
      </c>
      <c r="E27" s="8" t="e">
        <f t="shared" ref="E27:E32" ca="1" si="16">EPM($B$5,$B$6,3,A27,"period_net_amount",$B$7)</f>
        <v>#NAME?</v>
      </c>
      <c r="F27" s="8" t="e">
        <f t="shared" ref="F27:F32" ca="1" si="17">EPM($B$5,$B$6,4,A27,"period_net_amount",$B$7)</f>
        <v>#NAME?</v>
      </c>
      <c r="G27" s="8" t="e">
        <f t="shared" ref="G27:G32" ca="1" si="18">EPM($B$5,$B$6,5,A27,"period_net_amount",$B$7)</f>
        <v>#NAME?</v>
      </c>
      <c r="H27" s="8" t="e">
        <f t="shared" ref="H27:H32" ca="1" si="19">EPM($B$5,$B$6,6,A27,"period_net_amount",$B$7)</f>
        <v>#NAME?</v>
      </c>
      <c r="I27" s="8" t="e">
        <f t="shared" ref="I27:I32" ca="1" si="20">EPM($B$5,$B$6,7,A27,"period_net_amount",$B$7)</f>
        <v>#NAME?</v>
      </c>
      <c r="J27" s="8" t="e">
        <f t="shared" ref="J27:J32" ca="1" si="21">EPM($B$5,$B$6,8,A27,"period_net_amount",$B$7)</f>
        <v>#NAME?</v>
      </c>
      <c r="K27" s="8" t="e">
        <f t="shared" ref="K27:K32" ca="1" si="22">EPM($B$5,$B$6,9,A27,"period_net_amount",$B$7)</f>
        <v>#NAME?</v>
      </c>
      <c r="L27" s="8" t="e">
        <f t="shared" ref="L27:L32" ca="1" si="23">EPM($B$5,$B$6,10,A27,"period_net_amount",$B$7)</f>
        <v>#NAME?</v>
      </c>
      <c r="M27" s="8" t="e">
        <f t="shared" ref="M27:M32" ca="1" si="24">EPM($B$5,$B$6,11,A27,"period_net_amount",$B$7)</f>
        <v>#NAME?</v>
      </c>
      <c r="N27" s="8" t="e">
        <f t="shared" ref="N27:N32" ca="1" si="25">EPM($B$5,$B$6,12,A27,"period_net_amount",$B$7)</f>
        <v>#NAME?</v>
      </c>
    </row>
    <row r="28" spans="1:15" x14ac:dyDescent="0.35">
      <c r="A28" s="7" t="s">
        <v>152</v>
      </c>
      <c r="B28" s="7" t="s">
        <v>153</v>
      </c>
      <c r="C28" s="8" t="e">
        <f t="shared" ca="1" si="14"/>
        <v>#NAME?</v>
      </c>
      <c r="D28" s="8" t="e">
        <f t="shared" ca="1" si="15"/>
        <v>#NAME?</v>
      </c>
      <c r="E28" s="8" t="e">
        <f t="shared" ca="1" si="16"/>
        <v>#NAME?</v>
      </c>
      <c r="F28" s="8" t="e">
        <f t="shared" ca="1" si="17"/>
        <v>#NAME?</v>
      </c>
      <c r="G28" s="8" t="e">
        <f t="shared" ca="1" si="18"/>
        <v>#NAME?</v>
      </c>
      <c r="H28" s="8" t="e">
        <f t="shared" ca="1" si="19"/>
        <v>#NAME?</v>
      </c>
      <c r="I28" s="8" t="e">
        <f t="shared" ca="1" si="20"/>
        <v>#NAME?</v>
      </c>
      <c r="J28" s="8" t="e">
        <f t="shared" ca="1" si="21"/>
        <v>#NAME?</v>
      </c>
      <c r="K28" s="8" t="e">
        <f t="shared" ca="1" si="22"/>
        <v>#NAME?</v>
      </c>
      <c r="L28" s="8" t="e">
        <f t="shared" ca="1" si="23"/>
        <v>#NAME?</v>
      </c>
      <c r="M28" s="8" t="e">
        <f t="shared" ca="1" si="24"/>
        <v>#NAME?</v>
      </c>
      <c r="N28" s="8" t="e">
        <f t="shared" ca="1" si="25"/>
        <v>#NAME?</v>
      </c>
    </row>
    <row r="29" spans="1:15" x14ac:dyDescent="0.35">
      <c r="A29" s="7" t="s">
        <v>232</v>
      </c>
      <c r="B29" s="7" t="s">
        <v>233</v>
      </c>
      <c r="C29" s="8" t="e">
        <f t="shared" ca="1" si="14"/>
        <v>#NAME?</v>
      </c>
      <c r="D29" s="8" t="e">
        <f t="shared" ca="1" si="15"/>
        <v>#NAME?</v>
      </c>
      <c r="E29" s="8" t="e">
        <f t="shared" ca="1" si="16"/>
        <v>#NAME?</v>
      </c>
      <c r="F29" s="8" t="e">
        <f t="shared" ca="1" si="17"/>
        <v>#NAME?</v>
      </c>
      <c r="G29" s="8" t="e">
        <f t="shared" ca="1" si="18"/>
        <v>#NAME?</v>
      </c>
      <c r="H29" s="8" t="e">
        <f t="shared" ca="1" si="19"/>
        <v>#NAME?</v>
      </c>
      <c r="I29" s="8" t="e">
        <f t="shared" ca="1" si="20"/>
        <v>#NAME?</v>
      </c>
      <c r="J29" s="8" t="e">
        <f t="shared" ca="1" si="21"/>
        <v>#NAME?</v>
      </c>
      <c r="K29" s="8" t="e">
        <f t="shared" ca="1" si="22"/>
        <v>#NAME?</v>
      </c>
      <c r="L29" s="8" t="e">
        <f t="shared" ca="1" si="23"/>
        <v>#NAME?</v>
      </c>
      <c r="M29" s="8" t="e">
        <f t="shared" ca="1" si="24"/>
        <v>#NAME?</v>
      </c>
      <c r="N29" s="8" t="e">
        <f t="shared" ca="1" si="25"/>
        <v>#NAME?</v>
      </c>
    </row>
    <row r="30" spans="1:15" x14ac:dyDescent="0.35">
      <c r="A30" s="7" t="s">
        <v>326</v>
      </c>
      <c r="B30" s="7" t="s">
        <v>435</v>
      </c>
      <c r="C30" s="8" t="e">
        <f t="shared" ca="1" si="14"/>
        <v>#NAME?</v>
      </c>
      <c r="D30" s="8" t="e">
        <f t="shared" ca="1" si="15"/>
        <v>#NAME?</v>
      </c>
      <c r="E30" s="8" t="e">
        <f t="shared" ca="1" si="16"/>
        <v>#NAME?</v>
      </c>
      <c r="F30" s="8" t="e">
        <f t="shared" ca="1" si="17"/>
        <v>#NAME?</v>
      </c>
      <c r="G30" s="8" t="e">
        <f t="shared" ca="1" si="18"/>
        <v>#NAME?</v>
      </c>
      <c r="H30" s="8" t="e">
        <f t="shared" ca="1" si="19"/>
        <v>#NAME?</v>
      </c>
      <c r="I30" s="8" t="e">
        <f t="shared" ca="1" si="20"/>
        <v>#NAME?</v>
      </c>
      <c r="J30" s="8" t="e">
        <f t="shared" ca="1" si="21"/>
        <v>#NAME?</v>
      </c>
      <c r="K30" s="8" t="e">
        <f t="shared" ca="1" si="22"/>
        <v>#NAME?</v>
      </c>
      <c r="L30" s="8" t="e">
        <f t="shared" ca="1" si="23"/>
        <v>#NAME?</v>
      </c>
      <c r="M30" s="8" t="e">
        <f t="shared" ca="1" si="24"/>
        <v>#NAME?</v>
      </c>
      <c r="N30" s="8" t="e">
        <f t="shared" ca="1" si="25"/>
        <v>#NAME?</v>
      </c>
    </row>
    <row r="31" spans="1:15" x14ac:dyDescent="0.35">
      <c r="A31" s="7" t="s">
        <v>256</v>
      </c>
      <c r="B31" s="7" t="s">
        <v>436</v>
      </c>
      <c r="C31" s="8" t="e">
        <f t="shared" ca="1" si="14"/>
        <v>#NAME?</v>
      </c>
      <c r="D31" s="8" t="e">
        <f t="shared" ca="1" si="15"/>
        <v>#NAME?</v>
      </c>
      <c r="E31" s="8" t="e">
        <f t="shared" ca="1" si="16"/>
        <v>#NAME?</v>
      </c>
      <c r="F31" s="8" t="e">
        <f t="shared" ca="1" si="17"/>
        <v>#NAME?</v>
      </c>
      <c r="G31" s="8" t="e">
        <f t="shared" ca="1" si="18"/>
        <v>#NAME?</v>
      </c>
      <c r="H31" s="8" t="e">
        <f t="shared" ca="1" si="19"/>
        <v>#NAME?</v>
      </c>
      <c r="I31" s="8" t="e">
        <f t="shared" ca="1" si="20"/>
        <v>#NAME?</v>
      </c>
      <c r="J31" s="8" t="e">
        <f t="shared" ca="1" si="21"/>
        <v>#NAME?</v>
      </c>
      <c r="K31" s="8" t="e">
        <f t="shared" ca="1" si="22"/>
        <v>#NAME?</v>
      </c>
      <c r="L31" s="8" t="e">
        <f t="shared" ca="1" si="23"/>
        <v>#NAME?</v>
      </c>
      <c r="M31" s="8" t="e">
        <f t="shared" ca="1" si="24"/>
        <v>#NAME?</v>
      </c>
      <c r="N31" s="8" t="e">
        <f t="shared" ca="1" si="25"/>
        <v>#NAME?</v>
      </c>
    </row>
    <row r="32" spans="1:15" x14ac:dyDescent="0.35">
      <c r="A32" s="7" t="s">
        <v>150</v>
      </c>
      <c r="B32" s="7" t="s">
        <v>151</v>
      </c>
      <c r="C32" s="8" t="e">
        <f t="shared" ca="1" si="14"/>
        <v>#NAME?</v>
      </c>
      <c r="D32" s="8" t="e">
        <f t="shared" ca="1" si="15"/>
        <v>#NAME?</v>
      </c>
      <c r="E32" s="8" t="e">
        <f t="shared" ca="1" si="16"/>
        <v>#NAME?</v>
      </c>
      <c r="F32" s="8" t="e">
        <f t="shared" ca="1" si="17"/>
        <v>#NAME?</v>
      </c>
      <c r="G32" s="8" t="e">
        <f t="shared" ca="1" si="18"/>
        <v>#NAME?</v>
      </c>
      <c r="H32" s="8" t="e">
        <f t="shared" ca="1" si="19"/>
        <v>#NAME?</v>
      </c>
      <c r="I32" s="8" t="e">
        <f t="shared" ca="1" si="20"/>
        <v>#NAME?</v>
      </c>
      <c r="J32" s="8" t="e">
        <f t="shared" ca="1" si="21"/>
        <v>#NAME?</v>
      </c>
      <c r="K32" s="8" t="e">
        <f t="shared" ca="1" si="22"/>
        <v>#NAME?</v>
      </c>
      <c r="L32" s="8" t="e">
        <f t="shared" ca="1" si="23"/>
        <v>#NAME?</v>
      </c>
      <c r="M32" s="8" t="e">
        <f t="shared" ca="1" si="24"/>
        <v>#NAME?</v>
      </c>
      <c r="N32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26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437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438</v>
      </c>
    </row>
    <row r="6" spans="1:15" x14ac:dyDescent="0.35">
      <c r="A6" s="2" t="s">
        <v>15</v>
      </c>
      <c r="B6" s="5">
        <v>2025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44</v>
      </c>
      <c r="B11" s="7" t="s">
        <v>45</v>
      </c>
      <c r="C11" s="8" t="e">
        <f t="shared" ref="C11:C16" ca="1" si="0">EPM($B$5,$B$6,1,A11,"period_net_amount",$B$7)</f>
        <v>#NAME?</v>
      </c>
      <c r="D11" s="8" t="e">
        <f t="shared" ref="D11:D16" ca="1" si="1">EPM($B$5,$B$6,2,A11,"period_net_amount",$B$7)</f>
        <v>#NAME?</v>
      </c>
      <c r="E11" s="8" t="e">
        <f t="shared" ref="E11:E16" ca="1" si="2">EPM($B$5,$B$6,3,A11,"period_net_amount",$B$7)</f>
        <v>#NAME?</v>
      </c>
      <c r="F11" s="8" t="e">
        <f t="shared" ref="F11:F16" ca="1" si="3">EPM($B$5,$B$6,4,A11,"period_net_amount",$B$7)</f>
        <v>#NAME?</v>
      </c>
      <c r="G11" s="8" t="e">
        <f t="shared" ref="G11:G16" ca="1" si="4">EPM($B$5,$B$6,5,A11,"period_net_amount",$B$7)</f>
        <v>#NAME?</v>
      </c>
      <c r="H11" s="8" t="e">
        <f t="shared" ref="H11:H16" ca="1" si="5">EPM($B$5,$B$6,6,A11,"period_net_amount",$B$7)</f>
        <v>#NAME?</v>
      </c>
      <c r="I11" s="8" t="e">
        <f t="shared" ref="I11:I16" ca="1" si="6">EPM($B$5,$B$6,7,A11,"period_net_amount",$B$7)</f>
        <v>#NAME?</v>
      </c>
      <c r="J11" s="8" t="e">
        <f t="shared" ref="J11:J16" ca="1" si="7">EPM($B$5,$B$6,8,A11,"period_net_amount",$B$7)</f>
        <v>#NAME?</v>
      </c>
      <c r="K11" s="8" t="e">
        <f t="shared" ref="K11:K16" ca="1" si="8">EPM($B$5,$B$6,9,A11,"period_net_amount",$B$7)</f>
        <v>#NAME?</v>
      </c>
      <c r="L11" s="8" t="e">
        <f t="shared" ref="L11:L16" ca="1" si="9">EPM($B$5,$B$6,10,A11,"period_net_amount",$B$7)</f>
        <v>#NAME?</v>
      </c>
      <c r="M11" s="8" t="e">
        <f t="shared" ref="M11:M16" ca="1" si="10">EPM($B$5,$B$6,11,A11,"period_net_amount",$B$7)</f>
        <v>#NAME?</v>
      </c>
      <c r="N11" s="8" t="e">
        <f t="shared" ref="N11:N16" ca="1" si="11">EPM($B$5,$B$6,12,A11,"period_net_amount",$B$7)</f>
        <v>#NAME?</v>
      </c>
      <c r="O11" s="9" t="e">
        <f t="shared" ref="O11:O16" ca="1" si="12">SUM(C11:N11)</f>
        <v>#NAME?</v>
      </c>
    </row>
    <row r="12" spans="1:15" x14ac:dyDescent="0.35">
      <c r="A12" s="7" t="s">
        <v>52</v>
      </c>
      <c r="B12" s="7" t="s">
        <v>49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439</v>
      </c>
      <c r="B13" s="7" t="s">
        <v>440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441</v>
      </c>
      <c r="B14" s="7" t="s">
        <v>442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302</v>
      </c>
      <c r="B15" s="7" t="s">
        <v>303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443</v>
      </c>
      <c r="B16" s="7" t="s">
        <v>444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B17" s="10" t="s">
        <v>57</v>
      </c>
      <c r="C17" s="11" t="e">
        <f t="shared" ref="C17:O17" ca="1" si="13">SUM(C11:C16)</f>
        <v>#NAME?</v>
      </c>
      <c r="D17" s="11" t="e">
        <f t="shared" ca="1" si="13"/>
        <v>#NAME?</v>
      </c>
      <c r="E17" s="11" t="e">
        <f t="shared" ca="1" si="13"/>
        <v>#NAME?</v>
      </c>
      <c r="F17" s="11" t="e">
        <f t="shared" ca="1" si="13"/>
        <v>#NAME?</v>
      </c>
      <c r="G17" s="11" t="e">
        <f t="shared" ca="1" si="13"/>
        <v>#NAME?</v>
      </c>
      <c r="H17" s="11" t="e">
        <f t="shared" ca="1" si="13"/>
        <v>#NAME?</v>
      </c>
      <c r="I17" s="11" t="e">
        <f t="shared" ca="1" si="13"/>
        <v>#NAME?</v>
      </c>
      <c r="J17" s="11" t="e">
        <f t="shared" ca="1" si="13"/>
        <v>#NAME?</v>
      </c>
      <c r="K17" s="11" t="e">
        <f t="shared" ca="1" si="13"/>
        <v>#NAME?</v>
      </c>
      <c r="L17" s="11" t="e">
        <f t="shared" ca="1" si="13"/>
        <v>#NAME?</v>
      </c>
      <c r="M17" s="11" t="e">
        <f t="shared" ca="1" si="13"/>
        <v>#NAME?</v>
      </c>
      <c r="N17" s="11" t="e">
        <f t="shared" ca="1" si="13"/>
        <v>#NAME?</v>
      </c>
      <c r="O17" s="11" t="e">
        <f t="shared" ca="1" si="13"/>
        <v>#NAME?</v>
      </c>
    </row>
    <row r="19" spans="1:15" ht="15.5" x14ac:dyDescent="0.35">
      <c r="A19" s="4" t="s">
        <v>58</v>
      </c>
    </row>
    <row r="20" spans="1:15" x14ac:dyDescent="0.35">
      <c r="A20" s="6" t="s">
        <v>19</v>
      </c>
      <c r="B20" s="6" t="s">
        <v>20</v>
      </c>
      <c r="C20" s="6" t="s">
        <v>21</v>
      </c>
      <c r="D20" s="6" t="s">
        <v>22</v>
      </c>
      <c r="E20" s="6" t="s">
        <v>23</v>
      </c>
      <c r="F20" s="6" t="s">
        <v>24</v>
      </c>
      <c r="G20" s="6" t="s">
        <v>25</v>
      </c>
      <c r="H20" s="6" t="s">
        <v>26</v>
      </c>
      <c r="I20" s="6" t="s">
        <v>27</v>
      </c>
      <c r="J20" s="6" t="s">
        <v>28</v>
      </c>
      <c r="K20" s="6" t="s">
        <v>29</v>
      </c>
      <c r="L20" s="6" t="s">
        <v>30</v>
      </c>
      <c r="M20" s="6" t="s">
        <v>31</v>
      </c>
      <c r="N20" s="6" t="s">
        <v>32</v>
      </c>
    </row>
    <row r="21" spans="1:15" x14ac:dyDescent="0.35">
      <c r="A21" s="7" t="s">
        <v>150</v>
      </c>
      <c r="B21" s="7" t="s">
        <v>151</v>
      </c>
      <c r="C21" s="8" t="e">
        <f t="shared" ref="C21:C26" ca="1" si="14">EPM($B$5,$B$6,1,A21,"period_net_amount",$B$7)</f>
        <v>#NAME?</v>
      </c>
      <c r="D21" s="8" t="e">
        <f t="shared" ref="D21:D26" ca="1" si="15">EPM($B$5,$B$6,2,A21,"period_net_amount",$B$7)</f>
        <v>#NAME?</v>
      </c>
      <c r="E21" s="8" t="e">
        <f t="shared" ref="E21:E26" ca="1" si="16">EPM($B$5,$B$6,3,A21,"period_net_amount",$B$7)</f>
        <v>#NAME?</v>
      </c>
      <c r="F21" s="8" t="e">
        <f t="shared" ref="F21:F26" ca="1" si="17">EPM($B$5,$B$6,4,A21,"period_net_amount",$B$7)</f>
        <v>#NAME?</v>
      </c>
      <c r="G21" s="8" t="e">
        <f t="shared" ref="G21:G26" ca="1" si="18">EPM($B$5,$B$6,5,A21,"period_net_amount",$B$7)</f>
        <v>#NAME?</v>
      </c>
      <c r="H21" s="8" t="e">
        <f t="shared" ref="H21:H26" ca="1" si="19">EPM($B$5,$B$6,6,A21,"period_net_amount",$B$7)</f>
        <v>#NAME?</v>
      </c>
      <c r="I21" s="8" t="e">
        <f t="shared" ref="I21:I26" ca="1" si="20">EPM($B$5,$B$6,7,A21,"period_net_amount",$B$7)</f>
        <v>#NAME?</v>
      </c>
      <c r="J21" s="8" t="e">
        <f t="shared" ref="J21:J26" ca="1" si="21">EPM($B$5,$B$6,8,A21,"period_net_amount",$B$7)</f>
        <v>#NAME?</v>
      </c>
      <c r="K21" s="8" t="e">
        <f t="shared" ref="K21:K26" ca="1" si="22">EPM($B$5,$B$6,9,A21,"period_net_amount",$B$7)</f>
        <v>#NAME?</v>
      </c>
      <c r="L21" s="8" t="e">
        <f t="shared" ref="L21:L26" ca="1" si="23">EPM($B$5,$B$6,10,A21,"period_net_amount",$B$7)</f>
        <v>#NAME?</v>
      </c>
      <c r="M21" s="8" t="e">
        <f t="shared" ref="M21:M26" ca="1" si="24">EPM($B$5,$B$6,11,A21,"period_net_amount",$B$7)</f>
        <v>#NAME?</v>
      </c>
      <c r="N21" s="8" t="e">
        <f t="shared" ref="N21:N26" ca="1" si="25">EPM($B$5,$B$6,12,A21,"period_net_amount",$B$7)</f>
        <v>#NAME?</v>
      </c>
    </row>
    <row r="22" spans="1:15" x14ac:dyDescent="0.35">
      <c r="A22" s="7" t="s">
        <v>445</v>
      </c>
      <c r="B22" s="7" t="s">
        <v>446</v>
      </c>
      <c r="C22" s="8" t="e">
        <f t="shared" ca="1" si="14"/>
        <v>#NAME?</v>
      </c>
      <c r="D22" s="8" t="e">
        <f t="shared" ca="1" si="15"/>
        <v>#NAME?</v>
      </c>
      <c r="E22" s="8" t="e">
        <f t="shared" ca="1" si="16"/>
        <v>#NAME?</v>
      </c>
      <c r="F22" s="8" t="e">
        <f t="shared" ca="1" si="17"/>
        <v>#NAME?</v>
      </c>
      <c r="G22" s="8" t="e">
        <f t="shared" ca="1" si="18"/>
        <v>#NAME?</v>
      </c>
      <c r="H22" s="8" t="e">
        <f t="shared" ca="1" si="19"/>
        <v>#NAME?</v>
      </c>
      <c r="I22" s="8" t="e">
        <f t="shared" ca="1" si="20"/>
        <v>#NAME?</v>
      </c>
      <c r="J22" s="8" t="e">
        <f t="shared" ca="1" si="21"/>
        <v>#NAME?</v>
      </c>
      <c r="K22" s="8" t="e">
        <f t="shared" ca="1" si="22"/>
        <v>#NAME?</v>
      </c>
      <c r="L22" s="8" t="e">
        <f t="shared" ca="1" si="23"/>
        <v>#NAME?</v>
      </c>
      <c r="M22" s="8" t="e">
        <f t="shared" ca="1" si="24"/>
        <v>#NAME?</v>
      </c>
      <c r="N22" s="8" t="e">
        <f t="shared" ca="1" si="25"/>
        <v>#NAME?</v>
      </c>
    </row>
    <row r="23" spans="1:15" x14ac:dyDescent="0.35">
      <c r="A23" s="7" t="s">
        <v>447</v>
      </c>
      <c r="B23" s="7" t="s">
        <v>448</v>
      </c>
      <c r="C23" s="8" t="e">
        <f t="shared" ca="1" si="14"/>
        <v>#NAME?</v>
      </c>
      <c r="D23" s="8" t="e">
        <f t="shared" ca="1" si="15"/>
        <v>#NAME?</v>
      </c>
      <c r="E23" s="8" t="e">
        <f t="shared" ca="1" si="16"/>
        <v>#NAME?</v>
      </c>
      <c r="F23" s="8" t="e">
        <f t="shared" ca="1" si="17"/>
        <v>#NAME?</v>
      </c>
      <c r="G23" s="8" t="e">
        <f t="shared" ca="1" si="18"/>
        <v>#NAME?</v>
      </c>
      <c r="H23" s="8" t="e">
        <f t="shared" ca="1" si="19"/>
        <v>#NAME?</v>
      </c>
      <c r="I23" s="8" t="e">
        <f t="shared" ca="1" si="20"/>
        <v>#NAME?</v>
      </c>
      <c r="J23" s="8" t="e">
        <f t="shared" ca="1" si="21"/>
        <v>#NAME?</v>
      </c>
      <c r="K23" s="8" t="e">
        <f t="shared" ca="1" si="22"/>
        <v>#NAME?</v>
      </c>
      <c r="L23" s="8" t="e">
        <f t="shared" ca="1" si="23"/>
        <v>#NAME?</v>
      </c>
      <c r="M23" s="8" t="e">
        <f t="shared" ca="1" si="24"/>
        <v>#NAME?</v>
      </c>
      <c r="N23" s="8" t="e">
        <f t="shared" ca="1" si="25"/>
        <v>#NAME?</v>
      </c>
    </row>
    <row r="24" spans="1:15" x14ac:dyDescent="0.35">
      <c r="A24" s="7" t="s">
        <v>61</v>
      </c>
      <c r="B24" s="7" t="s">
        <v>205</v>
      </c>
      <c r="C24" s="8" t="e">
        <f t="shared" ca="1" si="14"/>
        <v>#NAME?</v>
      </c>
      <c r="D24" s="8" t="e">
        <f t="shared" ca="1" si="15"/>
        <v>#NAME?</v>
      </c>
      <c r="E24" s="8" t="e">
        <f t="shared" ca="1" si="16"/>
        <v>#NAME?</v>
      </c>
      <c r="F24" s="8" t="e">
        <f t="shared" ca="1" si="17"/>
        <v>#NAME?</v>
      </c>
      <c r="G24" s="8" t="e">
        <f t="shared" ca="1" si="18"/>
        <v>#NAME?</v>
      </c>
      <c r="H24" s="8" t="e">
        <f t="shared" ca="1" si="19"/>
        <v>#NAME?</v>
      </c>
      <c r="I24" s="8" t="e">
        <f t="shared" ca="1" si="20"/>
        <v>#NAME?</v>
      </c>
      <c r="J24" s="8" t="e">
        <f t="shared" ca="1" si="21"/>
        <v>#NAME?</v>
      </c>
      <c r="K24" s="8" t="e">
        <f t="shared" ca="1" si="22"/>
        <v>#NAME?</v>
      </c>
      <c r="L24" s="8" t="e">
        <f t="shared" ca="1" si="23"/>
        <v>#NAME?</v>
      </c>
      <c r="M24" s="8" t="e">
        <f t="shared" ca="1" si="24"/>
        <v>#NAME?</v>
      </c>
      <c r="N24" s="8" t="e">
        <f t="shared" ca="1" si="25"/>
        <v>#NAME?</v>
      </c>
    </row>
    <row r="25" spans="1:15" x14ac:dyDescent="0.35">
      <c r="A25" s="7" t="s">
        <v>449</v>
      </c>
      <c r="B25" s="7" t="s">
        <v>450</v>
      </c>
      <c r="C25" s="8" t="e">
        <f t="shared" ca="1" si="14"/>
        <v>#NAME?</v>
      </c>
      <c r="D25" s="8" t="e">
        <f t="shared" ca="1" si="15"/>
        <v>#NAME?</v>
      </c>
      <c r="E25" s="8" t="e">
        <f t="shared" ca="1" si="16"/>
        <v>#NAME?</v>
      </c>
      <c r="F25" s="8" t="e">
        <f t="shared" ca="1" si="17"/>
        <v>#NAME?</v>
      </c>
      <c r="G25" s="8" t="e">
        <f t="shared" ca="1" si="18"/>
        <v>#NAME?</v>
      </c>
      <c r="H25" s="8" t="e">
        <f t="shared" ca="1" si="19"/>
        <v>#NAME?</v>
      </c>
      <c r="I25" s="8" t="e">
        <f t="shared" ca="1" si="20"/>
        <v>#NAME?</v>
      </c>
      <c r="J25" s="8" t="e">
        <f t="shared" ca="1" si="21"/>
        <v>#NAME?</v>
      </c>
      <c r="K25" s="8" t="e">
        <f t="shared" ca="1" si="22"/>
        <v>#NAME?</v>
      </c>
      <c r="L25" s="8" t="e">
        <f t="shared" ca="1" si="23"/>
        <v>#NAME?</v>
      </c>
      <c r="M25" s="8" t="e">
        <f t="shared" ca="1" si="24"/>
        <v>#NAME?</v>
      </c>
      <c r="N25" s="8" t="e">
        <f t="shared" ca="1" si="25"/>
        <v>#NAME?</v>
      </c>
    </row>
    <row r="26" spans="1:15" x14ac:dyDescent="0.35">
      <c r="A26" s="7" t="s">
        <v>451</v>
      </c>
      <c r="B26" s="7" t="s">
        <v>452</v>
      </c>
      <c r="C26" s="8" t="e">
        <f t="shared" ca="1" si="14"/>
        <v>#NAME?</v>
      </c>
      <c r="D26" s="8" t="e">
        <f t="shared" ca="1" si="15"/>
        <v>#NAME?</v>
      </c>
      <c r="E26" s="8" t="e">
        <f t="shared" ca="1" si="16"/>
        <v>#NAME?</v>
      </c>
      <c r="F26" s="8" t="e">
        <f t="shared" ca="1" si="17"/>
        <v>#NAME?</v>
      </c>
      <c r="G26" s="8" t="e">
        <f t="shared" ca="1" si="18"/>
        <v>#NAME?</v>
      </c>
      <c r="H26" s="8" t="e">
        <f t="shared" ca="1" si="19"/>
        <v>#NAME?</v>
      </c>
      <c r="I26" s="8" t="e">
        <f t="shared" ca="1" si="20"/>
        <v>#NAME?</v>
      </c>
      <c r="J26" s="8" t="e">
        <f t="shared" ca="1" si="21"/>
        <v>#NAME?</v>
      </c>
      <c r="K26" s="8" t="e">
        <f t="shared" ca="1" si="22"/>
        <v>#NAME?</v>
      </c>
      <c r="L26" s="8" t="e">
        <f t="shared" ca="1" si="23"/>
        <v>#NAME?</v>
      </c>
      <c r="M26" s="8" t="e">
        <f t="shared" ca="1" si="24"/>
        <v>#NAME?</v>
      </c>
      <c r="N26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32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453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454</v>
      </c>
    </row>
    <row r="6" spans="1:15" x14ac:dyDescent="0.35">
      <c r="A6" s="2" t="s">
        <v>15</v>
      </c>
      <c r="B6" s="5">
        <v>2017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455</v>
      </c>
      <c r="B11" s="7" t="s">
        <v>456</v>
      </c>
      <c r="C11" s="8" t="e">
        <f t="shared" ref="C11:C22" ca="1" si="0">EPM($B$5,$B$6,1,A11,"period_net_amount",$B$7)</f>
        <v>#NAME?</v>
      </c>
      <c r="D11" s="8" t="e">
        <f t="shared" ref="D11:D22" ca="1" si="1">EPM($B$5,$B$6,2,A11,"period_net_amount",$B$7)</f>
        <v>#NAME?</v>
      </c>
      <c r="E11" s="8" t="e">
        <f t="shared" ref="E11:E22" ca="1" si="2">EPM($B$5,$B$6,3,A11,"period_net_amount",$B$7)</f>
        <v>#NAME?</v>
      </c>
      <c r="F11" s="8" t="e">
        <f t="shared" ref="F11:F22" ca="1" si="3">EPM($B$5,$B$6,4,A11,"period_net_amount",$B$7)</f>
        <v>#NAME?</v>
      </c>
      <c r="G11" s="8" t="e">
        <f t="shared" ref="G11:G22" ca="1" si="4">EPM($B$5,$B$6,5,A11,"period_net_amount",$B$7)</f>
        <v>#NAME?</v>
      </c>
      <c r="H11" s="8" t="e">
        <f t="shared" ref="H11:H22" ca="1" si="5">EPM($B$5,$B$6,6,A11,"period_net_amount",$B$7)</f>
        <v>#NAME?</v>
      </c>
      <c r="I11" s="8" t="e">
        <f t="shared" ref="I11:I22" ca="1" si="6">EPM($B$5,$B$6,7,A11,"period_net_amount",$B$7)</f>
        <v>#NAME?</v>
      </c>
      <c r="J11" s="8" t="e">
        <f t="shared" ref="J11:J22" ca="1" si="7">EPM($B$5,$B$6,8,A11,"period_net_amount",$B$7)</f>
        <v>#NAME?</v>
      </c>
      <c r="K11" s="8" t="e">
        <f t="shared" ref="K11:K22" ca="1" si="8">EPM($B$5,$B$6,9,A11,"period_net_amount",$B$7)</f>
        <v>#NAME?</v>
      </c>
      <c r="L11" s="8" t="e">
        <f t="shared" ref="L11:L22" ca="1" si="9">EPM($B$5,$B$6,10,A11,"period_net_amount",$B$7)</f>
        <v>#NAME?</v>
      </c>
      <c r="M11" s="8" t="e">
        <f t="shared" ref="M11:M22" ca="1" si="10">EPM($B$5,$B$6,11,A11,"period_net_amount",$B$7)</f>
        <v>#NAME?</v>
      </c>
      <c r="N11" s="8" t="e">
        <f t="shared" ref="N11:N22" ca="1" si="11">EPM($B$5,$B$6,12,A11,"period_net_amount",$B$7)</f>
        <v>#NAME?</v>
      </c>
      <c r="O11" s="9" t="e">
        <f t="shared" ref="O11:O22" ca="1" si="12">SUM(C11:N11)</f>
        <v>#NAME?</v>
      </c>
    </row>
    <row r="12" spans="1:15" x14ac:dyDescent="0.35">
      <c r="A12" s="7" t="s">
        <v>457</v>
      </c>
      <c r="B12" s="7" t="s">
        <v>458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459</v>
      </c>
      <c r="B13" s="7" t="s">
        <v>460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461</v>
      </c>
      <c r="B14" s="7" t="s">
        <v>462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313</v>
      </c>
      <c r="B15" s="7" t="s">
        <v>424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463</v>
      </c>
      <c r="B16" s="7" t="s">
        <v>464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142</v>
      </c>
      <c r="B17" s="7" t="s">
        <v>193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A18" s="7" t="s">
        <v>52</v>
      </c>
      <c r="B18" s="7" t="s">
        <v>49</v>
      </c>
      <c r="C18" s="8" t="e">
        <f t="shared" ca="1" si="0"/>
        <v>#NAME?</v>
      </c>
      <c r="D18" s="8" t="e">
        <f t="shared" ca="1" si="1"/>
        <v>#NAME?</v>
      </c>
      <c r="E18" s="8" t="e">
        <f t="shared" ca="1" si="2"/>
        <v>#NAME?</v>
      </c>
      <c r="F18" s="8" t="e">
        <f t="shared" ca="1" si="3"/>
        <v>#NAME?</v>
      </c>
      <c r="G18" s="8" t="e">
        <f t="shared" ca="1" si="4"/>
        <v>#NAME?</v>
      </c>
      <c r="H18" s="8" t="e">
        <f t="shared" ca="1" si="5"/>
        <v>#NAME?</v>
      </c>
      <c r="I18" s="8" t="e">
        <f t="shared" ca="1" si="6"/>
        <v>#NAME?</v>
      </c>
      <c r="J18" s="8" t="e">
        <f t="shared" ca="1" si="7"/>
        <v>#NAME?</v>
      </c>
      <c r="K18" s="8" t="e">
        <f t="shared" ca="1" si="8"/>
        <v>#NAME?</v>
      </c>
      <c r="L18" s="8" t="e">
        <f t="shared" ca="1" si="9"/>
        <v>#NAME?</v>
      </c>
      <c r="M18" s="8" t="e">
        <f t="shared" ca="1" si="10"/>
        <v>#NAME?</v>
      </c>
      <c r="N18" s="8" t="e">
        <f t="shared" ca="1" si="11"/>
        <v>#NAME?</v>
      </c>
      <c r="O18" s="9" t="e">
        <f t="shared" ca="1" si="12"/>
        <v>#NAME?</v>
      </c>
    </row>
    <row r="19" spans="1:15" x14ac:dyDescent="0.35">
      <c r="A19" s="7" t="s">
        <v>321</v>
      </c>
      <c r="B19" s="7" t="s">
        <v>322</v>
      </c>
      <c r="C19" s="8" t="e">
        <f t="shared" ca="1" si="0"/>
        <v>#NAME?</v>
      </c>
      <c r="D19" s="8" t="e">
        <f t="shared" ca="1" si="1"/>
        <v>#NAME?</v>
      </c>
      <c r="E19" s="8" t="e">
        <f t="shared" ca="1" si="2"/>
        <v>#NAME?</v>
      </c>
      <c r="F19" s="8" t="e">
        <f t="shared" ca="1" si="3"/>
        <v>#NAME?</v>
      </c>
      <c r="G19" s="8" t="e">
        <f t="shared" ca="1" si="4"/>
        <v>#NAME?</v>
      </c>
      <c r="H19" s="8" t="e">
        <f t="shared" ca="1" si="5"/>
        <v>#NAME?</v>
      </c>
      <c r="I19" s="8" t="e">
        <f t="shared" ca="1" si="6"/>
        <v>#NAME?</v>
      </c>
      <c r="J19" s="8" t="e">
        <f t="shared" ca="1" si="7"/>
        <v>#NAME?</v>
      </c>
      <c r="K19" s="8" t="e">
        <f t="shared" ca="1" si="8"/>
        <v>#NAME?</v>
      </c>
      <c r="L19" s="8" t="e">
        <f t="shared" ca="1" si="9"/>
        <v>#NAME?</v>
      </c>
      <c r="M19" s="8" t="e">
        <f t="shared" ca="1" si="10"/>
        <v>#NAME?</v>
      </c>
      <c r="N19" s="8" t="e">
        <f t="shared" ca="1" si="11"/>
        <v>#NAME?</v>
      </c>
      <c r="O19" s="9" t="e">
        <f t="shared" ca="1" si="12"/>
        <v>#NAME?</v>
      </c>
    </row>
    <row r="20" spans="1:15" x14ac:dyDescent="0.35">
      <c r="A20" s="7" t="s">
        <v>190</v>
      </c>
      <c r="B20" s="7" t="s">
        <v>249</v>
      </c>
      <c r="C20" s="8" t="e">
        <f t="shared" ca="1" si="0"/>
        <v>#NAME?</v>
      </c>
      <c r="D20" s="8" t="e">
        <f t="shared" ca="1" si="1"/>
        <v>#NAME?</v>
      </c>
      <c r="E20" s="8" t="e">
        <f t="shared" ca="1" si="2"/>
        <v>#NAME?</v>
      </c>
      <c r="F20" s="8" t="e">
        <f t="shared" ca="1" si="3"/>
        <v>#NAME?</v>
      </c>
      <c r="G20" s="8" t="e">
        <f t="shared" ca="1" si="4"/>
        <v>#NAME?</v>
      </c>
      <c r="H20" s="8" t="e">
        <f t="shared" ca="1" si="5"/>
        <v>#NAME?</v>
      </c>
      <c r="I20" s="8" t="e">
        <f t="shared" ca="1" si="6"/>
        <v>#NAME?</v>
      </c>
      <c r="J20" s="8" t="e">
        <f t="shared" ca="1" si="7"/>
        <v>#NAME?</v>
      </c>
      <c r="K20" s="8" t="e">
        <f t="shared" ca="1" si="8"/>
        <v>#NAME?</v>
      </c>
      <c r="L20" s="8" t="e">
        <f t="shared" ca="1" si="9"/>
        <v>#NAME?</v>
      </c>
      <c r="M20" s="8" t="e">
        <f t="shared" ca="1" si="10"/>
        <v>#NAME?</v>
      </c>
      <c r="N20" s="8" t="e">
        <f t="shared" ca="1" si="11"/>
        <v>#NAME?</v>
      </c>
      <c r="O20" s="9" t="e">
        <f t="shared" ca="1" si="12"/>
        <v>#NAME?</v>
      </c>
    </row>
    <row r="21" spans="1:15" x14ac:dyDescent="0.35">
      <c r="A21" s="7" t="s">
        <v>465</v>
      </c>
      <c r="B21" s="7" t="s">
        <v>466</v>
      </c>
      <c r="C21" s="8" t="e">
        <f t="shared" ca="1" si="0"/>
        <v>#NAME?</v>
      </c>
      <c r="D21" s="8" t="e">
        <f t="shared" ca="1" si="1"/>
        <v>#NAME?</v>
      </c>
      <c r="E21" s="8" t="e">
        <f t="shared" ca="1" si="2"/>
        <v>#NAME?</v>
      </c>
      <c r="F21" s="8" t="e">
        <f t="shared" ca="1" si="3"/>
        <v>#NAME?</v>
      </c>
      <c r="G21" s="8" t="e">
        <f t="shared" ca="1" si="4"/>
        <v>#NAME?</v>
      </c>
      <c r="H21" s="8" t="e">
        <f t="shared" ca="1" si="5"/>
        <v>#NAME?</v>
      </c>
      <c r="I21" s="8" t="e">
        <f t="shared" ca="1" si="6"/>
        <v>#NAME?</v>
      </c>
      <c r="J21" s="8" t="e">
        <f t="shared" ca="1" si="7"/>
        <v>#NAME?</v>
      </c>
      <c r="K21" s="8" t="e">
        <f t="shared" ca="1" si="8"/>
        <v>#NAME?</v>
      </c>
      <c r="L21" s="8" t="e">
        <f t="shared" ca="1" si="9"/>
        <v>#NAME?</v>
      </c>
      <c r="M21" s="8" t="e">
        <f t="shared" ca="1" si="10"/>
        <v>#NAME?</v>
      </c>
      <c r="N21" s="8" t="e">
        <f t="shared" ca="1" si="11"/>
        <v>#NAME?</v>
      </c>
      <c r="O21" s="9" t="e">
        <f t="shared" ca="1" si="12"/>
        <v>#NAME?</v>
      </c>
    </row>
    <row r="22" spans="1:15" x14ac:dyDescent="0.35">
      <c r="A22" s="7" t="s">
        <v>467</v>
      </c>
      <c r="B22" s="7" t="s">
        <v>468</v>
      </c>
      <c r="C22" s="8" t="e">
        <f t="shared" ca="1" si="0"/>
        <v>#NAME?</v>
      </c>
      <c r="D22" s="8" t="e">
        <f t="shared" ca="1" si="1"/>
        <v>#NAME?</v>
      </c>
      <c r="E22" s="8" t="e">
        <f t="shared" ca="1" si="2"/>
        <v>#NAME?</v>
      </c>
      <c r="F22" s="8" t="e">
        <f t="shared" ca="1" si="3"/>
        <v>#NAME?</v>
      </c>
      <c r="G22" s="8" t="e">
        <f t="shared" ca="1" si="4"/>
        <v>#NAME?</v>
      </c>
      <c r="H22" s="8" t="e">
        <f t="shared" ca="1" si="5"/>
        <v>#NAME?</v>
      </c>
      <c r="I22" s="8" t="e">
        <f t="shared" ca="1" si="6"/>
        <v>#NAME?</v>
      </c>
      <c r="J22" s="8" t="e">
        <f t="shared" ca="1" si="7"/>
        <v>#NAME?</v>
      </c>
      <c r="K22" s="8" t="e">
        <f t="shared" ca="1" si="8"/>
        <v>#NAME?</v>
      </c>
      <c r="L22" s="8" t="e">
        <f t="shared" ca="1" si="9"/>
        <v>#NAME?</v>
      </c>
      <c r="M22" s="8" t="e">
        <f t="shared" ca="1" si="10"/>
        <v>#NAME?</v>
      </c>
      <c r="N22" s="8" t="e">
        <f t="shared" ca="1" si="11"/>
        <v>#NAME?</v>
      </c>
      <c r="O22" s="9" t="e">
        <f t="shared" ca="1" si="12"/>
        <v>#NAME?</v>
      </c>
    </row>
    <row r="23" spans="1:15" x14ac:dyDescent="0.35">
      <c r="B23" s="10" t="s">
        <v>57</v>
      </c>
      <c r="C23" s="11" t="e">
        <f t="shared" ref="C23:O23" ca="1" si="13">SUM(C11:C22)</f>
        <v>#NAME?</v>
      </c>
      <c r="D23" s="11" t="e">
        <f t="shared" ca="1" si="13"/>
        <v>#NAME?</v>
      </c>
      <c r="E23" s="11" t="e">
        <f t="shared" ca="1" si="13"/>
        <v>#NAME?</v>
      </c>
      <c r="F23" s="11" t="e">
        <f t="shared" ca="1" si="13"/>
        <v>#NAME?</v>
      </c>
      <c r="G23" s="11" t="e">
        <f t="shared" ca="1" si="13"/>
        <v>#NAME?</v>
      </c>
      <c r="H23" s="11" t="e">
        <f t="shared" ca="1" si="13"/>
        <v>#NAME?</v>
      </c>
      <c r="I23" s="11" t="e">
        <f t="shared" ca="1" si="13"/>
        <v>#NAME?</v>
      </c>
      <c r="J23" s="11" t="e">
        <f t="shared" ca="1" si="13"/>
        <v>#NAME?</v>
      </c>
      <c r="K23" s="11" t="e">
        <f t="shared" ca="1" si="13"/>
        <v>#NAME?</v>
      </c>
      <c r="L23" s="11" t="e">
        <f t="shared" ca="1" si="13"/>
        <v>#NAME?</v>
      </c>
      <c r="M23" s="11" t="e">
        <f t="shared" ca="1" si="13"/>
        <v>#NAME?</v>
      </c>
      <c r="N23" s="11" t="e">
        <f t="shared" ca="1" si="13"/>
        <v>#NAME?</v>
      </c>
      <c r="O23" s="11" t="e">
        <f t="shared" ca="1" si="13"/>
        <v>#NAME?</v>
      </c>
    </row>
    <row r="25" spans="1:15" ht="15.5" x14ac:dyDescent="0.35">
      <c r="A25" s="4" t="s">
        <v>58</v>
      </c>
    </row>
    <row r="26" spans="1:15" x14ac:dyDescent="0.35">
      <c r="A26" s="6" t="s">
        <v>19</v>
      </c>
      <c r="B26" s="6" t="s">
        <v>20</v>
      </c>
      <c r="C26" s="6" t="s">
        <v>21</v>
      </c>
      <c r="D26" s="6" t="s">
        <v>22</v>
      </c>
      <c r="E26" s="6" t="s">
        <v>23</v>
      </c>
      <c r="F26" s="6" t="s">
        <v>24</v>
      </c>
      <c r="G26" s="6" t="s">
        <v>25</v>
      </c>
      <c r="H26" s="6" t="s">
        <v>26</v>
      </c>
      <c r="I26" s="6" t="s">
        <v>27</v>
      </c>
      <c r="J26" s="6" t="s">
        <v>28</v>
      </c>
      <c r="K26" s="6" t="s">
        <v>29</v>
      </c>
      <c r="L26" s="6" t="s">
        <v>30</v>
      </c>
      <c r="M26" s="6" t="s">
        <v>31</v>
      </c>
      <c r="N26" s="6" t="s">
        <v>32</v>
      </c>
    </row>
    <row r="27" spans="1:15" x14ac:dyDescent="0.35">
      <c r="A27" s="7" t="s">
        <v>150</v>
      </c>
      <c r="B27" s="7" t="s">
        <v>151</v>
      </c>
      <c r="C27" s="8" t="e">
        <f t="shared" ref="C27:C32" ca="1" si="14">EPM($B$5,$B$6,1,A27,"period_net_amount",$B$7)</f>
        <v>#NAME?</v>
      </c>
      <c r="D27" s="8" t="e">
        <f t="shared" ref="D27:D32" ca="1" si="15">EPM($B$5,$B$6,2,A27,"period_net_amount",$B$7)</f>
        <v>#NAME?</v>
      </c>
      <c r="E27" s="8" t="e">
        <f t="shared" ref="E27:E32" ca="1" si="16">EPM($B$5,$B$6,3,A27,"period_net_amount",$B$7)</f>
        <v>#NAME?</v>
      </c>
      <c r="F27" s="8" t="e">
        <f t="shared" ref="F27:F32" ca="1" si="17">EPM($B$5,$B$6,4,A27,"period_net_amount",$B$7)</f>
        <v>#NAME?</v>
      </c>
      <c r="G27" s="8" t="e">
        <f t="shared" ref="G27:G32" ca="1" si="18">EPM($B$5,$B$6,5,A27,"period_net_amount",$B$7)</f>
        <v>#NAME?</v>
      </c>
      <c r="H27" s="8" t="e">
        <f t="shared" ref="H27:H32" ca="1" si="19">EPM($B$5,$B$6,6,A27,"period_net_amount",$B$7)</f>
        <v>#NAME?</v>
      </c>
      <c r="I27" s="8" t="e">
        <f t="shared" ref="I27:I32" ca="1" si="20">EPM($B$5,$B$6,7,A27,"period_net_amount",$B$7)</f>
        <v>#NAME?</v>
      </c>
      <c r="J27" s="8" t="e">
        <f t="shared" ref="J27:J32" ca="1" si="21">EPM($B$5,$B$6,8,A27,"period_net_amount",$B$7)</f>
        <v>#NAME?</v>
      </c>
      <c r="K27" s="8" t="e">
        <f t="shared" ref="K27:K32" ca="1" si="22">EPM($B$5,$B$6,9,A27,"period_net_amount",$B$7)</f>
        <v>#NAME?</v>
      </c>
      <c r="L27" s="8" t="e">
        <f t="shared" ref="L27:L32" ca="1" si="23">EPM($B$5,$B$6,10,A27,"period_net_amount",$B$7)</f>
        <v>#NAME?</v>
      </c>
      <c r="M27" s="8" t="e">
        <f t="shared" ref="M27:M32" ca="1" si="24">EPM($B$5,$B$6,11,A27,"period_net_amount",$B$7)</f>
        <v>#NAME?</v>
      </c>
      <c r="N27" s="8" t="e">
        <f t="shared" ref="N27:N32" ca="1" si="25">EPM($B$5,$B$6,12,A27,"period_net_amount",$B$7)</f>
        <v>#NAME?</v>
      </c>
    </row>
    <row r="28" spans="1:15" x14ac:dyDescent="0.35">
      <c r="A28" s="7" t="s">
        <v>457</v>
      </c>
      <c r="B28" s="7" t="s">
        <v>469</v>
      </c>
      <c r="C28" s="8" t="e">
        <f t="shared" ca="1" si="14"/>
        <v>#NAME?</v>
      </c>
      <c r="D28" s="8" t="e">
        <f t="shared" ca="1" si="15"/>
        <v>#NAME?</v>
      </c>
      <c r="E28" s="8" t="e">
        <f t="shared" ca="1" si="16"/>
        <v>#NAME?</v>
      </c>
      <c r="F28" s="8" t="e">
        <f t="shared" ca="1" si="17"/>
        <v>#NAME?</v>
      </c>
      <c r="G28" s="8" t="e">
        <f t="shared" ca="1" si="18"/>
        <v>#NAME?</v>
      </c>
      <c r="H28" s="8" t="e">
        <f t="shared" ca="1" si="19"/>
        <v>#NAME?</v>
      </c>
      <c r="I28" s="8" t="e">
        <f t="shared" ca="1" si="20"/>
        <v>#NAME?</v>
      </c>
      <c r="J28" s="8" t="e">
        <f t="shared" ca="1" si="21"/>
        <v>#NAME?</v>
      </c>
      <c r="K28" s="8" t="e">
        <f t="shared" ca="1" si="22"/>
        <v>#NAME?</v>
      </c>
      <c r="L28" s="8" t="e">
        <f t="shared" ca="1" si="23"/>
        <v>#NAME?</v>
      </c>
      <c r="M28" s="8" t="e">
        <f t="shared" ca="1" si="24"/>
        <v>#NAME?</v>
      </c>
      <c r="N28" s="8" t="e">
        <f t="shared" ca="1" si="25"/>
        <v>#NAME?</v>
      </c>
    </row>
    <row r="29" spans="1:15" x14ac:dyDescent="0.35">
      <c r="A29" s="7" t="s">
        <v>203</v>
      </c>
      <c r="B29" s="7" t="s">
        <v>204</v>
      </c>
      <c r="C29" s="8" t="e">
        <f t="shared" ca="1" si="14"/>
        <v>#NAME?</v>
      </c>
      <c r="D29" s="8" t="e">
        <f t="shared" ca="1" si="15"/>
        <v>#NAME?</v>
      </c>
      <c r="E29" s="8" t="e">
        <f t="shared" ca="1" si="16"/>
        <v>#NAME?</v>
      </c>
      <c r="F29" s="8" t="e">
        <f t="shared" ca="1" si="17"/>
        <v>#NAME?</v>
      </c>
      <c r="G29" s="8" t="e">
        <f t="shared" ca="1" si="18"/>
        <v>#NAME?</v>
      </c>
      <c r="H29" s="8" t="e">
        <f t="shared" ca="1" si="19"/>
        <v>#NAME?</v>
      </c>
      <c r="I29" s="8" t="e">
        <f t="shared" ca="1" si="20"/>
        <v>#NAME?</v>
      </c>
      <c r="J29" s="8" t="e">
        <f t="shared" ca="1" si="21"/>
        <v>#NAME?</v>
      </c>
      <c r="K29" s="8" t="e">
        <f t="shared" ca="1" si="22"/>
        <v>#NAME?</v>
      </c>
      <c r="L29" s="8" t="e">
        <f t="shared" ca="1" si="23"/>
        <v>#NAME?</v>
      </c>
      <c r="M29" s="8" t="e">
        <f t="shared" ca="1" si="24"/>
        <v>#NAME?</v>
      </c>
      <c r="N29" s="8" t="e">
        <f t="shared" ca="1" si="25"/>
        <v>#NAME?</v>
      </c>
    </row>
    <row r="30" spans="1:15" x14ac:dyDescent="0.35">
      <c r="A30" s="7" t="s">
        <v>470</v>
      </c>
      <c r="B30" s="7" t="s">
        <v>471</v>
      </c>
      <c r="C30" s="8" t="e">
        <f t="shared" ca="1" si="14"/>
        <v>#NAME?</v>
      </c>
      <c r="D30" s="8" t="e">
        <f t="shared" ca="1" si="15"/>
        <v>#NAME?</v>
      </c>
      <c r="E30" s="8" t="e">
        <f t="shared" ca="1" si="16"/>
        <v>#NAME?</v>
      </c>
      <c r="F30" s="8" t="e">
        <f t="shared" ca="1" si="17"/>
        <v>#NAME?</v>
      </c>
      <c r="G30" s="8" t="e">
        <f t="shared" ca="1" si="18"/>
        <v>#NAME?</v>
      </c>
      <c r="H30" s="8" t="e">
        <f t="shared" ca="1" si="19"/>
        <v>#NAME?</v>
      </c>
      <c r="I30" s="8" t="e">
        <f t="shared" ca="1" si="20"/>
        <v>#NAME?</v>
      </c>
      <c r="J30" s="8" t="e">
        <f t="shared" ca="1" si="21"/>
        <v>#NAME?</v>
      </c>
      <c r="K30" s="8" t="e">
        <f t="shared" ca="1" si="22"/>
        <v>#NAME?</v>
      </c>
      <c r="L30" s="8" t="e">
        <f t="shared" ca="1" si="23"/>
        <v>#NAME?</v>
      </c>
      <c r="M30" s="8" t="e">
        <f t="shared" ca="1" si="24"/>
        <v>#NAME?</v>
      </c>
      <c r="N30" s="8" t="e">
        <f t="shared" ca="1" si="25"/>
        <v>#NAME?</v>
      </c>
    </row>
    <row r="31" spans="1:15" x14ac:dyDescent="0.35">
      <c r="A31" s="7" t="s">
        <v>472</v>
      </c>
      <c r="B31" s="7" t="s">
        <v>473</v>
      </c>
      <c r="C31" s="8" t="e">
        <f t="shared" ca="1" si="14"/>
        <v>#NAME?</v>
      </c>
      <c r="D31" s="8" t="e">
        <f t="shared" ca="1" si="15"/>
        <v>#NAME?</v>
      </c>
      <c r="E31" s="8" t="e">
        <f t="shared" ca="1" si="16"/>
        <v>#NAME?</v>
      </c>
      <c r="F31" s="8" t="e">
        <f t="shared" ca="1" si="17"/>
        <v>#NAME?</v>
      </c>
      <c r="G31" s="8" t="e">
        <f t="shared" ca="1" si="18"/>
        <v>#NAME?</v>
      </c>
      <c r="H31" s="8" t="e">
        <f t="shared" ca="1" si="19"/>
        <v>#NAME?</v>
      </c>
      <c r="I31" s="8" t="e">
        <f t="shared" ca="1" si="20"/>
        <v>#NAME?</v>
      </c>
      <c r="J31" s="8" t="e">
        <f t="shared" ca="1" si="21"/>
        <v>#NAME?</v>
      </c>
      <c r="K31" s="8" t="e">
        <f t="shared" ca="1" si="22"/>
        <v>#NAME?</v>
      </c>
      <c r="L31" s="8" t="e">
        <f t="shared" ca="1" si="23"/>
        <v>#NAME?</v>
      </c>
      <c r="M31" s="8" t="e">
        <f t="shared" ca="1" si="24"/>
        <v>#NAME?</v>
      </c>
      <c r="N31" s="8" t="e">
        <f t="shared" ca="1" si="25"/>
        <v>#NAME?</v>
      </c>
    </row>
    <row r="32" spans="1:15" x14ac:dyDescent="0.35">
      <c r="A32" s="7" t="s">
        <v>326</v>
      </c>
      <c r="B32" s="7" t="s">
        <v>327</v>
      </c>
      <c r="C32" s="8" t="e">
        <f t="shared" ca="1" si="14"/>
        <v>#NAME?</v>
      </c>
      <c r="D32" s="8" t="e">
        <f t="shared" ca="1" si="15"/>
        <v>#NAME?</v>
      </c>
      <c r="E32" s="8" t="e">
        <f t="shared" ca="1" si="16"/>
        <v>#NAME?</v>
      </c>
      <c r="F32" s="8" t="e">
        <f t="shared" ca="1" si="17"/>
        <v>#NAME?</v>
      </c>
      <c r="G32" s="8" t="e">
        <f t="shared" ca="1" si="18"/>
        <v>#NAME?</v>
      </c>
      <c r="H32" s="8" t="e">
        <f t="shared" ca="1" si="19"/>
        <v>#NAME?</v>
      </c>
      <c r="I32" s="8" t="e">
        <f t="shared" ca="1" si="20"/>
        <v>#NAME?</v>
      </c>
      <c r="J32" s="8" t="e">
        <f t="shared" ca="1" si="21"/>
        <v>#NAME?</v>
      </c>
      <c r="K32" s="8" t="e">
        <f t="shared" ca="1" si="22"/>
        <v>#NAME?</v>
      </c>
      <c r="L32" s="8" t="e">
        <f t="shared" ca="1" si="23"/>
        <v>#NAME?</v>
      </c>
      <c r="M32" s="8" t="e">
        <f t="shared" ca="1" si="24"/>
        <v>#NAME?</v>
      </c>
      <c r="N32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32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474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475</v>
      </c>
    </row>
    <row r="6" spans="1:15" x14ac:dyDescent="0.35">
      <c r="A6" s="2" t="s">
        <v>15</v>
      </c>
      <c r="B6" s="5">
        <v>2025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476</v>
      </c>
      <c r="B11" s="7" t="s">
        <v>477</v>
      </c>
      <c r="C11" s="8" t="e">
        <f t="shared" ref="C11:C22" ca="1" si="0">EPM($B$5,$B$6,1,A11,"period_net_amount",$B$7)</f>
        <v>#NAME?</v>
      </c>
      <c r="D11" s="8" t="e">
        <f t="shared" ref="D11:D22" ca="1" si="1">EPM($B$5,$B$6,2,A11,"period_net_amount",$B$7)</f>
        <v>#NAME?</v>
      </c>
      <c r="E11" s="8" t="e">
        <f t="shared" ref="E11:E22" ca="1" si="2">EPM($B$5,$B$6,3,A11,"period_net_amount",$B$7)</f>
        <v>#NAME?</v>
      </c>
      <c r="F11" s="8" t="e">
        <f t="shared" ref="F11:F22" ca="1" si="3">EPM($B$5,$B$6,4,A11,"period_net_amount",$B$7)</f>
        <v>#NAME?</v>
      </c>
      <c r="G11" s="8" t="e">
        <f t="shared" ref="G11:G22" ca="1" si="4">EPM($B$5,$B$6,5,A11,"period_net_amount",$B$7)</f>
        <v>#NAME?</v>
      </c>
      <c r="H11" s="8" t="e">
        <f t="shared" ref="H11:H22" ca="1" si="5">EPM($B$5,$B$6,6,A11,"period_net_amount",$B$7)</f>
        <v>#NAME?</v>
      </c>
      <c r="I11" s="8" t="e">
        <f t="shared" ref="I11:I22" ca="1" si="6">EPM($B$5,$B$6,7,A11,"period_net_amount",$B$7)</f>
        <v>#NAME?</v>
      </c>
      <c r="J11" s="8" t="e">
        <f t="shared" ref="J11:J22" ca="1" si="7">EPM($B$5,$B$6,8,A11,"period_net_amount",$B$7)</f>
        <v>#NAME?</v>
      </c>
      <c r="K11" s="8" t="e">
        <f t="shared" ref="K11:K22" ca="1" si="8">EPM($B$5,$B$6,9,A11,"period_net_amount",$B$7)</f>
        <v>#NAME?</v>
      </c>
      <c r="L11" s="8" t="e">
        <f t="shared" ref="L11:L22" ca="1" si="9">EPM($B$5,$B$6,10,A11,"period_net_amount",$B$7)</f>
        <v>#NAME?</v>
      </c>
      <c r="M11" s="8" t="e">
        <f t="shared" ref="M11:M22" ca="1" si="10">EPM($B$5,$B$6,11,A11,"period_net_amount",$B$7)</f>
        <v>#NAME?</v>
      </c>
      <c r="N11" s="8" t="e">
        <f t="shared" ref="N11:N22" ca="1" si="11">EPM($B$5,$B$6,12,A11,"period_net_amount",$B$7)</f>
        <v>#NAME?</v>
      </c>
      <c r="O11" s="9" t="e">
        <f t="shared" ref="O11:O22" ca="1" si="12">SUM(C11:N11)</f>
        <v>#NAME?</v>
      </c>
    </row>
    <row r="12" spans="1:15" x14ac:dyDescent="0.35">
      <c r="A12" s="7" t="s">
        <v>461</v>
      </c>
      <c r="B12" s="7" t="s">
        <v>462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429</v>
      </c>
      <c r="B13" s="7" t="s">
        <v>430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44</v>
      </c>
      <c r="B14" s="7" t="s">
        <v>45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478</v>
      </c>
      <c r="B15" s="7" t="s">
        <v>479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480</v>
      </c>
      <c r="B16" s="7" t="s">
        <v>481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482</v>
      </c>
      <c r="B17" s="7" t="s">
        <v>483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A18" s="7" t="s">
        <v>484</v>
      </c>
      <c r="B18" s="7" t="s">
        <v>485</v>
      </c>
      <c r="C18" s="8" t="e">
        <f t="shared" ca="1" si="0"/>
        <v>#NAME?</v>
      </c>
      <c r="D18" s="8" t="e">
        <f t="shared" ca="1" si="1"/>
        <v>#NAME?</v>
      </c>
      <c r="E18" s="8" t="e">
        <f t="shared" ca="1" si="2"/>
        <v>#NAME?</v>
      </c>
      <c r="F18" s="8" t="e">
        <f t="shared" ca="1" si="3"/>
        <v>#NAME?</v>
      </c>
      <c r="G18" s="8" t="e">
        <f t="shared" ca="1" si="4"/>
        <v>#NAME?</v>
      </c>
      <c r="H18" s="8" t="e">
        <f t="shared" ca="1" si="5"/>
        <v>#NAME?</v>
      </c>
      <c r="I18" s="8" t="e">
        <f t="shared" ca="1" si="6"/>
        <v>#NAME?</v>
      </c>
      <c r="J18" s="8" t="e">
        <f t="shared" ca="1" si="7"/>
        <v>#NAME?</v>
      </c>
      <c r="K18" s="8" t="e">
        <f t="shared" ca="1" si="8"/>
        <v>#NAME?</v>
      </c>
      <c r="L18" s="8" t="e">
        <f t="shared" ca="1" si="9"/>
        <v>#NAME?</v>
      </c>
      <c r="M18" s="8" t="e">
        <f t="shared" ca="1" si="10"/>
        <v>#NAME?</v>
      </c>
      <c r="N18" s="8" t="e">
        <f t="shared" ca="1" si="11"/>
        <v>#NAME?</v>
      </c>
      <c r="O18" s="9" t="e">
        <f t="shared" ca="1" si="12"/>
        <v>#NAME?</v>
      </c>
    </row>
    <row r="19" spans="1:15" x14ac:dyDescent="0.35">
      <c r="A19" s="7" t="s">
        <v>486</v>
      </c>
      <c r="B19" s="7" t="s">
        <v>487</v>
      </c>
      <c r="C19" s="8" t="e">
        <f t="shared" ca="1" si="0"/>
        <v>#NAME?</v>
      </c>
      <c r="D19" s="8" t="e">
        <f t="shared" ca="1" si="1"/>
        <v>#NAME?</v>
      </c>
      <c r="E19" s="8" t="e">
        <f t="shared" ca="1" si="2"/>
        <v>#NAME?</v>
      </c>
      <c r="F19" s="8" t="e">
        <f t="shared" ca="1" si="3"/>
        <v>#NAME?</v>
      </c>
      <c r="G19" s="8" t="e">
        <f t="shared" ca="1" si="4"/>
        <v>#NAME?</v>
      </c>
      <c r="H19" s="8" t="e">
        <f t="shared" ca="1" si="5"/>
        <v>#NAME?</v>
      </c>
      <c r="I19" s="8" t="e">
        <f t="shared" ca="1" si="6"/>
        <v>#NAME?</v>
      </c>
      <c r="J19" s="8" t="e">
        <f t="shared" ca="1" si="7"/>
        <v>#NAME?</v>
      </c>
      <c r="K19" s="8" t="e">
        <f t="shared" ca="1" si="8"/>
        <v>#NAME?</v>
      </c>
      <c r="L19" s="8" t="e">
        <f t="shared" ca="1" si="9"/>
        <v>#NAME?</v>
      </c>
      <c r="M19" s="8" t="e">
        <f t="shared" ca="1" si="10"/>
        <v>#NAME?</v>
      </c>
      <c r="N19" s="8" t="e">
        <f t="shared" ca="1" si="11"/>
        <v>#NAME?</v>
      </c>
      <c r="O19" s="9" t="e">
        <f t="shared" ca="1" si="12"/>
        <v>#NAME?</v>
      </c>
    </row>
    <row r="20" spans="1:15" x14ac:dyDescent="0.35">
      <c r="A20" s="7" t="s">
        <v>488</v>
      </c>
      <c r="B20" s="7" t="s">
        <v>489</v>
      </c>
      <c r="C20" s="8" t="e">
        <f t="shared" ca="1" si="0"/>
        <v>#NAME?</v>
      </c>
      <c r="D20" s="8" t="e">
        <f t="shared" ca="1" si="1"/>
        <v>#NAME?</v>
      </c>
      <c r="E20" s="8" t="e">
        <f t="shared" ca="1" si="2"/>
        <v>#NAME?</v>
      </c>
      <c r="F20" s="8" t="e">
        <f t="shared" ca="1" si="3"/>
        <v>#NAME?</v>
      </c>
      <c r="G20" s="8" t="e">
        <f t="shared" ca="1" si="4"/>
        <v>#NAME?</v>
      </c>
      <c r="H20" s="8" t="e">
        <f t="shared" ca="1" si="5"/>
        <v>#NAME?</v>
      </c>
      <c r="I20" s="8" t="e">
        <f t="shared" ca="1" si="6"/>
        <v>#NAME?</v>
      </c>
      <c r="J20" s="8" t="e">
        <f t="shared" ca="1" si="7"/>
        <v>#NAME?</v>
      </c>
      <c r="K20" s="8" t="e">
        <f t="shared" ca="1" si="8"/>
        <v>#NAME?</v>
      </c>
      <c r="L20" s="8" t="e">
        <f t="shared" ca="1" si="9"/>
        <v>#NAME?</v>
      </c>
      <c r="M20" s="8" t="e">
        <f t="shared" ca="1" si="10"/>
        <v>#NAME?</v>
      </c>
      <c r="N20" s="8" t="e">
        <f t="shared" ca="1" si="11"/>
        <v>#NAME?</v>
      </c>
      <c r="O20" s="9" t="e">
        <f t="shared" ca="1" si="12"/>
        <v>#NAME?</v>
      </c>
    </row>
    <row r="21" spans="1:15" x14ac:dyDescent="0.35">
      <c r="A21" s="7" t="s">
        <v>197</v>
      </c>
      <c r="B21" s="7" t="s">
        <v>198</v>
      </c>
      <c r="C21" s="8" t="e">
        <f t="shared" ca="1" si="0"/>
        <v>#NAME?</v>
      </c>
      <c r="D21" s="8" t="e">
        <f t="shared" ca="1" si="1"/>
        <v>#NAME?</v>
      </c>
      <c r="E21" s="8" t="e">
        <f t="shared" ca="1" si="2"/>
        <v>#NAME?</v>
      </c>
      <c r="F21" s="8" t="e">
        <f t="shared" ca="1" si="3"/>
        <v>#NAME?</v>
      </c>
      <c r="G21" s="8" t="e">
        <f t="shared" ca="1" si="4"/>
        <v>#NAME?</v>
      </c>
      <c r="H21" s="8" t="e">
        <f t="shared" ca="1" si="5"/>
        <v>#NAME?</v>
      </c>
      <c r="I21" s="8" t="e">
        <f t="shared" ca="1" si="6"/>
        <v>#NAME?</v>
      </c>
      <c r="J21" s="8" t="e">
        <f t="shared" ca="1" si="7"/>
        <v>#NAME?</v>
      </c>
      <c r="K21" s="8" t="e">
        <f t="shared" ca="1" si="8"/>
        <v>#NAME?</v>
      </c>
      <c r="L21" s="8" t="e">
        <f t="shared" ca="1" si="9"/>
        <v>#NAME?</v>
      </c>
      <c r="M21" s="8" t="e">
        <f t="shared" ca="1" si="10"/>
        <v>#NAME?</v>
      </c>
      <c r="N21" s="8" t="e">
        <f t="shared" ca="1" si="11"/>
        <v>#NAME?</v>
      </c>
      <c r="O21" s="9" t="e">
        <f t="shared" ca="1" si="12"/>
        <v>#NAME?</v>
      </c>
    </row>
    <row r="22" spans="1:15" x14ac:dyDescent="0.35">
      <c r="A22" s="7" t="s">
        <v>300</v>
      </c>
      <c r="B22" s="7" t="s">
        <v>301</v>
      </c>
      <c r="C22" s="8" t="e">
        <f t="shared" ca="1" si="0"/>
        <v>#NAME?</v>
      </c>
      <c r="D22" s="8" t="e">
        <f t="shared" ca="1" si="1"/>
        <v>#NAME?</v>
      </c>
      <c r="E22" s="8" t="e">
        <f t="shared" ca="1" si="2"/>
        <v>#NAME?</v>
      </c>
      <c r="F22" s="8" t="e">
        <f t="shared" ca="1" si="3"/>
        <v>#NAME?</v>
      </c>
      <c r="G22" s="8" t="e">
        <f t="shared" ca="1" si="4"/>
        <v>#NAME?</v>
      </c>
      <c r="H22" s="8" t="e">
        <f t="shared" ca="1" si="5"/>
        <v>#NAME?</v>
      </c>
      <c r="I22" s="8" t="e">
        <f t="shared" ca="1" si="6"/>
        <v>#NAME?</v>
      </c>
      <c r="J22" s="8" t="e">
        <f t="shared" ca="1" si="7"/>
        <v>#NAME?</v>
      </c>
      <c r="K22" s="8" t="e">
        <f t="shared" ca="1" si="8"/>
        <v>#NAME?</v>
      </c>
      <c r="L22" s="8" t="e">
        <f t="shared" ca="1" si="9"/>
        <v>#NAME?</v>
      </c>
      <c r="M22" s="8" t="e">
        <f t="shared" ca="1" si="10"/>
        <v>#NAME?</v>
      </c>
      <c r="N22" s="8" t="e">
        <f t="shared" ca="1" si="11"/>
        <v>#NAME?</v>
      </c>
      <c r="O22" s="9" t="e">
        <f t="shared" ca="1" si="12"/>
        <v>#NAME?</v>
      </c>
    </row>
    <row r="23" spans="1:15" x14ac:dyDescent="0.35">
      <c r="B23" s="10" t="s">
        <v>57</v>
      </c>
      <c r="C23" s="11" t="e">
        <f t="shared" ref="C23:O23" ca="1" si="13">SUM(C11:C22)</f>
        <v>#NAME?</v>
      </c>
      <c r="D23" s="11" t="e">
        <f t="shared" ca="1" si="13"/>
        <v>#NAME?</v>
      </c>
      <c r="E23" s="11" t="e">
        <f t="shared" ca="1" si="13"/>
        <v>#NAME?</v>
      </c>
      <c r="F23" s="11" t="e">
        <f t="shared" ca="1" si="13"/>
        <v>#NAME?</v>
      </c>
      <c r="G23" s="11" t="e">
        <f t="shared" ca="1" si="13"/>
        <v>#NAME?</v>
      </c>
      <c r="H23" s="11" t="e">
        <f t="shared" ca="1" si="13"/>
        <v>#NAME?</v>
      </c>
      <c r="I23" s="11" t="e">
        <f t="shared" ca="1" si="13"/>
        <v>#NAME?</v>
      </c>
      <c r="J23" s="11" t="e">
        <f t="shared" ca="1" si="13"/>
        <v>#NAME?</v>
      </c>
      <c r="K23" s="11" t="e">
        <f t="shared" ca="1" si="13"/>
        <v>#NAME?</v>
      </c>
      <c r="L23" s="11" t="e">
        <f t="shared" ca="1" si="13"/>
        <v>#NAME?</v>
      </c>
      <c r="M23" s="11" t="e">
        <f t="shared" ca="1" si="13"/>
        <v>#NAME?</v>
      </c>
      <c r="N23" s="11" t="e">
        <f t="shared" ca="1" si="13"/>
        <v>#NAME?</v>
      </c>
      <c r="O23" s="11" t="e">
        <f t="shared" ca="1" si="13"/>
        <v>#NAME?</v>
      </c>
    </row>
    <row r="25" spans="1:15" ht="15.5" x14ac:dyDescent="0.35">
      <c r="A25" s="4" t="s">
        <v>58</v>
      </c>
    </row>
    <row r="26" spans="1:15" x14ac:dyDescent="0.35">
      <c r="A26" s="6" t="s">
        <v>19</v>
      </c>
      <c r="B26" s="6" t="s">
        <v>20</v>
      </c>
      <c r="C26" s="6" t="s">
        <v>21</v>
      </c>
      <c r="D26" s="6" t="s">
        <v>22</v>
      </c>
      <c r="E26" s="6" t="s">
        <v>23</v>
      </c>
      <c r="F26" s="6" t="s">
        <v>24</v>
      </c>
      <c r="G26" s="6" t="s">
        <v>25</v>
      </c>
      <c r="H26" s="6" t="s">
        <v>26</v>
      </c>
      <c r="I26" s="6" t="s">
        <v>27</v>
      </c>
      <c r="J26" s="6" t="s">
        <v>28</v>
      </c>
      <c r="K26" s="6" t="s">
        <v>29</v>
      </c>
      <c r="L26" s="6" t="s">
        <v>30</v>
      </c>
      <c r="M26" s="6" t="s">
        <v>31</v>
      </c>
      <c r="N26" s="6" t="s">
        <v>32</v>
      </c>
    </row>
    <row r="27" spans="1:15" x14ac:dyDescent="0.35">
      <c r="A27" s="7" t="s">
        <v>61</v>
      </c>
      <c r="B27" s="7" t="s">
        <v>205</v>
      </c>
      <c r="C27" s="8" t="e">
        <f t="shared" ref="C27:C32" ca="1" si="14">EPM($B$5,$B$6,1,A27,"period_net_amount",$B$7)</f>
        <v>#NAME?</v>
      </c>
      <c r="D27" s="8" t="e">
        <f t="shared" ref="D27:D32" ca="1" si="15">EPM($B$5,$B$6,2,A27,"period_net_amount",$B$7)</f>
        <v>#NAME?</v>
      </c>
      <c r="E27" s="8" t="e">
        <f t="shared" ref="E27:E32" ca="1" si="16">EPM($B$5,$B$6,3,A27,"period_net_amount",$B$7)</f>
        <v>#NAME?</v>
      </c>
      <c r="F27" s="8" t="e">
        <f t="shared" ref="F27:F32" ca="1" si="17">EPM($B$5,$B$6,4,A27,"period_net_amount",$B$7)</f>
        <v>#NAME?</v>
      </c>
      <c r="G27" s="8" t="e">
        <f t="shared" ref="G27:G32" ca="1" si="18">EPM($B$5,$B$6,5,A27,"period_net_amount",$B$7)</f>
        <v>#NAME?</v>
      </c>
      <c r="H27" s="8" t="e">
        <f t="shared" ref="H27:H32" ca="1" si="19">EPM($B$5,$B$6,6,A27,"period_net_amount",$B$7)</f>
        <v>#NAME?</v>
      </c>
      <c r="I27" s="8" t="e">
        <f t="shared" ref="I27:I32" ca="1" si="20">EPM($B$5,$B$6,7,A27,"period_net_amount",$B$7)</f>
        <v>#NAME?</v>
      </c>
      <c r="J27" s="8" t="e">
        <f t="shared" ref="J27:J32" ca="1" si="21">EPM($B$5,$B$6,8,A27,"period_net_amount",$B$7)</f>
        <v>#NAME?</v>
      </c>
      <c r="K27" s="8" t="e">
        <f t="shared" ref="K27:K32" ca="1" si="22">EPM($B$5,$B$6,9,A27,"period_net_amount",$B$7)</f>
        <v>#NAME?</v>
      </c>
      <c r="L27" s="8" t="e">
        <f t="shared" ref="L27:L32" ca="1" si="23">EPM($B$5,$B$6,10,A27,"period_net_amount",$B$7)</f>
        <v>#NAME?</v>
      </c>
      <c r="M27" s="8" t="e">
        <f t="shared" ref="M27:M32" ca="1" si="24">EPM($B$5,$B$6,11,A27,"period_net_amount",$B$7)</f>
        <v>#NAME?</v>
      </c>
      <c r="N27" s="8" t="e">
        <f t="shared" ref="N27:N32" ca="1" si="25">EPM($B$5,$B$6,12,A27,"period_net_amount",$B$7)</f>
        <v>#NAME?</v>
      </c>
    </row>
    <row r="28" spans="1:15" x14ac:dyDescent="0.35">
      <c r="A28" s="7" t="s">
        <v>59</v>
      </c>
      <c r="B28" s="7" t="s">
        <v>60</v>
      </c>
      <c r="C28" s="8" t="e">
        <f t="shared" ca="1" si="14"/>
        <v>#NAME?</v>
      </c>
      <c r="D28" s="8" t="e">
        <f t="shared" ca="1" si="15"/>
        <v>#NAME?</v>
      </c>
      <c r="E28" s="8" t="e">
        <f t="shared" ca="1" si="16"/>
        <v>#NAME?</v>
      </c>
      <c r="F28" s="8" t="e">
        <f t="shared" ca="1" si="17"/>
        <v>#NAME?</v>
      </c>
      <c r="G28" s="8" t="e">
        <f t="shared" ca="1" si="18"/>
        <v>#NAME?</v>
      </c>
      <c r="H28" s="8" t="e">
        <f t="shared" ca="1" si="19"/>
        <v>#NAME?</v>
      </c>
      <c r="I28" s="8" t="e">
        <f t="shared" ca="1" si="20"/>
        <v>#NAME?</v>
      </c>
      <c r="J28" s="8" t="e">
        <f t="shared" ca="1" si="21"/>
        <v>#NAME?</v>
      </c>
      <c r="K28" s="8" t="e">
        <f t="shared" ca="1" si="22"/>
        <v>#NAME?</v>
      </c>
      <c r="L28" s="8" t="e">
        <f t="shared" ca="1" si="23"/>
        <v>#NAME?</v>
      </c>
      <c r="M28" s="8" t="e">
        <f t="shared" ca="1" si="24"/>
        <v>#NAME?</v>
      </c>
      <c r="N28" s="8" t="e">
        <f t="shared" ca="1" si="25"/>
        <v>#NAME?</v>
      </c>
    </row>
    <row r="29" spans="1:15" x14ac:dyDescent="0.35">
      <c r="A29" s="7" t="s">
        <v>461</v>
      </c>
      <c r="B29" s="7" t="s">
        <v>490</v>
      </c>
      <c r="C29" s="8" t="e">
        <f t="shared" ca="1" si="14"/>
        <v>#NAME?</v>
      </c>
      <c r="D29" s="8" t="e">
        <f t="shared" ca="1" si="15"/>
        <v>#NAME?</v>
      </c>
      <c r="E29" s="8" t="e">
        <f t="shared" ca="1" si="16"/>
        <v>#NAME?</v>
      </c>
      <c r="F29" s="8" t="e">
        <f t="shared" ca="1" si="17"/>
        <v>#NAME?</v>
      </c>
      <c r="G29" s="8" t="e">
        <f t="shared" ca="1" si="18"/>
        <v>#NAME?</v>
      </c>
      <c r="H29" s="8" t="e">
        <f t="shared" ca="1" si="19"/>
        <v>#NAME?</v>
      </c>
      <c r="I29" s="8" t="e">
        <f t="shared" ca="1" si="20"/>
        <v>#NAME?</v>
      </c>
      <c r="J29" s="8" t="e">
        <f t="shared" ca="1" si="21"/>
        <v>#NAME?</v>
      </c>
      <c r="K29" s="8" t="e">
        <f t="shared" ca="1" si="22"/>
        <v>#NAME?</v>
      </c>
      <c r="L29" s="8" t="e">
        <f t="shared" ca="1" si="23"/>
        <v>#NAME?</v>
      </c>
      <c r="M29" s="8" t="e">
        <f t="shared" ca="1" si="24"/>
        <v>#NAME?</v>
      </c>
      <c r="N29" s="8" t="e">
        <f t="shared" ca="1" si="25"/>
        <v>#NAME?</v>
      </c>
    </row>
    <row r="30" spans="1:15" x14ac:dyDescent="0.35">
      <c r="A30" s="7" t="s">
        <v>203</v>
      </c>
      <c r="B30" s="7" t="s">
        <v>204</v>
      </c>
      <c r="C30" s="8" t="e">
        <f t="shared" ca="1" si="14"/>
        <v>#NAME?</v>
      </c>
      <c r="D30" s="8" t="e">
        <f t="shared" ca="1" si="15"/>
        <v>#NAME?</v>
      </c>
      <c r="E30" s="8" t="e">
        <f t="shared" ca="1" si="16"/>
        <v>#NAME?</v>
      </c>
      <c r="F30" s="8" t="e">
        <f t="shared" ca="1" si="17"/>
        <v>#NAME?</v>
      </c>
      <c r="G30" s="8" t="e">
        <f t="shared" ca="1" si="18"/>
        <v>#NAME?</v>
      </c>
      <c r="H30" s="8" t="e">
        <f t="shared" ca="1" si="19"/>
        <v>#NAME?</v>
      </c>
      <c r="I30" s="8" t="e">
        <f t="shared" ca="1" si="20"/>
        <v>#NAME?</v>
      </c>
      <c r="J30" s="8" t="e">
        <f t="shared" ca="1" si="21"/>
        <v>#NAME?</v>
      </c>
      <c r="K30" s="8" t="e">
        <f t="shared" ca="1" si="22"/>
        <v>#NAME?</v>
      </c>
      <c r="L30" s="8" t="e">
        <f t="shared" ca="1" si="23"/>
        <v>#NAME?</v>
      </c>
      <c r="M30" s="8" t="e">
        <f t="shared" ca="1" si="24"/>
        <v>#NAME?</v>
      </c>
      <c r="N30" s="8" t="e">
        <f t="shared" ca="1" si="25"/>
        <v>#NAME?</v>
      </c>
    </row>
    <row r="31" spans="1:15" x14ac:dyDescent="0.35">
      <c r="A31" s="7" t="s">
        <v>150</v>
      </c>
      <c r="B31" s="7" t="s">
        <v>416</v>
      </c>
      <c r="C31" s="8" t="e">
        <f t="shared" ca="1" si="14"/>
        <v>#NAME?</v>
      </c>
      <c r="D31" s="8" t="e">
        <f t="shared" ca="1" si="15"/>
        <v>#NAME?</v>
      </c>
      <c r="E31" s="8" t="e">
        <f t="shared" ca="1" si="16"/>
        <v>#NAME?</v>
      </c>
      <c r="F31" s="8" t="e">
        <f t="shared" ca="1" si="17"/>
        <v>#NAME?</v>
      </c>
      <c r="G31" s="8" t="e">
        <f t="shared" ca="1" si="18"/>
        <v>#NAME?</v>
      </c>
      <c r="H31" s="8" t="e">
        <f t="shared" ca="1" si="19"/>
        <v>#NAME?</v>
      </c>
      <c r="I31" s="8" t="e">
        <f t="shared" ca="1" si="20"/>
        <v>#NAME?</v>
      </c>
      <c r="J31" s="8" t="e">
        <f t="shared" ca="1" si="21"/>
        <v>#NAME?</v>
      </c>
      <c r="K31" s="8" t="e">
        <f t="shared" ca="1" si="22"/>
        <v>#NAME?</v>
      </c>
      <c r="L31" s="8" t="e">
        <f t="shared" ca="1" si="23"/>
        <v>#NAME?</v>
      </c>
      <c r="M31" s="8" t="e">
        <f t="shared" ca="1" si="24"/>
        <v>#NAME?</v>
      </c>
      <c r="N31" s="8" t="e">
        <f t="shared" ca="1" si="25"/>
        <v>#NAME?</v>
      </c>
    </row>
    <row r="32" spans="1:15" x14ac:dyDescent="0.35">
      <c r="A32" s="7" t="s">
        <v>156</v>
      </c>
      <c r="B32" s="7" t="s">
        <v>157</v>
      </c>
      <c r="C32" s="8" t="e">
        <f t="shared" ca="1" si="14"/>
        <v>#NAME?</v>
      </c>
      <c r="D32" s="8" t="e">
        <f t="shared" ca="1" si="15"/>
        <v>#NAME?</v>
      </c>
      <c r="E32" s="8" t="e">
        <f t="shared" ca="1" si="16"/>
        <v>#NAME?</v>
      </c>
      <c r="F32" s="8" t="e">
        <f t="shared" ca="1" si="17"/>
        <v>#NAME?</v>
      </c>
      <c r="G32" s="8" t="e">
        <f t="shared" ca="1" si="18"/>
        <v>#NAME?</v>
      </c>
      <c r="H32" s="8" t="e">
        <f t="shared" ca="1" si="19"/>
        <v>#NAME?</v>
      </c>
      <c r="I32" s="8" t="e">
        <f t="shared" ca="1" si="20"/>
        <v>#NAME?</v>
      </c>
      <c r="J32" s="8" t="e">
        <f t="shared" ca="1" si="21"/>
        <v>#NAME?</v>
      </c>
      <c r="K32" s="8" t="e">
        <f t="shared" ca="1" si="22"/>
        <v>#NAME?</v>
      </c>
      <c r="L32" s="8" t="e">
        <f t="shared" ca="1" si="23"/>
        <v>#NAME?</v>
      </c>
      <c r="M32" s="8" t="e">
        <f t="shared" ca="1" si="24"/>
        <v>#NAME?</v>
      </c>
      <c r="N32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32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491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492</v>
      </c>
    </row>
    <row r="6" spans="1:15" x14ac:dyDescent="0.35">
      <c r="A6" s="2" t="s">
        <v>15</v>
      </c>
      <c r="B6" s="5">
        <v>2013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493</v>
      </c>
      <c r="B11" s="7" t="s">
        <v>494</v>
      </c>
      <c r="C11" s="8" t="e">
        <f t="shared" ref="C11:C22" ca="1" si="0">EPM($B$5,$B$6,1,A11,"period_net_amount",$B$7)</f>
        <v>#NAME?</v>
      </c>
      <c r="D11" s="8" t="e">
        <f t="shared" ref="D11:D22" ca="1" si="1">EPM($B$5,$B$6,2,A11,"period_net_amount",$B$7)</f>
        <v>#NAME?</v>
      </c>
      <c r="E11" s="8" t="e">
        <f t="shared" ref="E11:E22" ca="1" si="2">EPM($B$5,$B$6,3,A11,"period_net_amount",$B$7)</f>
        <v>#NAME?</v>
      </c>
      <c r="F11" s="8" t="e">
        <f t="shared" ref="F11:F22" ca="1" si="3">EPM($B$5,$B$6,4,A11,"period_net_amount",$B$7)</f>
        <v>#NAME?</v>
      </c>
      <c r="G11" s="8" t="e">
        <f t="shared" ref="G11:G22" ca="1" si="4">EPM($B$5,$B$6,5,A11,"period_net_amount",$B$7)</f>
        <v>#NAME?</v>
      </c>
      <c r="H11" s="8" t="e">
        <f t="shared" ref="H11:H22" ca="1" si="5">EPM($B$5,$B$6,6,A11,"period_net_amount",$B$7)</f>
        <v>#NAME?</v>
      </c>
      <c r="I11" s="8" t="e">
        <f t="shared" ref="I11:I22" ca="1" si="6">EPM($B$5,$B$6,7,A11,"period_net_amount",$B$7)</f>
        <v>#NAME?</v>
      </c>
      <c r="J11" s="8" t="e">
        <f t="shared" ref="J11:J22" ca="1" si="7">EPM($B$5,$B$6,8,A11,"period_net_amount",$B$7)</f>
        <v>#NAME?</v>
      </c>
      <c r="K11" s="8" t="e">
        <f t="shared" ref="K11:K22" ca="1" si="8">EPM($B$5,$B$6,9,A11,"period_net_amount",$B$7)</f>
        <v>#NAME?</v>
      </c>
      <c r="L11" s="8" t="e">
        <f t="shared" ref="L11:L22" ca="1" si="9">EPM($B$5,$B$6,10,A11,"period_net_amount",$B$7)</f>
        <v>#NAME?</v>
      </c>
      <c r="M11" s="8" t="e">
        <f t="shared" ref="M11:M22" ca="1" si="10">EPM($B$5,$B$6,11,A11,"period_net_amount",$B$7)</f>
        <v>#NAME?</v>
      </c>
      <c r="N11" s="8" t="e">
        <f t="shared" ref="N11:N22" ca="1" si="11">EPM($B$5,$B$6,12,A11,"period_net_amount",$B$7)</f>
        <v>#NAME?</v>
      </c>
      <c r="O11" s="9" t="e">
        <f t="shared" ref="O11:O22" ca="1" si="12">SUM(C11:N11)</f>
        <v>#NAME?</v>
      </c>
    </row>
    <row r="12" spans="1:15" x14ac:dyDescent="0.35">
      <c r="A12" s="7" t="s">
        <v>495</v>
      </c>
      <c r="B12" s="7" t="s">
        <v>496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497</v>
      </c>
      <c r="B13" s="7" t="s">
        <v>494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498</v>
      </c>
      <c r="B14" s="7" t="s">
        <v>499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500</v>
      </c>
      <c r="B15" s="7" t="s">
        <v>501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502</v>
      </c>
      <c r="B16" s="7" t="s">
        <v>503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504</v>
      </c>
      <c r="B17" s="7" t="s">
        <v>505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A18" s="7" t="s">
        <v>506</v>
      </c>
      <c r="B18" s="7" t="s">
        <v>507</v>
      </c>
      <c r="C18" s="8" t="e">
        <f t="shared" ca="1" si="0"/>
        <v>#NAME?</v>
      </c>
      <c r="D18" s="8" t="e">
        <f t="shared" ca="1" si="1"/>
        <v>#NAME?</v>
      </c>
      <c r="E18" s="8" t="e">
        <f t="shared" ca="1" si="2"/>
        <v>#NAME?</v>
      </c>
      <c r="F18" s="8" t="e">
        <f t="shared" ca="1" si="3"/>
        <v>#NAME?</v>
      </c>
      <c r="G18" s="8" t="e">
        <f t="shared" ca="1" si="4"/>
        <v>#NAME?</v>
      </c>
      <c r="H18" s="8" t="e">
        <f t="shared" ca="1" si="5"/>
        <v>#NAME?</v>
      </c>
      <c r="I18" s="8" t="e">
        <f t="shared" ca="1" si="6"/>
        <v>#NAME?</v>
      </c>
      <c r="J18" s="8" t="e">
        <f t="shared" ca="1" si="7"/>
        <v>#NAME?</v>
      </c>
      <c r="K18" s="8" t="e">
        <f t="shared" ca="1" si="8"/>
        <v>#NAME?</v>
      </c>
      <c r="L18" s="8" t="e">
        <f t="shared" ca="1" si="9"/>
        <v>#NAME?</v>
      </c>
      <c r="M18" s="8" t="e">
        <f t="shared" ca="1" si="10"/>
        <v>#NAME?</v>
      </c>
      <c r="N18" s="8" t="e">
        <f t="shared" ca="1" si="11"/>
        <v>#NAME?</v>
      </c>
      <c r="O18" s="9" t="e">
        <f t="shared" ca="1" si="12"/>
        <v>#NAME?</v>
      </c>
    </row>
    <row r="19" spans="1:15" x14ac:dyDescent="0.35">
      <c r="A19" s="7" t="s">
        <v>508</v>
      </c>
      <c r="B19" s="7" t="s">
        <v>509</v>
      </c>
      <c r="C19" s="8" t="e">
        <f t="shared" ca="1" si="0"/>
        <v>#NAME?</v>
      </c>
      <c r="D19" s="8" t="e">
        <f t="shared" ca="1" si="1"/>
        <v>#NAME?</v>
      </c>
      <c r="E19" s="8" t="e">
        <f t="shared" ca="1" si="2"/>
        <v>#NAME?</v>
      </c>
      <c r="F19" s="8" t="e">
        <f t="shared" ca="1" si="3"/>
        <v>#NAME?</v>
      </c>
      <c r="G19" s="8" t="e">
        <f t="shared" ca="1" si="4"/>
        <v>#NAME?</v>
      </c>
      <c r="H19" s="8" t="e">
        <f t="shared" ca="1" si="5"/>
        <v>#NAME?</v>
      </c>
      <c r="I19" s="8" t="e">
        <f t="shared" ca="1" si="6"/>
        <v>#NAME?</v>
      </c>
      <c r="J19" s="8" t="e">
        <f t="shared" ca="1" si="7"/>
        <v>#NAME?</v>
      </c>
      <c r="K19" s="8" t="e">
        <f t="shared" ca="1" si="8"/>
        <v>#NAME?</v>
      </c>
      <c r="L19" s="8" t="e">
        <f t="shared" ca="1" si="9"/>
        <v>#NAME?</v>
      </c>
      <c r="M19" s="8" t="e">
        <f t="shared" ca="1" si="10"/>
        <v>#NAME?</v>
      </c>
      <c r="N19" s="8" t="e">
        <f t="shared" ca="1" si="11"/>
        <v>#NAME?</v>
      </c>
      <c r="O19" s="9" t="e">
        <f t="shared" ca="1" si="12"/>
        <v>#NAME?</v>
      </c>
    </row>
    <row r="20" spans="1:15" x14ac:dyDescent="0.35">
      <c r="A20" s="7" t="s">
        <v>510</v>
      </c>
      <c r="B20" s="7" t="s">
        <v>511</v>
      </c>
      <c r="C20" s="8" t="e">
        <f t="shared" ca="1" si="0"/>
        <v>#NAME?</v>
      </c>
      <c r="D20" s="8" t="e">
        <f t="shared" ca="1" si="1"/>
        <v>#NAME?</v>
      </c>
      <c r="E20" s="8" t="e">
        <f t="shared" ca="1" si="2"/>
        <v>#NAME?</v>
      </c>
      <c r="F20" s="8" t="e">
        <f t="shared" ca="1" si="3"/>
        <v>#NAME?</v>
      </c>
      <c r="G20" s="8" t="e">
        <f t="shared" ca="1" si="4"/>
        <v>#NAME?</v>
      </c>
      <c r="H20" s="8" t="e">
        <f t="shared" ca="1" si="5"/>
        <v>#NAME?</v>
      </c>
      <c r="I20" s="8" t="e">
        <f t="shared" ca="1" si="6"/>
        <v>#NAME?</v>
      </c>
      <c r="J20" s="8" t="e">
        <f t="shared" ca="1" si="7"/>
        <v>#NAME?</v>
      </c>
      <c r="K20" s="8" t="e">
        <f t="shared" ca="1" si="8"/>
        <v>#NAME?</v>
      </c>
      <c r="L20" s="8" t="e">
        <f t="shared" ca="1" si="9"/>
        <v>#NAME?</v>
      </c>
      <c r="M20" s="8" t="e">
        <f t="shared" ca="1" si="10"/>
        <v>#NAME?</v>
      </c>
      <c r="N20" s="8" t="e">
        <f t="shared" ca="1" si="11"/>
        <v>#NAME?</v>
      </c>
      <c r="O20" s="9" t="e">
        <f t="shared" ca="1" si="12"/>
        <v>#NAME?</v>
      </c>
    </row>
    <row r="21" spans="1:15" x14ac:dyDescent="0.35">
      <c r="A21" s="7" t="s">
        <v>512</v>
      </c>
      <c r="B21" s="7" t="s">
        <v>513</v>
      </c>
      <c r="C21" s="8" t="e">
        <f t="shared" ca="1" si="0"/>
        <v>#NAME?</v>
      </c>
      <c r="D21" s="8" t="e">
        <f t="shared" ca="1" si="1"/>
        <v>#NAME?</v>
      </c>
      <c r="E21" s="8" t="e">
        <f t="shared" ca="1" si="2"/>
        <v>#NAME?</v>
      </c>
      <c r="F21" s="8" t="e">
        <f t="shared" ca="1" si="3"/>
        <v>#NAME?</v>
      </c>
      <c r="G21" s="8" t="e">
        <f t="shared" ca="1" si="4"/>
        <v>#NAME?</v>
      </c>
      <c r="H21" s="8" t="e">
        <f t="shared" ca="1" si="5"/>
        <v>#NAME?</v>
      </c>
      <c r="I21" s="8" t="e">
        <f t="shared" ca="1" si="6"/>
        <v>#NAME?</v>
      </c>
      <c r="J21" s="8" t="e">
        <f t="shared" ca="1" si="7"/>
        <v>#NAME?</v>
      </c>
      <c r="K21" s="8" t="e">
        <f t="shared" ca="1" si="8"/>
        <v>#NAME?</v>
      </c>
      <c r="L21" s="8" t="e">
        <f t="shared" ca="1" si="9"/>
        <v>#NAME?</v>
      </c>
      <c r="M21" s="8" t="e">
        <f t="shared" ca="1" si="10"/>
        <v>#NAME?</v>
      </c>
      <c r="N21" s="8" t="e">
        <f t="shared" ca="1" si="11"/>
        <v>#NAME?</v>
      </c>
      <c r="O21" s="9" t="e">
        <f t="shared" ca="1" si="12"/>
        <v>#NAME?</v>
      </c>
    </row>
    <row r="22" spans="1:15" x14ac:dyDescent="0.35">
      <c r="A22" s="7" t="s">
        <v>514</v>
      </c>
      <c r="B22" s="7" t="s">
        <v>515</v>
      </c>
      <c r="C22" s="8" t="e">
        <f t="shared" ca="1" si="0"/>
        <v>#NAME?</v>
      </c>
      <c r="D22" s="8" t="e">
        <f t="shared" ca="1" si="1"/>
        <v>#NAME?</v>
      </c>
      <c r="E22" s="8" t="e">
        <f t="shared" ca="1" si="2"/>
        <v>#NAME?</v>
      </c>
      <c r="F22" s="8" t="e">
        <f t="shared" ca="1" si="3"/>
        <v>#NAME?</v>
      </c>
      <c r="G22" s="8" t="e">
        <f t="shared" ca="1" si="4"/>
        <v>#NAME?</v>
      </c>
      <c r="H22" s="8" t="e">
        <f t="shared" ca="1" si="5"/>
        <v>#NAME?</v>
      </c>
      <c r="I22" s="8" t="e">
        <f t="shared" ca="1" si="6"/>
        <v>#NAME?</v>
      </c>
      <c r="J22" s="8" t="e">
        <f t="shared" ca="1" si="7"/>
        <v>#NAME?</v>
      </c>
      <c r="K22" s="8" t="e">
        <f t="shared" ca="1" si="8"/>
        <v>#NAME?</v>
      </c>
      <c r="L22" s="8" t="e">
        <f t="shared" ca="1" si="9"/>
        <v>#NAME?</v>
      </c>
      <c r="M22" s="8" t="e">
        <f t="shared" ca="1" si="10"/>
        <v>#NAME?</v>
      </c>
      <c r="N22" s="8" t="e">
        <f t="shared" ca="1" si="11"/>
        <v>#NAME?</v>
      </c>
      <c r="O22" s="9" t="e">
        <f t="shared" ca="1" si="12"/>
        <v>#NAME?</v>
      </c>
    </row>
    <row r="23" spans="1:15" x14ac:dyDescent="0.35">
      <c r="B23" s="10" t="s">
        <v>57</v>
      </c>
      <c r="C23" s="11" t="e">
        <f t="shared" ref="C23:O23" ca="1" si="13">SUM(C11:C22)</f>
        <v>#NAME?</v>
      </c>
      <c r="D23" s="11" t="e">
        <f t="shared" ca="1" si="13"/>
        <v>#NAME?</v>
      </c>
      <c r="E23" s="11" t="e">
        <f t="shared" ca="1" si="13"/>
        <v>#NAME?</v>
      </c>
      <c r="F23" s="11" t="e">
        <f t="shared" ca="1" si="13"/>
        <v>#NAME?</v>
      </c>
      <c r="G23" s="11" t="e">
        <f t="shared" ca="1" si="13"/>
        <v>#NAME?</v>
      </c>
      <c r="H23" s="11" t="e">
        <f t="shared" ca="1" si="13"/>
        <v>#NAME?</v>
      </c>
      <c r="I23" s="11" t="e">
        <f t="shared" ca="1" si="13"/>
        <v>#NAME?</v>
      </c>
      <c r="J23" s="11" t="e">
        <f t="shared" ca="1" si="13"/>
        <v>#NAME?</v>
      </c>
      <c r="K23" s="11" t="e">
        <f t="shared" ca="1" si="13"/>
        <v>#NAME?</v>
      </c>
      <c r="L23" s="11" t="e">
        <f t="shared" ca="1" si="13"/>
        <v>#NAME?</v>
      </c>
      <c r="M23" s="11" t="e">
        <f t="shared" ca="1" si="13"/>
        <v>#NAME?</v>
      </c>
      <c r="N23" s="11" t="e">
        <f t="shared" ca="1" si="13"/>
        <v>#NAME?</v>
      </c>
      <c r="O23" s="11" t="e">
        <f t="shared" ca="1" si="13"/>
        <v>#NAME?</v>
      </c>
    </row>
    <row r="25" spans="1:15" ht="15.5" x14ac:dyDescent="0.35">
      <c r="A25" s="4" t="s">
        <v>58</v>
      </c>
    </row>
    <row r="26" spans="1:15" x14ac:dyDescent="0.35">
      <c r="A26" s="6" t="s">
        <v>19</v>
      </c>
      <c r="B26" s="6" t="s">
        <v>20</v>
      </c>
      <c r="C26" s="6" t="s">
        <v>21</v>
      </c>
      <c r="D26" s="6" t="s">
        <v>22</v>
      </c>
      <c r="E26" s="6" t="s">
        <v>23</v>
      </c>
      <c r="F26" s="6" t="s">
        <v>24</v>
      </c>
      <c r="G26" s="6" t="s">
        <v>25</v>
      </c>
      <c r="H26" s="6" t="s">
        <v>26</v>
      </c>
      <c r="I26" s="6" t="s">
        <v>27</v>
      </c>
      <c r="J26" s="6" t="s">
        <v>28</v>
      </c>
      <c r="K26" s="6" t="s">
        <v>29</v>
      </c>
      <c r="L26" s="6" t="s">
        <v>30</v>
      </c>
      <c r="M26" s="6" t="s">
        <v>31</v>
      </c>
      <c r="N26" s="6" t="s">
        <v>32</v>
      </c>
    </row>
    <row r="27" spans="1:15" x14ac:dyDescent="0.35">
      <c r="A27" s="7" t="s">
        <v>516</v>
      </c>
      <c r="B27" s="7" t="s">
        <v>517</v>
      </c>
      <c r="C27" s="8" t="e">
        <f t="shared" ref="C27:C32" ca="1" si="14">EPM($B$5,$B$6,1,A27,"period_net_amount",$B$7)</f>
        <v>#NAME?</v>
      </c>
      <c r="D27" s="8" t="e">
        <f t="shared" ref="D27:D32" ca="1" si="15">EPM($B$5,$B$6,2,A27,"period_net_amount",$B$7)</f>
        <v>#NAME?</v>
      </c>
      <c r="E27" s="8" t="e">
        <f t="shared" ref="E27:E32" ca="1" si="16">EPM($B$5,$B$6,3,A27,"period_net_amount",$B$7)</f>
        <v>#NAME?</v>
      </c>
      <c r="F27" s="8" t="e">
        <f t="shared" ref="F27:F32" ca="1" si="17">EPM($B$5,$B$6,4,A27,"period_net_amount",$B$7)</f>
        <v>#NAME?</v>
      </c>
      <c r="G27" s="8" t="e">
        <f t="shared" ref="G27:G32" ca="1" si="18">EPM($B$5,$B$6,5,A27,"period_net_amount",$B$7)</f>
        <v>#NAME?</v>
      </c>
      <c r="H27" s="8" t="e">
        <f t="shared" ref="H27:H32" ca="1" si="19">EPM($B$5,$B$6,6,A27,"period_net_amount",$B$7)</f>
        <v>#NAME?</v>
      </c>
      <c r="I27" s="8" t="e">
        <f t="shared" ref="I27:I32" ca="1" si="20">EPM($B$5,$B$6,7,A27,"period_net_amount",$B$7)</f>
        <v>#NAME?</v>
      </c>
      <c r="J27" s="8" t="e">
        <f t="shared" ref="J27:J32" ca="1" si="21">EPM($B$5,$B$6,8,A27,"period_net_amount",$B$7)</f>
        <v>#NAME?</v>
      </c>
      <c r="K27" s="8" t="e">
        <f t="shared" ref="K27:K32" ca="1" si="22">EPM($B$5,$B$6,9,A27,"period_net_amount",$B$7)</f>
        <v>#NAME?</v>
      </c>
      <c r="L27" s="8" t="e">
        <f t="shared" ref="L27:L32" ca="1" si="23">EPM($B$5,$B$6,10,A27,"period_net_amount",$B$7)</f>
        <v>#NAME?</v>
      </c>
      <c r="M27" s="8" t="e">
        <f t="shared" ref="M27:M32" ca="1" si="24">EPM($B$5,$B$6,11,A27,"period_net_amount",$B$7)</f>
        <v>#NAME?</v>
      </c>
      <c r="N27" s="8" t="e">
        <f t="shared" ref="N27:N32" ca="1" si="25">EPM($B$5,$B$6,12,A27,"period_net_amount",$B$7)</f>
        <v>#NAME?</v>
      </c>
    </row>
    <row r="28" spans="1:15" x14ac:dyDescent="0.35">
      <c r="A28" s="7" t="s">
        <v>518</v>
      </c>
      <c r="B28" s="7" t="s">
        <v>519</v>
      </c>
      <c r="C28" s="8" t="e">
        <f t="shared" ca="1" si="14"/>
        <v>#NAME?</v>
      </c>
      <c r="D28" s="8" t="e">
        <f t="shared" ca="1" si="15"/>
        <v>#NAME?</v>
      </c>
      <c r="E28" s="8" t="e">
        <f t="shared" ca="1" si="16"/>
        <v>#NAME?</v>
      </c>
      <c r="F28" s="8" t="e">
        <f t="shared" ca="1" si="17"/>
        <v>#NAME?</v>
      </c>
      <c r="G28" s="8" t="e">
        <f t="shared" ca="1" si="18"/>
        <v>#NAME?</v>
      </c>
      <c r="H28" s="8" t="e">
        <f t="shared" ca="1" si="19"/>
        <v>#NAME?</v>
      </c>
      <c r="I28" s="8" t="e">
        <f t="shared" ca="1" si="20"/>
        <v>#NAME?</v>
      </c>
      <c r="J28" s="8" t="e">
        <f t="shared" ca="1" si="21"/>
        <v>#NAME?</v>
      </c>
      <c r="K28" s="8" t="e">
        <f t="shared" ca="1" si="22"/>
        <v>#NAME?</v>
      </c>
      <c r="L28" s="8" t="e">
        <f t="shared" ca="1" si="23"/>
        <v>#NAME?</v>
      </c>
      <c r="M28" s="8" t="e">
        <f t="shared" ca="1" si="24"/>
        <v>#NAME?</v>
      </c>
      <c r="N28" s="8" t="e">
        <f t="shared" ca="1" si="25"/>
        <v>#NAME?</v>
      </c>
    </row>
    <row r="29" spans="1:15" x14ac:dyDescent="0.35">
      <c r="A29" s="7" t="s">
        <v>520</v>
      </c>
      <c r="B29" s="7" t="s">
        <v>521</v>
      </c>
      <c r="C29" s="8" t="e">
        <f t="shared" ca="1" si="14"/>
        <v>#NAME?</v>
      </c>
      <c r="D29" s="8" t="e">
        <f t="shared" ca="1" si="15"/>
        <v>#NAME?</v>
      </c>
      <c r="E29" s="8" t="e">
        <f t="shared" ca="1" si="16"/>
        <v>#NAME?</v>
      </c>
      <c r="F29" s="8" t="e">
        <f t="shared" ca="1" si="17"/>
        <v>#NAME?</v>
      </c>
      <c r="G29" s="8" t="e">
        <f t="shared" ca="1" si="18"/>
        <v>#NAME?</v>
      </c>
      <c r="H29" s="8" t="e">
        <f t="shared" ca="1" si="19"/>
        <v>#NAME?</v>
      </c>
      <c r="I29" s="8" t="e">
        <f t="shared" ca="1" si="20"/>
        <v>#NAME?</v>
      </c>
      <c r="J29" s="8" t="e">
        <f t="shared" ca="1" si="21"/>
        <v>#NAME?</v>
      </c>
      <c r="K29" s="8" t="e">
        <f t="shared" ca="1" si="22"/>
        <v>#NAME?</v>
      </c>
      <c r="L29" s="8" t="e">
        <f t="shared" ca="1" si="23"/>
        <v>#NAME?</v>
      </c>
      <c r="M29" s="8" t="e">
        <f t="shared" ca="1" si="24"/>
        <v>#NAME?</v>
      </c>
      <c r="N29" s="8" t="e">
        <f t="shared" ca="1" si="25"/>
        <v>#NAME?</v>
      </c>
    </row>
    <row r="30" spans="1:15" x14ac:dyDescent="0.35">
      <c r="A30" s="7" t="s">
        <v>522</v>
      </c>
      <c r="B30" s="7" t="s">
        <v>523</v>
      </c>
      <c r="C30" s="8" t="e">
        <f t="shared" ca="1" si="14"/>
        <v>#NAME?</v>
      </c>
      <c r="D30" s="8" t="e">
        <f t="shared" ca="1" si="15"/>
        <v>#NAME?</v>
      </c>
      <c r="E30" s="8" t="e">
        <f t="shared" ca="1" si="16"/>
        <v>#NAME?</v>
      </c>
      <c r="F30" s="8" t="e">
        <f t="shared" ca="1" si="17"/>
        <v>#NAME?</v>
      </c>
      <c r="G30" s="8" t="e">
        <f t="shared" ca="1" si="18"/>
        <v>#NAME?</v>
      </c>
      <c r="H30" s="8" t="e">
        <f t="shared" ca="1" si="19"/>
        <v>#NAME?</v>
      </c>
      <c r="I30" s="8" t="e">
        <f t="shared" ca="1" si="20"/>
        <v>#NAME?</v>
      </c>
      <c r="J30" s="8" t="e">
        <f t="shared" ca="1" si="21"/>
        <v>#NAME?</v>
      </c>
      <c r="K30" s="8" t="e">
        <f t="shared" ca="1" si="22"/>
        <v>#NAME?</v>
      </c>
      <c r="L30" s="8" t="e">
        <f t="shared" ca="1" si="23"/>
        <v>#NAME?</v>
      </c>
      <c r="M30" s="8" t="e">
        <f t="shared" ca="1" si="24"/>
        <v>#NAME?</v>
      </c>
      <c r="N30" s="8" t="e">
        <f t="shared" ca="1" si="25"/>
        <v>#NAME?</v>
      </c>
    </row>
    <row r="31" spans="1:15" x14ac:dyDescent="0.35">
      <c r="A31" s="7" t="s">
        <v>524</v>
      </c>
      <c r="B31" s="7" t="s">
        <v>525</v>
      </c>
      <c r="C31" s="8" t="e">
        <f t="shared" ca="1" si="14"/>
        <v>#NAME?</v>
      </c>
      <c r="D31" s="8" t="e">
        <f t="shared" ca="1" si="15"/>
        <v>#NAME?</v>
      </c>
      <c r="E31" s="8" t="e">
        <f t="shared" ca="1" si="16"/>
        <v>#NAME?</v>
      </c>
      <c r="F31" s="8" t="e">
        <f t="shared" ca="1" si="17"/>
        <v>#NAME?</v>
      </c>
      <c r="G31" s="8" t="e">
        <f t="shared" ca="1" si="18"/>
        <v>#NAME?</v>
      </c>
      <c r="H31" s="8" t="e">
        <f t="shared" ca="1" si="19"/>
        <v>#NAME?</v>
      </c>
      <c r="I31" s="8" t="e">
        <f t="shared" ca="1" si="20"/>
        <v>#NAME?</v>
      </c>
      <c r="J31" s="8" t="e">
        <f t="shared" ca="1" si="21"/>
        <v>#NAME?</v>
      </c>
      <c r="K31" s="8" t="e">
        <f t="shared" ca="1" si="22"/>
        <v>#NAME?</v>
      </c>
      <c r="L31" s="8" t="e">
        <f t="shared" ca="1" si="23"/>
        <v>#NAME?</v>
      </c>
      <c r="M31" s="8" t="e">
        <f t="shared" ca="1" si="24"/>
        <v>#NAME?</v>
      </c>
      <c r="N31" s="8" t="e">
        <f t="shared" ca="1" si="25"/>
        <v>#NAME?</v>
      </c>
    </row>
    <row r="32" spans="1:15" x14ac:dyDescent="0.35">
      <c r="A32" s="7" t="s">
        <v>526</v>
      </c>
      <c r="B32" s="7" t="s">
        <v>527</v>
      </c>
      <c r="C32" s="8" t="e">
        <f t="shared" ca="1" si="14"/>
        <v>#NAME?</v>
      </c>
      <c r="D32" s="8" t="e">
        <f t="shared" ca="1" si="15"/>
        <v>#NAME?</v>
      </c>
      <c r="E32" s="8" t="e">
        <f t="shared" ca="1" si="16"/>
        <v>#NAME?</v>
      </c>
      <c r="F32" s="8" t="e">
        <f t="shared" ca="1" si="17"/>
        <v>#NAME?</v>
      </c>
      <c r="G32" s="8" t="e">
        <f t="shared" ca="1" si="18"/>
        <v>#NAME?</v>
      </c>
      <c r="H32" s="8" t="e">
        <f t="shared" ca="1" si="19"/>
        <v>#NAME?</v>
      </c>
      <c r="I32" s="8" t="e">
        <f t="shared" ca="1" si="20"/>
        <v>#NAME?</v>
      </c>
      <c r="J32" s="8" t="e">
        <f t="shared" ca="1" si="21"/>
        <v>#NAME?</v>
      </c>
      <c r="K32" s="8" t="e">
        <f t="shared" ca="1" si="22"/>
        <v>#NAME?</v>
      </c>
      <c r="L32" s="8" t="e">
        <f t="shared" ca="1" si="23"/>
        <v>#NAME?</v>
      </c>
      <c r="M32" s="8" t="e">
        <f t="shared" ca="1" si="24"/>
        <v>#NAME?</v>
      </c>
      <c r="N32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25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528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529</v>
      </c>
    </row>
    <row r="6" spans="1:15" x14ac:dyDescent="0.35">
      <c r="A6" s="2" t="s">
        <v>15</v>
      </c>
      <c r="B6" s="5">
        <v>2026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530</v>
      </c>
      <c r="B11" s="7" t="s">
        <v>531</v>
      </c>
      <c r="C11" s="8" t="e">
        <f t="shared" ref="C11:C17" ca="1" si="0">EPM($B$5,$B$6,1,A11,"period_net_amount",$B$7)</f>
        <v>#NAME?</v>
      </c>
      <c r="D11" s="8" t="e">
        <f t="shared" ref="D11:D17" ca="1" si="1">EPM($B$5,$B$6,2,A11,"period_net_amount",$B$7)</f>
        <v>#NAME?</v>
      </c>
      <c r="E11" s="8" t="e">
        <f t="shared" ref="E11:E17" ca="1" si="2">EPM($B$5,$B$6,3,A11,"period_net_amount",$B$7)</f>
        <v>#NAME?</v>
      </c>
      <c r="F11" s="8" t="e">
        <f t="shared" ref="F11:F17" ca="1" si="3">EPM($B$5,$B$6,4,A11,"period_net_amount",$B$7)</f>
        <v>#NAME?</v>
      </c>
      <c r="G11" s="8" t="e">
        <f t="shared" ref="G11:G17" ca="1" si="4">EPM($B$5,$B$6,5,A11,"period_net_amount",$B$7)</f>
        <v>#NAME?</v>
      </c>
      <c r="H11" s="8" t="e">
        <f t="shared" ref="H11:H17" ca="1" si="5">EPM($B$5,$B$6,6,A11,"period_net_amount",$B$7)</f>
        <v>#NAME?</v>
      </c>
      <c r="I11" s="8" t="e">
        <f t="shared" ref="I11:I17" ca="1" si="6">EPM($B$5,$B$6,7,A11,"period_net_amount",$B$7)</f>
        <v>#NAME?</v>
      </c>
      <c r="J11" s="8" t="e">
        <f t="shared" ref="J11:J17" ca="1" si="7">EPM($B$5,$B$6,8,A11,"period_net_amount",$B$7)</f>
        <v>#NAME?</v>
      </c>
      <c r="K11" s="8" t="e">
        <f t="shared" ref="K11:K17" ca="1" si="8">EPM($B$5,$B$6,9,A11,"period_net_amount",$B$7)</f>
        <v>#NAME?</v>
      </c>
      <c r="L11" s="8" t="e">
        <f t="shared" ref="L11:L17" ca="1" si="9">EPM($B$5,$B$6,10,A11,"period_net_amount",$B$7)</f>
        <v>#NAME?</v>
      </c>
      <c r="M11" s="8" t="e">
        <f t="shared" ref="M11:M17" ca="1" si="10">EPM($B$5,$B$6,11,A11,"period_net_amount",$B$7)</f>
        <v>#NAME?</v>
      </c>
      <c r="N11" s="8" t="e">
        <f t="shared" ref="N11:N17" ca="1" si="11">EPM($B$5,$B$6,12,A11,"period_net_amount",$B$7)</f>
        <v>#NAME?</v>
      </c>
      <c r="O11" s="9" t="e">
        <f t="shared" ref="O11:O17" ca="1" si="12">SUM(C11:N11)</f>
        <v>#NAME?</v>
      </c>
    </row>
    <row r="12" spans="1:15" x14ac:dyDescent="0.35">
      <c r="A12" s="7" t="s">
        <v>532</v>
      </c>
      <c r="B12" s="7" t="s">
        <v>533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138</v>
      </c>
      <c r="B13" s="7" t="s">
        <v>139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534</v>
      </c>
      <c r="B14" s="7" t="s">
        <v>535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536</v>
      </c>
      <c r="B15" s="7" t="s">
        <v>537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538</v>
      </c>
      <c r="B16" s="7" t="s">
        <v>539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540</v>
      </c>
      <c r="B17" s="7" t="s">
        <v>541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B18" s="10" t="s">
        <v>57</v>
      </c>
      <c r="C18" s="11" t="e">
        <f t="shared" ref="C18:O18" ca="1" si="13">SUM(C11:C17)</f>
        <v>#NAME?</v>
      </c>
      <c r="D18" s="11" t="e">
        <f t="shared" ca="1" si="13"/>
        <v>#NAME?</v>
      </c>
      <c r="E18" s="11" t="e">
        <f t="shared" ca="1" si="13"/>
        <v>#NAME?</v>
      </c>
      <c r="F18" s="11" t="e">
        <f t="shared" ca="1" si="13"/>
        <v>#NAME?</v>
      </c>
      <c r="G18" s="11" t="e">
        <f t="shared" ca="1" si="13"/>
        <v>#NAME?</v>
      </c>
      <c r="H18" s="11" t="e">
        <f t="shared" ca="1" si="13"/>
        <v>#NAME?</v>
      </c>
      <c r="I18" s="11" t="e">
        <f t="shared" ca="1" si="13"/>
        <v>#NAME?</v>
      </c>
      <c r="J18" s="11" t="e">
        <f t="shared" ca="1" si="13"/>
        <v>#NAME?</v>
      </c>
      <c r="K18" s="11" t="e">
        <f t="shared" ca="1" si="13"/>
        <v>#NAME?</v>
      </c>
      <c r="L18" s="11" t="e">
        <f t="shared" ca="1" si="13"/>
        <v>#NAME?</v>
      </c>
      <c r="M18" s="11" t="e">
        <f t="shared" ca="1" si="13"/>
        <v>#NAME?</v>
      </c>
      <c r="N18" s="11" t="e">
        <f t="shared" ca="1" si="13"/>
        <v>#NAME?</v>
      </c>
      <c r="O18" s="11" t="e">
        <f t="shared" ca="1" si="13"/>
        <v>#NAME?</v>
      </c>
    </row>
    <row r="20" spans="1:15" ht="15.5" x14ac:dyDescent="0.35">
      <c r="A20" s="4" t="s">
        <v>58</v>
      </c>
    </row>
    <row r="21" spans="1:15" x14ac:dyDescent="0.35">
      <c r="A21" s="6" t="s">
        <v>19</v>
      </c>
      <c r="B21" s="6" t="s">
        <v>20</v>
      </c>
      <c r="C21" s="6" t="s">
        <v>21</v>
      </c>
      <c r="D21" s="6" t="s">
        <v>22</v>
      </c>
      <c r="E21" s="6" t="s">
        <v>23</v>
      </c>
      <c r="F21" s="6" t="s">
        <v>24</v>
      </c>
      <c r="G21" s="6" t="s">
        <v>25</v>
      </c>
      <c r="H21" s="6" t="s">
        <v>26</v>
      </c>
      <c r="I21" s="6" t="s">
        <v>27</v>
      </c>
      <c r="J21" s="6" t="s">
        <v>28</v>
      </c>
      <c r="K21" s="6" t="s">
        <v>29</v>
      </c>
      <c r="L21" s="6" t="s">
        <v>30</v>
      </c>
      <c r="M21" s="6" t="s">
        <v>31</v>
      </c>
      <c r="N21" s="6" t="s">
        <v>32</v>
      </c>
    </row>
    <row r="22" spans="1:15" x14ac:dyDescent="0.35">
      <c r="A22" s="7" t="s">
        <v>542</v>
      </c>
      <c r="B22" s="7" t="s">
        <v>543</v>
      </c>
      <c r="C22" s="8" t="e">
        <f ca="1">EPM($B$5,$B$6,1,A22,"period_net_amount",$B$7)</f>
        <v>#NAME?</v>
      </c>
      <c r="D22" s="8" t="e">
        <f ca="1">EPM($B$5,$B$6,2,A22,"period_net_amount",$B$7)</f>
        <v>#NAME?</v>
      </c>
      <c r="E22" s="8" t="e">
        <f ca="1">EPM($B$5,$B$6,3,A22,"period_net_amount",$B$7)</f>
        <v>#NAME?</v>
      </c>
      <c r="F22" s="8" t="e">
        <f ca="1">EPM($B$5,$B$6,4,A22,"period_net_amount",$B$7)</f>
        <v>#NAME?</v>
      </c>
      <c r="G22" s="8" t="e">
        <f ca="1">EPM($B$5,$B$6,5,A22,"period_net_amount",$B$7)</f>
        <v>#NAME?</v>
      </c>
      <c r="H22" s="8" t="e">
        <f ca="1">EPM($B$5,$B$6,6,A22,"period_net_amount",$B$7)</f>
        <v>#NAME?</v>
      </c>
      <c r="I22" s="8" t="e">
        <f ca="1">EPM($B$5,$B$6,7,A22,"period_net_amount",$B$7)</f>
        <v>#NAME?</v>
      </c>
      <c r="J22" s="8" t="e">
        <f ca="1">EPM($B$5,$B$6,8,A22,"period_net_amount",$B$7)</f>
        <v>#NAME?</v>
      </c>
      <c r="K22" s="8" t="e">
        <f ca="1">EPM($B$5,$B$6,9,A22,"period_net_amount",$B$7)</f>
        <v>#NAME?</v>
      </c>
      <c r="L22" s="8" t="e">
        <f ca="1">EPM($B$5,$B$6,10,A22,"period_net_amount",$B$7)</f>
        <v>#NAME?</v>
      </c>
      <c r="M22" s="8" t="e">
        <f ca="1">EPM($B$5,$B$6,11,A22,"period_net_amount",$B$7)</f>
        <v>#NAME?</v>
      </c>
      <c r="N22" s="8" t="e">
        <f ca="1">EPM($B$5,$B$6,12,A22,"period_net_amount",$B$7)</f>
        <v>#NAME?</v>
      </c>
    </row>
    <row r="23" spans="1:15" x14ac:dyDescent="0.35">
      <c r="A23" s="7" t="s">
        <v>544</v>
      </c>
      <c r="B23" s="7" t="s">
        <v>545</v>
      </c>
      <c r="C23" s="8" t="e">
        <f ca="1">EPM($B$5,$B$6,1,A23,"period_net_amount",$B$7)</f>
        <v>#NAME?</v>
      </c>
      <c r="D23" s="8" t="e">
        <f ca="1">EPM($B$5,$B$6,2,A23,"period_net_amount",$B$7)</f>
        <v>#NAME?</v>
      </c>
      <c r="E23" s="8" t="e">
        <f ca="1">EPM($B$5,$B$6,3,A23,"period_net_amount",$B$7)</f>
        <v>#NAME?</v>
      </c>
      <c r="F23" s="8" t="e">
        <f ca="1">EPM($B$5,$B$6,4,A23,"period_net_amount",$B$7)</f>
        <v>#NAME?</v>
      </c>
      <c r="G23" s="8" t="e">
        <f ca="1">EPM($B$5,$B$6,5,A23,"period_net_amount",$B$7)</f>
        <v>#NAME?</v>
      </c>
      <c r="H23" s="8" t="e">
        <f ca="1">EPM($B$5,$B$6,6,A23,"period_net_amount",$B$7)</f>
        <v>#NAME?</v>
      </c>
      <c r="I23" s="8" t="e">
        <f ca="1">EPM($B$5,$B$6,7,A23,"period_net_amount",$B$7)</f>
        <v>#NAME?</v>
      </c>
      <c r="J23" s="8" t="e">
        <f ca="1">EPM($B$5,$B$6,8,A23,"period_net_amount",$B$7)</f>
        <v>#NAME?</v>
      </c>
      <c r="K23" s="8" t="e">
        <f ca="1">EPM($B$5,$B$6,9,A23,"period_net_amount",$B$7)</f>
        <v>#NAME?</v>
      </c>
      <c r="L23" s="8" t="e">
        <f ca="1">EPM($B$5,$B$6,10,A23,"period_net_amount",$B$7)</f>
        <v>#NAME?</v>
      </c>
      <c r="M23" s="8" t="e">
        <f ca="1">EPM($B$5,$B$6,11,A23,"period_net_amount",$B$7)</f>
        <v>#NAME?</v>
      </c>
      <c r="N23" s="8" t="e">
        <f ca="1">EPM($B$5,$B$6,12,A23,"period_net_amount",$B$7)</f>
        <v>#NAME?</v>
      </c>
    </row>
    <row r="24" spans="1:15" x14ac:dyDescent="0.35">
      <c r="A24" s="7" t="s">
        <v>546</v>
      </c>
      <c r="B24" s="7" t="s">
        <v>547</v>
      </c>
      <c r="C24" s="8" t="e">
        <f ca="1">EPM($B$5,$B$6,1,A24,"period_net_amount",$B$7)</f>
        <v>#NAME?</v>
      </c>
      <c r="D24" s="8" t="e">
        <f ca="1">EPM($B$5,$B$6,2,A24,"period_net_amount",$B$7)</f>
        <v>#NAME?</v>
      </c>
      <c r="E24" s="8" t="e">
        <f ca="1">EPM($B$5,$B$6,3,A24,"period_net_amount",$B$7)</f>
        <v>#NAME?</v>
      </c>
      <c r="F24" s="8" t="e">
        <f ca="1">EPM($B$5,$B$6,4,A24,"period_net_amount",$B$7)</f>
        <v>#NAME?</v>
      </c>
      <c r="G24" s="8" t="e">
        <f ca="1">EPM($B$5,$B$6,5,A24,"period_net_amount",$B$7)</f>
        <v>#NAME?</v>
      </c>
      <c r="H24" s="8" t="e">
        <f ca="1">EPM($B$5,$B$6,6,A24,"period_net_amount",$B$7)</f>
        <v>#NAME?</v>
      </c>
      <c r="I24" s="8" t="e">
        <f ca="1">EPM($B$5,$B$6,7,A24,"period_net_amount",$B$7)</f>
        <v>#NAME?</v>
      </c>
      <c r="J24" s="8" t="e">
        <f ca="1">EPM($B$5,$B$6,8,A24,"period_net_amount",$B$7)</f>
        <v>#NAME?</v>
      </c>
      <c r="K24" s="8" t="e">
        <f ca="1">EPM($B$5,$B$6,9,A24,"period_net_amount",$B$7)</f>
        <v>#NAME?</v>
      </c>
      <c r="L24" s="8" t="e">
        <f ca="1">EPM($B$5,$B$6,10,A24,"period_net_amount",$B$7)</f>
        <v>#NAME?</v>
      </c>
      <c r="M24" s="8" t="e">
        <f ca="1">EPM($B$5,$B$6,11,A24,"period_net_amount",$B$7)</f>
        <v>#NAME?</v>
      </c>
      <c r="N24" s="8" t="e">
        <f ca="1">EPM($B$5,$B$6,12,A24,"period_net_amount",$B$7)</f>
        <v>#NAME?</v>
      </c>
    </row>
    <row r="25" spans="1:15" x14ac:dyDescent="0.35">
      <c r="A25" s="7" t="s">
        <v>548</v>
      </c>
      <c r="B25" s="7" t="s">
        <v>549</v>
      </c>
      <c r="C25" s="8" t="e">
        <f ca="1">EPM($B$5,$B$6,1,A25,"period_net_amount",$B$7)</f>
        <v>#NAME?</v>
      </c>
      <c r="D25" s="8" t="e">
        <f ca="1">EPM($B$5,$B$6,2,A25,"period_net_amount",$B$7)</f>
        <v>#NAME?</v>
      </c>
      <c r="E25" s="8" t="e">
        <f ca="1">EPM($B$5,$B$6,3,A25,"period_net_amount",$B$7)</f>
        <v>#NAME?</v>
      </c>
      <c r="F25" s="8" t="e">
        <f ca="1">EPM($B$5,$B$6,4,A25,"period_net_amount",$B$7)</f>
        <v>#NAME?</v>
      </c>
      <c r="G25" s="8" t="e">
        <f ca="1">EPM($B$5,$B$6,5,A25,"period_net_amount",$B$7)</f>
        <v>#NAME?</v>
      </c>
      <c r="H25" s="8" t="e">
        <f ca="1">EPM($B$5,$B$6,6,A25,"period_net_amount",$B$7)</f>
        <v>#NAME?</v>
      </c>
      <c r="I25" s="8" t="e">
        <f ca="1">EPM($B$5,$B$6,7,A25,"period_net_amount",$B$7)</f>
        <v>#NAME?</v>
      </c>
      <c r="J25" s="8" t="e">
        <f ca="1">EPM($B$5,$B$6,8,A25,"period_net_amount",$B$7)</f>
        <v>#NAME?</v>
      </c>
      <c r="K25" s="8" t="e">
        <f ca="1">EPM($B$5,$B$6,9,A25,"period_net_amount",$B$7)</f>
        <v>#NAME?</v>
      </c>
      <c r="L25" s="8" t="e">
        <f ca="1">EPM($B$5,$B$6,10,A25,"period_net_amount",$B$7)</f>
        <v>#NAME?</v>
      </c>
      <c r="M25" s="8" t="e">
        <f ca="1">EPM($B$5,$B$6,11,A25,"period_net_amount",$B$7)</f>
        <v>#NAME?</v>
      </c>
      <c r="N25" s="8" t="e">
        <f ca="1">EPM($B$5,$B$6,12,A25,"period_net_amount",$B$7)</f>
        <v>#NAME?</v>
      </c>
    </row>
  </sheetData>
  <mergeCells count="1">
    <mergeCell ref="A1:O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26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550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551</v>
      </c>
    </row>
    <row r="6" spans="1:15" x14ac:dyDescent="0.35">
      <c r="A6" s="2" t="s">
        <v>15</v>
      </c>
      <c r="B6" s="5">
        <v>2017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552</v>
      </c>
      <c r="B11" s="7" t="s">
        <v>553</v>
      </c>
      <c r="C11" s="8" t="e">
        <f t="shared" ref="C11:C16" ca="1" si="0">EPM($B$5,$B$6,1,A11,"period_net_amount",$B$7)</f>
        <v>#NAME?</v>
      </c>
      <c r="D11" s="8" t="e">
        <f t="shared" ref="D11:D16" ca="1" si="1">EPM($B$5,$B$6,2,A11,"period_net_amount",$B$7)</f>
        <v>#NAME?</v>
      </c>
      <c r="E11" s="8" t="e">
        <f t="shared" ref="E11:E16" ca="1" si="2">EPM($B$5,$B$6,3,A11,"period_net_amount",$B$7)</f>
        <v>#NAME?</v>
      </c>
      <c r="F11" s="8" t="e">
        <f t="shared" ref="F11:F16" ca="1" si="3">EPM($B$5,$B$6,4,A11,"period_net_amount",$B$7)</f>
        <v>#NAME?</v>
      </c>
      <c r="G11" s="8" t="e">
        <f t="shared" ref="G11:G16" ca="1" si="4">EPM($B$5,$B$6,5,A11,"period_net_amount",$B$7)</f>
        <v>#NAME?</v>
      </c>
      <c r="H11" s="8" t="e">
        <f t="shared" ref="H11:H16" ca="1" si="5">EPM($B$5,$B$6,6,A11,"period_net_amount",$B$7)</f>
        <v>#NAME?</v>
      </c>
      <c r="I11" s="8" t="e">
        <f t="shared" ref="I11:I16" ca="1" si="6">EPM($B$5,$B$6,7,A11,"period_net_amount",$B$7)</f>
        <v>#NAME?</v>
      </c>
      <c r="J11" s="8" t="e">
        <f t="shared" ref="J11:J16" ca="1" si="7">EPM($B$5,$B$6,8,A11,"period_net_amount",$B$7)</f>
        <v>#NAME?</v>
      </c>
      <c r="K11" s="8" t="e">
        <f t="shared" ref="K11:K16" ca="1" si="8">EPM($B$5,$B$6,9,A11,"period_net_amount",$B$7)</f>
        <v>#NAME?</v>
      </c>
      <c r="L11" s="8" t="e">
        <f t="shared" ref="L11:L16" ca="1" si="9">EPM($B$5,$B$6,10,A11,"period_net_amount",$B$7)</f>
        <v>#NAME?</v>
      </c>
      <c r="M11" s="8" t="e">
        <f t="shared" ref="M11:M16" ca="1" si="10">EPM($B$5,$B$6,11,A11,"period_net_amount",$B$7)</f>
        <v>#NAME?</v>
      </c>
      <c r="N11" s="8" t="e">
        <f t="shared" ref="N11:N16" ca="1" si="11">EPM($B$5,$B$6,12,A11,"period_net_amount",$B$7)</f>
        <v>#NAME?</v>
      </c>
      <c r="O11" s="9" t="e">
        <f t="shared" ref="O11:O16" ca="1" si="12">SUM(C11:N11)</f>
        <v>#NAME?</v>
      </c>
    </row>
    <row r="12" spans="1:15" x14ac:dyDescent="0.35">
      <c r="A12" s="7" t="s">
        <v>554</v>
      </c>
      <c r="B12" s="7" t="s">
        <v>555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556</v>
      </c>
      <c r="B13" s="7" t="s">
        <v>557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558</v>
      </c>
      <c r="B14" s="7" t="s">
        <v>559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560</v>
      </c>
      <c r="B15" s="7" t="s">
        <v>561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562</v>
      </c>
      <c r="B16" s="7" t="s">
        <v>563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B17" s="10" t="s">
        <v>57</v>
      </c>
      <c r="C17" s="11" t="e">
        <f t="shared" ref="C17:O17" ca="1" si="13">SUM(C11:C16)</f>
        <v>#NAME?</v>
      </c>
      <c r="D17" s="11" t="e">
        <f t="shared" ca="1" si="13"/>
        <v>#NAME?</v>
      </c>
      <c r="E17" s="11" t="e">
        <f t="shared" ca="1" si="13"/>
        <v>#NAME?</v>
      </c>
      <c r="F17" s="11" t="e">
        <f t="shared" ca="1" si="13"/>
        <v>#NAME?</v>
      </c>
      <c r="G17" s="11" t="e">
        <f t="shared" ca="1" si="13"/>
        <v>#NAME?</v>
      </c>
      <c r="H17" s="11" t="e">
        <f t="shared" ca="1" si="13"/>
        <v>#NAME?</v>
      </c>
      <c r="I17" s="11" t="e">
        <f t="shared" ca="1" si="13"/>
        <v>#NAME?</v>
      </c>
      <c r="J17" s="11" t="e">
        <f t="shared" ca="1" si="13"/>
        <v>#NAME?</v>
      </c>
      <c r="K17" s="11" t="e">
        <f t="shared" ca="1" si="13"/>
        <v>#NAME?</v>
      </c>
      <c r="L17" s="11" t="e">
        <f t="shared" ca="1" si="13"/>
        <v>#NAME?</v>
      </c>
      <c r="M17" s="11" t="e">
        <f t="shared" ca="1" si="13"/>
        <v>#NAME?</v>
      </c>
      <c r="N17" s="11" t="e">
        <f t="shared" ca="1" si="13"/>
        <v>#NAME?</v>
      </c>
      <c r="O17" s="11" t="e">
        <f t="shared" ca="1" si="13"/>
        <v>#NAME?</v>
      </c>
    </row>
    <row r="19" spans="1:15" ht="15.5" x14ac:dyDescent="0.35">
      <c r="A19" s="4" t="s">
        <v>58</v>
      </c>
    </row>
    <row r="20" spans="1:15" x14ac:dyDescent="0.35">
      <c r="A20" s="6" t="s">
        <v>19</v>
      </c>
      <c r="B20" s="6" t="s">
        <v>20</v>
      </c>
      <c r="C20" s="6" t="s">
        <v>21</v>
      </c>
      <c r="D20" s="6" t="s">
        <v>22</v>
      </c>
      <c r="E20" s="6" t="s">
        <v>23</v>
      </c>
      <c r="F20" s="6" t="s">
        <v>24</v>
      </c>
      <c r="G20" s="6" t="s">
        <v>25</v>
      </c>
      <c r="H20" s="6" t="s">
        <v>26</v>
      </c>
      <c r="I20" s="6" t="s">
        <v>27</v>
      </c>
      <c r="J20" s="6" t="s">
        <v>28</v>
      </c>
      <c r="K20" s="6" t="s">
        <v>29</v>
      </c>
      <c r="L20" s="6" t="s">
        <v>30</v>
      </c>
      <c r="M20" s="6" t="s">
        <v>31</v>
      </c>
      <c r="N20" s="6" t="s">
        <v>32</v>
      </c>
    </row>
    <row r="21" spans="1:15" x14ac:dyDescent="0.35">
      <c r="A21" s="7" t="s">
        <v>564</v>
      </c>
      <c r="B21" s="7" t="s">
        <v>565</v>
      </c>
      <c r="C21" s="8" t="e">
        <f t="shared" ref="C21:C26" ca="1" si="14">EPM($B$5,$B$6,1,A21,"period_net_amount",$B$7)</f>
        <v>#NAME?</v>
      </c>
      <c r="D21" s="8" t="e">
        <f t="shared" ref="D21:D26" ca="1" si="15">EPM($B$5,$B$6,2,A21,"period_net_amount",$B$7)</f>
        <v>#NAME?</v>
      </c>
      <c r="E21" s="8" t="e">
        <f t="shared" ref="E21:E26" ca="1" si="16">EPM($B$5,$B$6,3,A21,"period_net_amount",$B$7)</f>
        <v>#NAME?</v>
      </c>
      <c r="F21" s="8" t="e">
        <f t="shared" ref="F21:F26" ca="1" si="17">EPM($B$5,$B$6,4,A21,"period_net_amount",$B$7)</f>
        <v>#NAME?</v>
      </c>
      <c r="G21" s="8" t="e">
        <f t="shared" ref="G21:G26" ca="1" si="18">EPM($B$5,$B$6,5,A21,"period_net_amount",$B$7)</f>
        <v>#NAME?</v>
      </c>
      <c r="H21" s="8" t="e">
        <f t="shared" ref="H21:H26" ca="1" si="19">EPM($B$5,$B$6,6,A21,"period_net_amount",$B$7)</f>
        <v>#NAME?</v>
      </c>
      <c r="I21" s="8" t="e">
        <f t="shared" ref="I21:I26" ca="1" si="20">EPM($B$5,$B$6,7,A21,"period_net_amount",$B$7)</f>
        <v>#NAME?</v>
      </c>
      <c r="J21" s="8" t="e">
        <f t="shared" ref="J21:J26" ca="1" si="21">EPM($B$5,$B$6,8,A21,"period_net_amount",$B$7)</f>
        <v>#NAME?</v>
      </c>
      <c r="K21" s="8" t="e">
        <f t="shared" ref="K21:K26" ca="1" si="22">EPM($B$5,$B$6,9,A21,"period_net_amount",$B$7)</f>
        <v>#NAME?</v>
      </c>
      <c r="L21" s="8" t="e">
        <f t="shared" ref="L21:L26" ca="1" si="23">EPM($B$5,$B$6,10,A21,"period_net_amount",$B$7)</f>
        <v>#NAME?</v>
      </c>
      <c r="M21" s="8" t="e">
        <f t="shared" ref="M21:M26" ca="1" si="24">EPM($B$5,$B$6,11,A21,"period_net_amount",$B$7)</f>
        <v>#NAME?</v>
      </c>
      <c r="N21" s="8" t="e">
        <f t="shared" ref="N21:N26" ca="1" si="25">EPM($B$5,$B$6,12,A21,"period_net_amount",$B$7)</f>
        <v>#NAME?</v>
      </c>
    </row>
    <row r="22" spans="1:15" x14ac:dyDescent="0.35">
      <c r="A22" s="7" t="s">
        <v>566</v>
      </c>
      <c r="B22" s="7" t="s">
        <v>567</v>
      </c>
      <c r="C22" s="8" t="e">
        <f t="shared" ca="1" si="14"/>
        <v>#NAME?</v>
      </c>
      <c r="D22" s="8" t="e">
        <f t="shared" ca="1" si="15"/>
        <v>#NAME?</v>
      </c>
      <c r="E22" s="8" t="e">
        <f t="shared" ca="1" si="16"/>
        <v>#NAME?</v>
      </c>
      <c r="F22" s="8" t="e">
        <f t="shared" ca="1" si="17"/>
        <v>#NAME?</v>
      </c>
      <c r="G22" s="8" t="e">
        <f t="shared" ca="1" si="18"/>
        <v>#NAME?</v>
      </c>
      <c r="H22" s="8" t="e">
        <f t="shared" ca="1" si="19"/>
        <v>#NAME?</v>
      </c>
      <c r="I22" s="8" t="e">
        <f t="shared" ca="1" si="20"/>
        <v>#NAME?</v>
      </c>
      <c r="J22" s="8" t="e">
        <f t="shared" ca="1" si="21"/>
        <v>#NAME?</v>
      </c>
      <c r="K22" s="8" t="e">
        <f t="shared" ca="1" si="22"/>
        <v>#NAME?</v>
      </c>
      <c r="L22" s="8" t="e">
        <f t="shared" ca="1" si="23"/>
        <v>#NAME?</v>
      </c>
      <c r="M22" s="8" t="e">
        <f t="shared" ca="1" si="24"/>
        <v>#NAME?</v>
      </c>
      <c r="N22" s="8" t="e">
        <f t="shared" ca="1" si="25"/>
        <v>#NAME?</v>
      </c>
    </row>
    <row r="23" spans="1:15" x14ac:dyDescent="0.35">
      <c r="A23" s="7" t="s">
        <v>568</v>
      </c>
      <c r="B23" s="7" t="s">
        <v>569</v>
      </c>
      <c r="C23" s="8" t="e">
        <f t="shared" ca="1" si="14"/>
        <v>#NAME?</v>
      </c>
      <c r="D23" s="8" t="e">
        <f t="shared" ca="1" si="15"/>
        <v>#NAME?</v>
      </c>
      <c r="E23" s="8" t="e">
        <f t="shared" ca="1" si="16"/>
        <v>#NAME?</v>
      </c>
      <c r="F23" s="8" t="e">
        <f t="shared" ca="1" si="17"/>
        <v>#NAME?</v>
      </c>
      <c r="G23" s="8" t="e">
        <f t="shared" ca="1" si="18"/>
        <v>#NAME?</v>
      </c>
      <c r="H23" s="8" t="e">
        <f t="shared" ca="1" si="19"/>
        <v>#NAME?</v>
      </c>
      <c r="I23" s="8" t="e">
        <f t="shared" ca="1" si="20"/>
        <v>#NAME?</v>
      </c>
      <c r="J23" s="8" t="e">
        <f t="shared" ca="1" si="21"/>
        <v>#NAME?</v>
      </c>
      <c r="K23" s="8" t="e">
        <f t="shared" ca="1" si="22"/>
        <v>#NAME?</v>
      </c>
      <c r="L23" s="8" t="e">
        <f t="shared" ca="1" si="23"/>
        <v>#NAME?</v>
      </c>
      <c r="M23" s="8" t="e">
        <f t="shared" ca="1" si="24"/>
        <v>#NAME?</v>
      </c>
      <c r="N23" s="8" t="e">
        <f t="shared" ca="1" si="25"/>
        <v>#NAME?</v>
      </c>
    </row>
    <row r="24" spans="1:15" x14ac:dyDescent="0.35">
      <c r="A24" s="7" t="s">
        <v>570</v>
      </c>
      <c r="B24" s="7" t="s">
        <v>127</v>
      </c>
      <c r="C24" s="8" t="e">
        <f t="shared" ca="1" si="14"/>
        <v>#NAME?</v>
      </c>
      <c r="D24" s="8" t="e">
        <f t="shared" ca="1" si="15"/>
        <v>#NAME?</v>
      </c>
      <c r="E24" s="8" t="e">
        <f t="shared" ca="1" si="16"/>
        <v>#NAME?</v>
      </c>
      <c r="F24" s="8" t="e">
        <f t="shared" ca="1" si="17"/>
        <v>#NAME?</v>
      </c>
      <c r="G24" s="8" t="e">
        <f t="shared" ca="1" si="18"/>
        <v>#NAME?</v>
      </c>
      <c r="H24" s="8" t="e">
        <f t="shared" ca="1" si="19"/>
        <v>#NAME?</v>
      </c>
      <c r="I24" s="8" t="e">
        <f t="shared" ca="1" si="20"/>
        <v>#NAME?</v>
      </c>
      <c r="J24" s="8" t="e">
        <f t="shared" ca="1" si="21"/>
        <v>#NAME?</v>
      </c>
      <c r="K24" s="8" t="e">
        <f t="shared" ca="1" si="22"/>
        <v>#NAME?</v>
      </c>
      <c r="L24" s="8" t="e">
        <f t="shared" ca="1" si="23"/>
        <v>#NAME?</v>
      </c>
      <c r="M24" s="8" t="e">
        <f t="shared" ca="1" si="24"/>
        <v>#NAME?</v>
      </c>
      <c r="N24" s="8" t="e">
        <f t="shared" ca="1" si="25"/>
        <v>#NAME?</v>
      </c>
    </row>
    <row r="25" spans="1:15" x14ac:dyDescent="0.35">
      <c r="A25" s="7" t="s">
        <v>571</v>
      </c>
      <c r="B25" s="7" t="s">
        <v>572</v>
      </c>
      <c r="C25" s="8" t="e">
        <f t="shared" ca="1" si="14"/>
        <v>#NAME?</v>
      </c>
      <c r="D25" s="8" t="e">
        <f t="shared" ca="1" si="15"/>
        <v>#NAME?</v>
      </c>
      <c r="E25" s="8" t="e">
        <f t="shared" ca="1" si="16"/>
        <v>#NAME?</v>
      </c>
      <c r="F25" s="8" t="e">
        <f t="shared" ca="1" si="17"/>
        <v>#NAME?</v>
      </c>
      <c r="G25" s="8" t="e">
        <f t="shared" ca="1" si="18"/>
        <v>#NAME?</v>
      </c>
      <c r="H25" s="8" t="e">
        <f t="shared" ca="1" si="19"/>
        <v>#NAME?</v>
      </c>
      <c r="I25" s="8" t="e">
        <f t="shared" ca="1" si="20"/>
        <v>#NAME?</v>
      </c>
      <c r="J25" s="8" t="e">
        <f t="shared" ca="1" si="21"/>
        <v>#NAME?</v>
      </c>
      <c r="K25" s="8" t="e">
        <f t="shared" ca="1" si="22"/>
        <v>#NAME?</v>
      </c>
      <c r="L25" s="8" t="e">
        <f t="shared" ca="1" si="23"/>
        <v>#NAME?</v>
      </c>
      <c r="M25" s="8" t="e">
        <f t="shared" ca="1" si="24"/>
        <v>#NAME?</v>
      </c>
      <c r="N25" s="8" t="e">
        <f t="shared" ca="1" si="25"/>
        <v>#NAME?</v>
      </c>
    </row>
    <row r="26" spans="1:15" x14ac:dyDescent="0.35">
      <c r="A26" s="7" t="s">
        <v>573</v>
      </c>
      <c r="B26" s="7" t="s">
        <v>574</v>
      </c>
      <c r="C26" s="8" t="e">
        <f t="shared" ca="1" si="14"/>
        <v>#NAME?</v>
      </c>
      <c r="D26" s="8" t="e">
        <f t="shared" ca="1" si="15"/>
        <v>#NAME?</v>
      </c>
      <c r="E26" s="8" t="e">
        <f t="shared" ca="1" si="16"/>
        <v>#NAME?</v>
      </c>
      <c r="F26" s="8" t="e">
        <f t="shared" ca="1" si="17"/>
        <v>#NAME?</v>
      </c>
      <c r="G26" s="8" t="e">
        <f t="shared" ca="1" si="18"/>
        <v>#NAME?</v>
      </c>
      <c r="H26" s="8" t="e">
        <f t="shared" ca="1" si="19"/>
        <v>#NAME?</v>
      </c>
      <c r="I26" s="8" t="e">
        <f t="shared" ca="1" si="20"/>
        <v>#NAME?</v>
      </c>
      <c r="J26" s="8" t="e">
        <f t="shared" ca="1" si="21"/>
        <v>#NAME?</v>
      </c>
      <c r="K26" s="8" t="e">
        <f t="shared" ca="1" si="22"/>
        <v>#NAME?</v>
      </c>
      <c r="L26" s="8" t="e">
        <f t="shared" ca="1" si="23"/>
        <v>#NAME?</v>
      </c>
      <c r="M26" s="8" t="e">
        <f t="shared" ca="1" si="24"/>
        <v>#NAME?</v>
      </c>
      <c r="N26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32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575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576</v>
      </c>
    </row>
    <row r="6" spans="1:15" x14ac:dyDescent="0.35">
      <c r="A6" s="2" t="s">
        <v>15</v>
      </c>
      <c r="B6" s="5">
        <v>2019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402</v>
      </c>
      <c r="B11" s="7" t="s">
        <v>577</v>
      </c>
      <c r="C11" s="8" t="e">
        <f t="shared" ref="C11:C22" ca="1" si="0">EPM($B$5,$B$6,1,A11,"period_net_amount",$B$7)</f>
        <v>#NAME?</v>
      </c>
      <c r="D11" s="8" t="e">
        <f t="shared" ref="D11:D22" ca="1" si="1">EPM($B$5,$B$6,2,A11,"period_net_amount",$B$7)</f>
        <v>#NAME?</v>
      </c>
      <c r="E11" s="8" t="e">
        <f t="shared" ref="E11:E22" ca="1" si="2">EPM($B$5,$B$6,3,A11,"period_net_amount",$B$7)</f>
        <v>#NAME?</v>
      </c>
      <c r="F11" s="8" t="e">
        <f t="shared" ref="F11:F22" ca="1" si="3">EPM($B$5,$B$6,4,A11,"period_net_amount",$B$7)</f>
        <v>#NAME?</v>
      </c>
      <c r="G11" s="8" t="e">
        <f t="shared" ref="G11:G22" ca="1" si="4">EPM($B$5,$B$6,5,A11,"period_net_amount",$B$7)</f>
        <v>#NAME?</v>
      </c>
      <c r="H11" s="8" t="e">
        <f t="shared" ref="H11:H22" ca="1" si="5">EPM($B$5,$B$6,6,A11,"period_net_amount",$B$7)</f>
        <v>#NAME?</v>
      </c>
      <c r="I11" s="8" t="e">
        <f t="shared" ref="I11:I22" ca="1" si="6">EPM($B$5,$B$6,7,A11,"period_net_amount",$B$7)</f>
        <v>#NAME?</v>
      </c>
      <c r="J11" s="8" t="e">
        <f t="shared" ref="J11:J22" ca="1" si="7">EPM($B$5,$B$6,8,A11,"period_net_amount",$B$7)</f>
        <v>#NAME?</v>
      </c>
      <c r="K11" s="8" t="e">
        <f t="shared" ref="K11:K22" ca="1" si="8">EPM($B$5,$B$6,9,A11,"period_net_amount",$B$7)</f>
        <v>#NAME?</v>
      </c>
      <c r="L11" s="8" t="e">
        <f t="shared" ref="L11:L22" ca="1" si="9">EPM($B$5,$B$6,10,A11,"period_net_amount",$B$7)</f>
        <v>#NAME?</v>
      </c>
      <c r="M11" s="8" t="e">
        <f t="shared" ref="M11:M22" ca="1" si="10">EPM($B$5,$B$6,11,A11,"period_net_amount",$B$7)</f>
        <v>#NAME?</v>
      </c>
      <c r="N11" s="8" t="e">
        <f t="shared" ref="N11:N22" ca="1" si="11">EPM($B$5,$B$6,12,A11,"period_net_amount",$B$7)</f>
        <v>#NAME?</v>
      </c>
      <c r="O11" s="9" t="e">
        <f t="shared" ref="O11:O22" ca="1" si="12">SUM(C11:N11)</f>
        <v>#NAME?</v>
      </c>
    </row>
    <row r="12" spans="1:15" x14ac:dyDescent="0.35">
      <c r="A12" s="7" t="s">
        <v>52</v>
      </c>
      <c r="B12" s="7" t="s">
        <v>49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44</v>
      </c>
      <c r="B13" s="7" t="s">
        <v>45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463</v>
      </c>
      <c r="B14" s="7" t="s">
        <v>464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429</v>
      </c>
      <c r="B15" s="7" t="s">
        <v>430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578</v>
      </c>
      <c r="B16" s="7" t="s">
        <v>579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580</v>
      </c>
      <c r="B17" s="7" t="s">
        <v>581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A18" s="7" t="s">
        <v>461</v>
      </c>
      <c r="B18" s="7" t="s">
        <v>490</v>
      </c>
      <c r="C18" s="8" t="e">
        <f t="shared" ca="1" si="0"/>
        <v>#NAME?</v>
      </c>
      <c r="D18" s="8" t="e">
        <f t="shared" ca="1" si="1"/>
        <v>#NAME?</v>
      </c>
      <c r="E18" s="8" t="e">
        <f t="shared" ca="1" si="2"/>
        <v>#NAME?</v>
      </c>
      <c r="F18" s="8" t="e">
        <f t="shared" ca="1" si="3"/>
        <v>#NAME?</v>
      </c>
      <c r="G18" s="8" t="e">
        <f t="shared" ca="1" si="4"/>
        <v>#NAME?</v>
      </c>
      <c r="H18" s="8" t="e">
        <f t="shared" ca="1" si="5"/>
        <v>#NAME?</v>
      </c>
      <c r="I18" s="8" t="e">
        <f t="shared" ca="1" si="6"/>
        <v>#NAME?</v>
      </c>
      <c r="J18" s="8" t="e">
        <f t="shared" ca="1" si="7"/>
        <v>#NAME?</v>
      </c>
      <c r="K18" s="8" t="e">
        <f t="shared" ca="1" si="8"/>
        <v>#NAME?</v>
      </c>
      <c r="L18" s="8" t="e">
        <f t="shared" ca="1" si="9"/>
        <v>#NAME?</v>
      </c>
      <c r="M18" s="8" t="e">
        <f t="shared" ca="1" si="10"/>
        <v>#NAME?</v>
      </c>
      <c r="N18" s="8" t="e">
        <f t="shared" ca="1" si="11"/>
        <v>#NAME?</v>
      </c>
      <c r="O18" s="9" t="e">
        <f t="shared" ca="1" si="12"/>
        <v>#NAME?</v>
      </c>
    </row>
    <row r="19" spans="1:15" x14ac:dyDescent="0.35">
      <c r="A19" s="7" t="s">
        <v>455</v>
      </c>
      <c r="B19" s="7" t="s">
        <v>456</v>
      </c>
      <c r="C19" s="8" t="e">
        <f t="shared" ca="1" si="0"/>
        <v>#NAME?</v>
      </c>
      <c r="D19" s="8" t="e">
        <f t="shared" ca="1" si="1"/>
        <v>#NAME?</v>
      </c>
      <c r="E19" s="8" t="e">
        <f t="shared" ca="1" si="2"/>
        <v>#NAME?</v>
      </c>
      <c r="F19" s="8" t="e">
        <f t="shared" ca="1" si="3"/>
        <v>#NAME?</v>
      </c>
      <c r="G19" s="8" t="e">
        <f t="shared" ca="1" si="4"/>
        <v>#NAME?</v>
      </c>
      <c r="H19" s="8" t="e">
        <f t="shared" ca="1" si="5"/>
        <v>#NAME?</v>
      </c>
      <c r="I19" s="8" t="e">
        <f t="shared" ca="1" si="6"/>
        <v>#NAME?</v>
      </c>
      <c r="J19" s="8" t="e">
        <f t="shared" ca="1" si="7"/>
        <v>#NAME?</v>
      </c>
      <c r="K19" s="8" t="e">
        <f t="shared" ca="1" si="8"/>
        <v>#NAME?</v>
      </c>
      <c r="L19" s="8" t="e">
        <f t="shared" ca="1" si="9"/>
        <v>#NAME?</v>
      </c>
      <c r="M19" s="8" t="e">
        <f t="shared" ca="1" si="10"/>
        <v>#NAME?</v>
      </c>
      <c r="N19" s="8" t="e">
        <f t="shared" ca="1" si="11"/>
        <v>#NAME?</v>
      </c>
      <c r="O19" s="9" t="e">
        <f t="shared" ca="1" si="12"/>
        <v>#NAME?</v>
      </c>
    </row>
    <row r="20" spans="1:15" x14ac:dyDescent="0.35">
      <c r="A20" s="7" t="s">
        <v>459</v>
      </c>
      <c r="B20" s="7" t="s">
        <v>460</v>
      </c>
      <c r="C20" s="8" t="e">
        <f t="shared" ca="1" si="0"/>
        <v>#NAME?</v>
      </c>
      <c r="D20" s="8" t="e">
        <f t="shared" ca="1" si="1"/>
        <v>#NAME?</v>
      </c>
      <c r="E20" s="8" t="e">
        <f t="shared" ca="1" si="2"/>
        <v>#NAME?</v>
      </c>
      <c r="F20" s="8" t="e">
        <f t="shared" ca="1" si="3"/>
        <v>#NAME?</v>
      </c>
      <c r="G20" s="8" t="e">
        <f t="shared" ca="1" si="4"/>
        <v>#NAME?</v>
      </c>
      <c r="H20" s="8" t="e">
        <f t="shared" ca="1" si="5"/>
        <v>#NAME?</v>
      </c>
      <c r="I20" s="8" t="e">
        <f t="shared" ca="1" si="6"/>
        <v>#NAME?</v>
      </c>
      <c r="J20" s="8" t="e">
        <f t="shared" ca="1" si="7"/>
        <v>#NAME?</v>
      </c>
      <c r="K20" s="8" t="e">
        <f t="shared" ca="1" si="8"/>
        <v>#NAME?</v>
      </c>
      <c r="L20" s="8" t="e">
        <f t="shared" ca="1" si="9"/>
        <v>#NAME?</v>
      </c>
      <c r="M20" s="8" t="e">
        <f t="shared" ca="1" si="10"/>
        <v>#NAME?</v>
      </c>
      <c r="N20" s="8" t="e">
        <f t="shared" ca="1" si="11"/>
        <v>#NAME?</v>
      </c>
      <c r="O20" s="9" t="e">
        <f t="shared" ca="1" si="12"/>
        <v>#NAME?</v>
      </c>
    </row>
    <row r="21" spans="1:15" x14ac:dyDescent="0.35">
      <c r="A21" s="7" t="s">
        <v>582</v>
      </c>
      <c r="B21" s="7" t="s">
        <v>479</v>
      </c>
      <c r="C21" s="8" t="e">
        <f t="shared" ca="1" si="0"/>
        <v>#NAME?</v>
      </c>
      <c r="D21" s="8" t="e">
        <f t="shared" ca="1" si="1"/>
        <v>#NAME?</v>
      </c>
      <c r="E21" s="8" t="e">
        <f t="shared" ca="1" si="2"/>
        <v>#NAME?</v>
      </c>
      <c r="F21" s="8" t="e">
        <f t="shared" ca="1" si="3"/>
        <v>#NAME?</v>
      </c>
      <c r="G21" s="8" t="e">
        <f t="shared" ca="1" si="4"/>
        <v>#NAME?</v>
      </c>
      <c r="H21" s="8" t="e">
        <f t="shared" ca="1" si="5"/>
        <v>#NAME?</v>
      </c>
      <c r="I21" s="8" t="e">
        <f t="shared" ca="1" si="6"/>
        <v>#NAME?</v>
      </c>
      <c r="J21" s="8" t="e">
        <f t="shared" ca="1" si="7"/>
        <v>#NAME?</v>
      </c>
      <c r="K21" s="8" t="e">
        <f t="shared" ca="1" si="8"/>
        <v>#NAME?</v>
      </c>
      <c r="L21" s="8" t="e">
        <f t="shared" ca="1" si="9"/>
        <v>#NAME?</v>
      </c>
      <c r="M21" s="8" t="e">
        <f t="shared" ca="1" si="10"/>
        <v>#NAME?</v>
      </c>
      <c r="N21" s="8" t="e">
        <f t="shared" ca="1" si="11"/>
        <v>#NAME?</v>
      </c>
      <c r="O21" s="9" t="e">
        <f t="shared" ca="1" si="12"/>
        <v>#NAME?</v>
      </c>
    </row>
    <row r="22" spans="1:15" x14ac:dyDescent="0.35">
      <c r="A22" s="7" t="s">
        <v>302</v>
      </c>
      <c r="B22" s="7" t="s">
        <v>47</v>
      </c>
      <c r="C22" s="8" t="e">
        <f t="shared" ca="1" si="0"/>
        <v>#NAME?</v>
      </c>
      <c r="D22" s="8" t="e">
        <f t="shared" ca="1" si="1"/>
        <v>#NAME?</v>
      </c>
      <c r="E22" s="8" t="e">
        <f t="shared" ca="1" si="2"/>
        <v>#NAME?</v>
      </c>
      <c r="F22" s="8" t="e">
        <f t="shared" ca="1" si="3"/>
        <v>#NAME?</v>
      </c>
      <c r="G22" s="8" t="e">
        <f t="shared" ca="1" si="4"/>
        <v>#NAME?</v>
      </c>
      <c r="H22" s="8" t="e">
        <f t="shared" ca="1" si="5"/>
        <v>#NAME?</v>
      </c>
      <c r="I22" s="8" t="e">
        <f t="shared" ca="1" si="6"/>
        <v>#NAME?</v>
      </c>
      <c r="J22" s="8" t="e">
        <f t="shared" ca="1" si="7"/>
        <v>#NAME?</v>
      </c>
      <c r="K22" s="8" t="e">
        <f t="shared" ca="1" si="8"/>
        <v>#NAME?</v>
      </c>
      <c r="L22" s="8" t="e">
        <f t="shared" ca="1" si="9"/>
        <v>#NAME?</v>
      </c>
      <c r="M22" s="8" t="e">
        <f t="shared" ca="1" si="10"/>
        <v>#NAME?</v>
      </c>
      <c r="N22" s="8" t="e">
        <f t="shared" ca="1" si="11"/>
        <v>#NAME?</v>
      </c>
      <c r="O22" s="9" t="e">
        <f t="shared" ca="1" si="12"/>
        <v>#NAME?</v>
      </c>
    </row>
    <row r="23" spans="1:15" x14ac:dyDescent="0.35">
      <c r="B23" s="10" t="s">
        <v>57</v>
      </c>
      <c r="C23" s="11" t="e">
        <f t="shared" ref="C23:O23" ca="1" si="13">SUM(C11:C22)</f>
        <v>#NAME?</v>
      </c>
      <c r="D23" s="11" t="e">
        <f t="shared" ca="1" si="13"/>
        <v>#NAME?</v>
      </c>
      <c r="E23" s="11" t="e">
        <f t="shared" ca="1" si="13"/>
        <v>#NAME?</v>
      </c>
      <c r="F23" s="11" t="e">
        <f t="shared" ca="1" si="13"/>
        <v>#NAME?</v>
      </c>
      <c r="G23" s="11" t="e">
        <f t="shared" ca="1" si="13"/>
        <v>#NAME?</v>
      </c>
      <c r="H23" s="11" t="e">
        <f t="shared" ca="1" si="13"/>
        <v>#NAME?</v>
      </c>
      <c r="I23" s="11" t="e">
        <f t="shared" ca="1" si="13"/>
        <v>#NAME?</v>
      </c>
      <c r="J23" s="11" t="e">
        <f t="shared" ca="1" si="13"/>
        <v>#NAME?</v>
      </c>
      <c r="K23" s="11" t="e">
        <f t="shared" ca="1" si="13"/>
        <v>#NAME?</v>
      </c>
      <c r="L23" s="11" t="e">
        <f t="shared" ca="1" si="13"/>
        <v>#NAME?</v>
      </c>
      <c r="M23" s="11" t="e">
        <f t="shared" ca="1" si="13"/>
        <v>#NAME?</v>
      </c>
      <c r="N23" s="11" t="e">
        <f t="shared" ca="1" si="13"/>
        <v>#NAME?</v>
      </c>
      <c r="O23" s="11" t="e">
        <f t="shared" ca="1" si="13"/>
        <v>#NAME?</v>
      </c>
    </row>
    <row r="25" spans="1:15" ht="15.5" x14ac:dyDescent="0.35">
      <c r="A25" s="4" t="s">
        <v>58</v>
      </c>
    </row>
    <row r="26" spans="1:15" x14ac:dyDescent="0.35">
      <c r="A26" s="6" t="s">
        <v>19</v>
      </c>
      <c r="B26" s="6" t="s">
        <v>20</v>
      </c>
      <c r="C26" s="6" t="s">
        <v>21</v>
      </c>
      <c r="D26" s="6" t="s">
        <v>22</v>
      </c>
      <c r="E26" s="6" t="s">
        <v>23</v>
      </c>
      <c r="F26" s="6" t="s">
        <v>24</v>
      </c>
      <c r="G26" s="6" t="s">
        <v>25</v>
      </c>
      <c r="H26" s="6" t="s">
        <v>26</v>
      </c>
      <c r="I26" s="6" t="s">
        <v>27</v>
      </c>
      <c r="J26" s="6" t="s">
        <v>28</v>
      </c>
      <c r="K26" s="6" t="s">
        <v>29</v>
      </c>
      <c r="L26" s="6" t="s">
        <v>30</v>
      </c>
      <c r="M26" s="6" t="s">
        <v>31</v>
      </c>
      <c r="N26" s="6" t="s">
        <v>32</v>
      </c>
    </row>
    <row r="27" spans="1:15" x14ac:dyDescent="0.35">
      <c r="A27" s="7" t="s">
        <v>150</v>
      </c>
      <c r="B27" s="7" t="s">
        <v>151</v>
      </c>
      <c r="C27" s="8" t="e">
        <f t="shared" ref="C27:C32" ca="1" si="14">EPM($B$5,$B$6,1,A27,"period_net_amount",$B$7)</f>
        <v>#NAME?</v>
      </c>
      <c r="D27" s="8" t="e">
        <f t="shared" ref="D27:D32" ca="1" si="15">EPM($B$5,$B$6,2,A27,"period_net_amount",$B$7)</f>
        <v>#NAME?</v>
      </c>
      <c r="E27" s="8" t="e">
        <f t="shared" ref="E27:E32" ca="1" si="16">EPM($B$5,$B$6,3,A27,"period_net_amount",$B$7)</f>
        <v>#NAME?</v>
      </c>
      <c r="F27" s="8" t="e">
        <f t="shared" ref="F27:F32" ca="1" si="17">EPM($B$5,$B$6,4,A27,"period_net_amount",$B$7)</f>
        <v>#NAME?</v>
      </c>
      <c r="G27" s="8" t="e">
        <f t="shared" ref="G27:G32" ca="1" si="18">EPM($B$5,$B$6,5,A27,"period_net_amount",$B$7)</f>
        <v>#NAME?</v>
      </c>
      <c r="H27" s="8" t="e">
        <f t="shared" ref="H27:H32" ca="1" si="19">EPM($B$5,$B$6,6,A27,"period_net_amount",$B$7)</f>
        <v>#NAME?</v>
      </c>
      <c r="I27" s="8" t="e">
        <f t="shared" ref="I27:I32" ca="1" si="20">EPM($B$5,$B$6,7,A27,"period_net_amount",$B$7)</f>
        <v>#NAME?</v>
      </c>
      <c r="J27" s="8" t="e">
        <f t="shared" ref="J27:J32" ca="1" si="21">EPM($B$5,$B$6,8,A27,"period_net_amount",$B$7)</f>
        <v>#NAME?</v>
      </c>
      <c r="K27" s="8" t="e">
        <f t="shared" ref="K27:K32" ca="1" si="22">EPM($B$5,$B$6,9,A27,"period_net_amount",$B$7)</f>
        <v>#NAME?</v>
      </c>
      <c r="L27" s="8" t="e">
        <f t="shared" ref="L27:L32" ca="1" si="23">EPM($B$5,$B$6,10,A27,"period_net_amount",$B$7)</f>
        <v>#NAME?</v>
      </c>
      <c r="M27" s="8" t="e">
        <f t="shared" ref="M27:M32" ca="1" si="24">EPM($B$5,$B$6,11,A27,"period_net_amount",$B$7)</f>
        <v>#NAME?</v>
      </c>
      <c r="N27" s="8" t="e">
        <f t="shared" ref="N27:N32" ca="1" si="25">EPM($B$5,$B$6,12,A27,"period_net_amount",$B$7)</f>
        <v>#NAME?</v>
      </c>
    </row>
    <row r="28" spans="1:15" x14ac:dyDescent="0.35">
      <c r="A28" s="7" t="s">
        <v>203</v>
      </c>
      <c r="B28" s="7" t="s">
        <v>583</v>
      </c>
      <c r="C28" s="8" t="e">
        <f t="shared" ca="1" si="14"/>
        <v>#NAME?</v>
      </c>
      <c r="D28" s="8" t="e">
        <f t="shared" ca="1" si="15"/>
        <v>#NAME?</v>
      </c>
      <c r="E28" s="8" t="e">
        <f t="shared" ca="1" si="16"/>
        <v>#NAME?</v>
      </c>
      <c r="F28" s="8" t="e">
        <f t="shared" ca="1" si="17"/>
        <v>#NAME?</v>
      </c>
      <c r="G28" s="8" t="e">
        <f t="shared" ca="1" si="18"/>
        <v>#NAME?</v>
      </c>
      <c r="H28" s="8" t="e">
        <f t="shared" ca="1" si="19"/>
        <v>#NAME?</v>
      </c>
      <c r="I28" s="8" t="e">
        <f t="shared" ca="1" si="20"/>
        <v>#NAME?</v>
      </c>
      <c r="J28" s="8" t="e">
        <f t="shared" ca="1" si="21"/>
        <v>#NAME?</v>
      </c>
      <c r="K28" s="8" t="e">
        <f t="shared" ca="1" si="22"/>
        <v>#NAME?</v>
      </c>
      <c r="L28" s="8" t="e">
        <f t="shared" ca="1" si="23"/>
        <v>#NAME?</v>
      </c>
      <c r="M28" s="8" t="e">
        <f t="shared" ca="1" si="24"/>
        <v>#NAME?</v>
      </c>
      <c r="N28" s="8" t="e">
        <f t="shared" ca="1" si="25"/>
        <v>#NAME?</v>
      </c>
    </row>
    <row r="29" spans="1:15" x14ac:dyDescent="0.35">
      <c r="A29" s="7" t="s">
        <v>402</v>
      </c>
      <c r="B29" s="7" t="s">
        <v>584</v>
      </c>
      <c r="C29" s="8" t="e">
        <f t="shared" ca="1" si="14"/>
        <v>#NAME?</v>
      </c>
      <c r="D29" s="8" t="e">
        <f t="shared" ca="1" si="15"/>
        <v>#NAME?</v>
      </c>
      <c r="E29" s="8" t="e">
        <f t="shared" ca="1" si="16"/>
        <v>#NAME?</v>
      </c>
      <c r="F29" s="8" t="e">
        <f t="shared" ca="1" si="17"/>
        <v>#NAME?</v>
      </c>
      <c r="G29" s="8" t="e">
        <f t="shared" ca="1" si="18"/>
        <v>#NAME?</v>
      </c>
      <c r="H29" s="8" t="e">
        <f t="shared" ca="1" si="19"/>
        <v>#NAME?</v>
      </c>
      <c r="I29" s="8" t="e">
        <f t="shared" ca="1" si="20"/>
        <v>#NAME?</v>
      </c>
      <c r="J29" s="8" t="e">
        <f t="shared" ca="1" si="21"/>
        <v>#NAME?</v>
      </c>
      <c r="K29" s="8" t="e">
        <f t="shared" ca="1" si="22"/>
        <v>#NAME?</v>
      </c>
      <c r="L29" s="8" t="e">
        <f t="shared" ca="1" si="23"/>
        <v>#NAME?</v>
      </c>
      <c r="M29" s="8" t="e">
        <f t="shared" ca="1" si="24"/>
        <v>#NAME?</v>
      </c>
      <c r="N29" s="8" t="e">
        <f t="shared" ca="1" si="25"/>
        <v>#NAME?</v>
      </c>
    </row>
    <row r="30" spans="1:15" x14ac:dyDescent="0.35">
      <c r="A30" s="7" t="s">
        <v>585</v>
      </c>
      <c r="B30" s="7" t="s">
        <v>586</v>
      </c>
      <c r="C30" s="8" t="e">
        <f t="shared" ca="1" si="14"/>
        <v>#NAME?</v>
      </c>
      <c r="D30" s="8" t="e">
        <f t="shared" ca="1" si="15"/>
        <v>#NAME?</v>
      </c>
      <c r="E30" s="8" t="e">
        <f t="shared" ca="1" si="16"/>
        <v>#NAME?</v>
      </c>
      <c r="F30" s="8" t="e">
        <f t="shared" ca="1" si="17"/>
        <v>#NAME?</v>
      </c>
      <c r="G30" s="8" t="e">
        <f t="shared" ca="1" si="18"/>
        <v>#NAME?</v>
      </c>
      <c r="H30" s="8" t="e">
        <f t="shared" ca="1" si="19"/>
        <v>#NAME?</v>
      </c>
      <c r="I30" s="8" t="e">
        <f t="shared" ca="1" si="20"/>
        <v>#NAME?</v>
      </c>
      <c r="J30" s="8" t="e">
        <f t="shared" ca="1" si="21"/>
        <v>#NAME?</v>
      </c>
      <c r="K30" s="8" t="e">
        <f t="shared" ca="1" si="22"/>
        <v>#NAME?</v>
      </c>
      <c r="L30" s="8" t="e">
        <f t="shared" ca="1" si="23"/>
        <v>#NAME?</v>
      </c>
      <c r="M30" s="8" t="e">
        <f t="shared" ca="1" si="24"/>
        <v>#NAME?</v>
      </c>
      <c r="N30" s="8" t="e">
        <f t="shared" ca="1" si="25"/>
        <v>#NAME?</v>
      </c>
    </row>
    <row r="31" spans="1:15" x14ac:dyDescent="0.35">
      <c r="A31" s="7" t="s">
        <v>587</v>
      </c>
      <c r="B31" s="7" t="s">
        <v>588</v>
      </c>
      <c r="C31" s="8" t="e">
        <f t="shared" ca="1" si="14"/>
        <v>#NAME?</v>
      </c>
      <c r="D31" s="8" t="e">
        <f t="shared" ca="1" si="15"/>
        <v>#NAME?</v>
      </c>
      <c r="E31" s="8" t="e">
        <f t="shared" ca="1" si="16"/>
        <v>#NAME?</v>
      </c>
      <c r="F31" s="8" t="e">
        <f t="shared" ca="1" si="17"/>
        <v>#NAME?</v>
      </c>
      <c r="G31" s="8" t="e">
        <f t="shared" ca="1" si="18"/>
        <v>#NAME?</v>
      </c>
      <c r="H31" s="8" t="e">
        <f t="shared" ca="1" si="19"/>
        <v>#NAME?</v>
      </c>
      <c r="I31" s="8" t="e">
        <f t="shared" ca="1" si="20"/>
        <v>#NAME?</v>
      </c>
      <c r="J31" s="8" t="e">
        <f t="shared" ca="1" si="21"/>
        <v>#NAME?</v>
      </c>
      <c r="K31" s="8" t="e">
        <f t="shared" ca="1" si="22"/>
        <v>#NAME?</v>
      </c>
      <c r="L31" s="8" t="e">
        <f t="shared" ca="1" si="23"/>
        <v>#NAME?</v>
      </c>
      <c r="M31" s="8" t="e">
        <f t="shared" ca="1" si="24"/>
        <v>#NAME?</v>
      </c>
      <c r="N31" s="8" t="e">
        <f t="shared" ca="1" si="25"/>
        <v>#NAME?</v>
      </c>
    </row>
    <row r="32" spans="1:15" x14ac:dyDescent="0.35">
      <c r="A32" s="7" t="s">
        <v>258</v>
      </c>
      <c r="B32" s="7" t="s">
        <v>259</v>
      </c>
      <c r="C32" s="8" t="e">
        <f t="shared" ca="1" si="14"/>
        <v>#NAME?</v>
      </c>
      <c r="D32" s="8" t="e">
        <f t="shared" ca="1" si="15"/>
        <v>#NAME?</v>
      </c>
      <c r="E32" s="8" t="e">
        <f t="shared" ca="1" si="16"/>
        <v>#NAME?</v>
      </c>
      <c r="F32" s="8" t="e">
        <f t="shared" ca="1" si="17"/>
        <v>#NAME?</v>
      </c>
      <c r="G32" s="8" t="e">
        <f t="shared" ca="1" si="18"/>
        <v>#NAME?</v>
      </c>
      <c r="H32" s="8" t="e">
        <f t="shared" ca="1" si="19"/>
        <v>#NAME?</v>
      </c>
      <c r="I32" s="8" t="e">
        <f t="shared" ca="1" si="20"/>
        <v>#NAME?</v>
      </c>
      <c r="J32" s="8" t="e">
        <f t="shared" ca="1" si="21"/>
        <v>#NAME?</v>
      </c>
      <c r="K32" s="8" t="e">
        <f t="shared" ca="1" si="22"/>
        <v>#NAME?</v>
      </c>
      <c r="L32" s="8" t="e">
        <f t="shared" ca="1" si="23"/>
        <v>#NAME?</v>
      </c>
      <c r="M32" s="8" t="e">
        <f t="shared" ca="1" si="24"/>
        <v>#NAME?</v>
      </c>
      <c r="N32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32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589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590</v>
      </c>
    </row>
    <row r="6" spans="1:15" x14ac:dyDescent="0.35">
      <c r="A6" s="2" t="s">
        <v>15</v>
      </c>
      <c r="B6" s="5">
        <v>2025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429</v>
      </c>
      <c r="B11" s="7" t="s">
        <v>430</v>
      </c>
      <c r="C11" s="8" t="e">
        <f t="shared" ref="C11:C22" ca="1" si="0">EPM($B$5,$B$6,1,A11,"period_net_amount",$B$7)</f>
        <v>#NAME?</v>
      </c>
      <c r="D11" s="8" t="e">
        <f t="shared" ref="D11:D22" ca="1" si="1">EPM($B$5,$B$6,2,A11,"period_net_amount",$B$7)</f>
        <v>#NAME?</v>
      </c>
      <c r="E11" s="8" t="e">
        <f t="shared" ref="E11:E22" ca="1" si="2">EPM($B$5,$B$6,3,A11,"period_net_amount",$B$7)</f>
        <v>#NAME?</v>
      </c>
      <c r="F11" s="8" t="e">
        <f t="shared" ref="F11:F22" ca="1" si="3">EPM($B$5,$B$6,4,A11,"period_net_amount",$B$7)</f>
        <v>#NAME?</v>
      </c>
      <c r="G11" s="8" t="e">
        <f t="shared" ref="G11:G22" ca="1" si="4">EPM($B$5,$B$6,5,A11,"period_net_amount",$B$7)</f>
        <v>#NAME?</v>
      </c>
      <c r="H11" s="8" t="e">
        <f t="shared" ref="H11:H22" ca="1" si="5">EPM($B$5,$B$6,6,A11,"period_net_amount",$B$7)</f>
        <v>#NAME?</v>
      </c>
      <c r="I11" s="8" t="e">
        <f t="shared" ref="I11:I22" ca="1" si="6">EPM($B$5,$B$6,7,A11,"period_net_amount",$B$7)</f>
        <v>#NAME?</v>
      </c>
      <c r="J11" s="8" t="e">
        <f t="shared" ref="J11:J22" ca="1" si="7">EPM($B$5,$B$6,8,A11,"period_net_amount",$B$7)</f>
        <v>#NAME?</v>
      </c>
      <c r="K11" s="8" t="e">
        <f t="shared" ref="K11:K22" ca="1" si="8">EPM($B$5,$B$6,9,A11,"period_net_amount",$B$7)</f>
        <v>#NAME?</v>
      </c>
      <c r="L11" s="8" t="e">
        <f t="shared" ref="L11:L22" ca="1" si="9">EPM($B$5,$B$6,10,A11,"period_net_amount",$B$7)</f>
        <v>#NAME?</v>
      </c>
      <c r="M11" s="8" t="e">
        <f t="shared" ref="M11:M22" ca="1" si="10">EPM($B$5,$B$6,11,A11,"period_net_amount",$B$7)</f>
        <v>#NAME?</v>
      </c>
      <c r="N11" s="8" t="e">
        <f t="shared" ref="N11:N22" ca="1" si="11">EPM($B$5,$B$6,12,A11,"period_net_amount",$B$7)</f>
        <v>#NAME?</v>
      </c>
      <c r="O11" s="9" t="e">
        <f t="shared" ref="O11:O22" ca="1" si="12">SUM(C11:N11)</f>
        <v>#NAME?</v>
      </c>
    </row>
    <row r="12" spans="1:15" x14ac:dyDescent="0.35">
      <c r="A12" s="7" t="s">
        <v>44</v>
      </c>
      <c r="B12" s="7" t="s">
        <v>45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591</v>
      </c>
      <c r="B13" s="7" t="s">
        <v>592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52</v>
      </c>
      <c r="B14" s="7" t="s">
        <v>49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136</v>
      </c>
      <c r="B15" s="7" t="s">
        <v>137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465</v>
      </c>
      <c r="B16" s="7" t="s">
        <v>593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594</v>
      </c>
      <c r="B17" s="7" t="s">
        <v>595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A18" s="7" t="s">
        <v>461</v>
      </c>
      <c r="B18" s="7" t="s">
        <v>490</v>
      </c>
      <c r="C18" s="8" t="e">
        <f t="shared" ca="1" si="0"/>
        <v>#NAME?</v>
      </c>
      <c r="D18" s="8" t="e">
        <f t="shared" ca="1" si="1"/>
        <v>#NAME?</v>
      </c>
      <c r="E18" s="8" t="e">
        <f t="shared" ca="1" si="2"/>
        <v>#NAME?</v>
      </c>
      <c r="F18" s="8" t="e">
        <f t="shared" ca="1" si="3"/>
        <v>#NAME?</v>
      </c>
      <c r="G18" s="8" t="e">
        <f t="shared" ca="1" si="4"/>
        <v>#NAME?</v>
      </c>
      <c r="H18" s="8" t="e">
        <f t="shared" ca="1" si="5"/>
        <v>#NAME?</v>
      </c>
      <c r="I18" s="8" t="e">
        <f t="shared" ca="1" si="6"/>
        <v>#NAME?</v>
      </c>
      <c r="J18" s="8" t="e">
        <f t="shared" ca="1" si="7"/>
        <v>#NAME?</v>
      </c>
      <c r="K18" s="8" t="e">
        <f t="shared" ca="1" si="8"/>
        <v>#NAME?</v>
      </c>
      <c r="L18" s="8" t="e">
        <f t="shared" ca="1" si="9"/>
        <v>#NAME?</v>
      </c>
      <c r="M18" s="8" t="e">
        <f t="shared" ca="1" si="10"/>
        <v>#NAME?</v>
      </c>
      <c r="N18" s="8" t="e">
        <f t="shared" ca="1" si="11"/>
        <v>#NAME?</v>
      </c>
      <c r="O18" s="9" t="e">
        <f t="shared" ca="1" si="12"/>
        <v>#NAME?</v>
      </c>
    </row>
    <row r="19" spans="1:15" x14ac:dyDescent="0.35">
      <c r="A19" s="7" t="s">
        <v>306</v>
      </c>
      <c r="B19" s="7" t="s">
        <v>307</v>
      </c>
      <c r="C19" s="8" t="e">
        <f t="shared" ca="1" si="0"/>
        <v>#NAME?</v>
      </c>
      <c r="D19" s="8" t="e">
        <f t="shared" ca="1" si="1"/>
        <v>#NAME?</v>
      </c>
      <c r="E19" s="8" t="e">
        <f t="shared" ca="1" si="2"/>
        <v>#NAME?</v>
      </c>
      <c r="F19" s="8" t="e">
        <f t="shared" ca="1" si="3"/>
        <v>#NAME?</v>
      </c>
      <c r="G19" s="8" t="e">
        <f t="shared" ca="1" si="4"/>
        <v>#NAME?</v>
      </c>
      <c r="H19" s="8" t="e">
        <f t="shared" ca="1" si="5"/>
        <v>#NAME?</v>
      </c>
      <c r="I19" s="8" t="e">
        <f t="shared" ca="1" si="6"/>
        <v>#NAME?</v>
      </c>
      <c r="J19" s="8" t="e">
        <f t="shared" ca="1" si="7"/>
        <v>#NAME?</v>
      </c>
      <c r="K19" s="8" t="e">
        <f t="shared" ca="1" si="8"/>
        <v>#NAME?</v>
      </c>
      <c r="L19" s="8" t="e">
        <f t="shared" ca="1" si="9"/>
        <v>#NAME?</v>
      </c>
      <c r="M19" s="8" t="e">
        <f t="shared" ca="1" si="10"/>
        <v>#NAME?</v>
      </c>
      <c r="N19" s="8" t="e">
        <f t="shared" ca="1" si="11"/>
        <v>#NAME?</v>
      </c>
      <c r="O19" s="9" t="e">
        <f t="shared" ca="1" si="12"/>
        <v>#NAME?</v>
      </c>
    </row>
    <row r="20" spans="1:15" x14ac:dyDescent="0.35">
      <c r="A20" s="7" t="s">
        <v>596</v>
      </c>
      <c r="B20" s="7" t="s">
        <v>597</v>
      </c>
      <c r="C20" s="8" t="e">
        <f t="shared" ca="1" si="0"/>
        <v>#NAME?</v>
      </c>
      <c r="D20" s="8" t="e">
        <f t="shared" ca="1" si="1"/>
        <v>#NAME?</v>
      </c>
      <c r="E20" s="8" t="e">
        <f t="shared" ca="1" si="2"/>
        <v>#NAME?</v>
      </c>
      <c r="F20" s="8" t="e">
        <f t="shared" ca="1" si="3"/>
        <v>#NAME?</v>
      </c>
      <c r="G20" s="8" t="e">
        <f t="shared" ca="1" si="4"/>
        <v>#NAME?</v>
      </c>
      <c r="H20" s="8" t="e">
        <f t="shared" ca="1" si="5"/>
        <v>#NAME?</v>
      </c>
      <c r="I20" s="8" t="e">
        <f t="shared" ca="1" si="6"/>
        <v>#NAME?</v>
      </c>
      <c r="J20" s="8" t="e">
        <f t="shared" ca="1" si="7"/>
        <v>#NAME?</v>
      </c>
      <c r="K20" s="8" t="e">
        <f t="shared" ca="1" si="8"/>
        <v>#NAME?</v>
      </c>
      <c r="L20" s="8" t="e">
        <f t="shared" ca="1" si="9"/>
        <v>#NAME?</v>
      </c>
      <c r="M20" s="8" t="e">
        <f t="shared" ca="1" si="10"/>
        <v>#NAME?</v>
      </c>
      <c r="N20" s="8" t="e">
        <f t="shared" ca="1" si="11"/>
        <v>#NAME?</v>
      </c>
      <c r="O20" s="9" t="e">
        <f t="shared" ca="1" si="12"/>
        <v>#NAME?</v>
      </c>
    </row>
    <row r="21" spans="1:15" x14ac:dyDescent="0.35">
      <c r="A21" s="7" t="s">
        <v>300</v>
      </c>
      <c r="B21" s="7" t="s">
        <v>301</v>
      </c>
      <c r="C21" s="8" t="e">
        <f t="shared" ca="1" si="0"/>
        <v>#NAME?</v>
      </c>
      <c r="D21" s="8" t="e">
        <f t="shared" ca="1" si="1"/>
        <v>#NAME?</v>
      </c>
      <c r="E21" s="8" t="e">
        <f t="shared" ca="1" si="2"/>
        <v>#NAME?</v>
      </c>
      <c r="F21" s="8" t="e">
        <f t="shared" ca="1" si="3"/>
        <v>#NAME?</v>
      </c>
      <c r="G21" s="8" t="e">
        <f t="shared" ca="1" si="4"/>
        <v>#NAME?</v>
      </c>
      <c r="H21" s="8" t="e">
        <f t="shared" ca="1" si="5"/>
        <v>#NAME?</v>
      </c>
      <c r="I21" s="8" t="e">
        <f t="shared" ca="1" si="6"/>
        <v>#NAME?</v>
      </c>
      <c r="J21" s="8" t="e">
        <f t="shared" ca="1" si="7"/>
        <v>#NAME?</v>
      </c>
      <c r="K21" s="8" t="e">
        <f t="shared" ca="1" si="8"/>
        <v>#NAME?</v>
      </c>
      <c r="L21" s="8" t="e">
        <f t="shared" ca="1" si="9"/>
        <v>#NAME?</v>
      </c>
      <c r="M21" s="8" t="e">
        <f t="shared" ca="1" si="10"/>
        <v>#NAME?</v>
      </c>
      <c r="N21" s="8" t="e">
        <f t="shared" ca="1" si="11"/>
        <v>#NAME?</v>
      </c>
      <c r="O21" s="9" t="e">
        <f t="shared" ca="1" si="12"/>
        <v>#NAME?</v>
      </c>
    </row>
    <row r="22" spans="1:15" x14ac:dyDescent="0.35">
      <c r="A22" s="7" t="s">
        <v>598</v>
      </c>
      <c r="B22" s="7" t="s">
        <v>599</v>
      </c>
      <c r="C22" s="8" t="e">
        <f t="shared" ca="1" si="0"/>
        <v>#NAME?</v>
      </c>
      <c r="D22" s="8" t="e">
        <f t="shared" ca="1" si="1"/>
        <v>#NAME?</v>
      </c>
      <c r="E22" s="8" t="e">
        <f t="shared" ca="1" si="2"/>
        <v>#NAME?</v>
      </c>
      <c r="F22" s="8" t="e">
        <f t="shared" ca="1" si="3"/>
        <v>#NAME?</v>
      </c>
      <c r="G22" s="8" t="e">
        <f t="shared" ca="1" si="4"/>
        <v>#NAME?</v>
      </c>
      <c r="H22" s="8" t="e">
        <f t="shared" ca="1" si="5"/>
        <v>#NAME?</v>
      </c>
      <c r="I22" s="8" t="e">
        <f t="shared" ca="1" si="6"/>
        <v>#NAME?</v>
      </c>
      <c r="J22" s="8" t="e">
        <f t="shared" ca="1" si="7"/>
        <v>#NAME?</v>
      </c>
      <c r="K22" s="8" t="e">
        <f t="shared" ca="1" si="8"/>
        <v>#NAME?</v>
      </c>
      <c r="L22" s="8" t="e">
        <f t="shared" ca="1" si="9"/>
        <v>#NAME?</v>
      </c>
      <c r="M22" s="8" t="e">
        <f t="shared" ca="1" si="10"/>
        <v>#NAME?</v>
      </c>
      <c r="N22" s="8" t="e">
        <f t="shared" ca="1" si="11"/>
        <v>#NAME?</v>
      </c>
      <c r="O22" s="9" t="e">
        <f t="shared" ca="1" si="12"/>
        <v>#NAME?</v>
      </c>
    </row>
    <row r="23" spans="1:15" x14ac:dyDescent="0.35">
      <c r="B23" s="10" t="s">
        <v>57</v>
      </c>
      <c r="C23" s="11" t="e">
        <f t="shared" ref="C23:O23" ca="1" si="13">SUM(C11:C22)</f>
        <v>#NAME?</v>
      </c>
      <c r="D23" s="11" t="e">
        <f t="shared" ca="1" si="13"/>
        <v>#NAME?</v>
      </c>
      <c r="E23" s="11" t="e">
        <f t="shared" ca="1" si="13"/>
        <v>#NAME?</v>
      </c>
      <c r="F23" s="11" t="e">
        <f t="shared" ca="1" si="13"/>
        <v>#NAME?</v>
      </c>
      <c r="G23" s="11" t="e">
        <f t="shared" ca="1" si="13"/>
        <v>#NAME?</v>
      </c>
      <c r="H23" s="11" t="e">
        <f t="shared" ca="1" si="13"/>
        <v>#NAME?</v>
      </c>
      <c r="I23" s="11" t="e">
        <f t="shared" ca="1" si="13"/>
        <v>#NAME?</v>
      </c>
      <c r="J23" s="11" t="e">
        <f t="shared" ca="1" si="13"/>
        <v>#NAME?</v>
      </c>
      <c r="K23" s="11" t="e">
        <f t="shared" ca="1" si="13"/>
        <v>#NAME?</v>
      </c>
      <c r="L23" s="11" t="e">
        <f t="shared" ca="1" si="13"/>
        <v>#NAME?</v>
      </c>
      <c r="M23" s="11" t="e">
        <f t="shared" ca="1" si="13"/>
        <v>#NAME?</v>
      </c>
      <c r="N23" s="11" t="e">
        <f t="shared" ca="1" si="13"/>
        <v>#NAME?</v>
      </c>
      <c r="O23" s="11" t="e">
        <f t="shared" ca="1" si="13"/>
        <v>#NAME?</v>
      </c>
    </row>
    <row r="25" spans="1:15" ht="15.5" x14ac:dyDescent="0.35">
      <c r="A25" s="4" t="s">
        <v>58</v>
      </c>
    </row>
    <row r="26" spans="1:15" x14ac:dyDescent="0.35">
      <c r="A26" s="6" t="s">
        <v>19</v>
      </c>
      <c r="B26" s="6" t="s">
        <v>20</v>
      </c>
      <c r="C26" s="6" t="s">
        <v>21</v>
      </c>
      <c r="D26" s="6" t="s">
        <v>22</v>
      </c>
      <c r="E26" s="6" t="s">
        <v>23</v>
      </c>
      <c r="F26" s="6" t="s">
        <v>24</v>
      </c>
      <c r="G26" s="6" t="s">
        <v>25</v>
      </c>
      <c r="H26" s="6" t="s">
        <v>26</v>
      </c>
      <c r="I26" s="6" t="s">
        <v>27</v>
      </c>
      <c r="J26" s="6" t="s">
        <v>28</v>
      </c>
      <c r="K26" s="6" t="s">
        <v>29</v>
      </c>
      <c r="L26" s="6" t="s">
        <v>30</v>
      </c>
      <c r="M26" s="6" t="s">
        <v>31</v>
      </c>
      <c r="N26" s="6" t="s">
        <v>32</v>
      </c>
    </row>
    <row r="27" spans="1:15" x14ac:dyDescent="0.35">
      <c r="A27" s="7" t="s">
        <v>203</v>
      </c>
      <c r="B27" s="7" t="s">
        <v>204</v>
      </c>
      <c r="C27" s="8" t="e">
        <f t="shared" ref="C27:C32" ca="1" si="14">EPM($B$5,$B$6,1,A27,"period_net_amount",$B$7)</f>
        <v>#NAME?</v>
      </c>
      <c r="D27" s="8" t="e">
        <f t="shared" ref="D27:D32" ca="1" si="15">EPM($B$5,$B$6,2,A27,"period_net_amount",$B$7)</f>
        <v>#NAME?</v>
      </c>
      <c r="E27" s="8" t="e">
        <f t="shared" ref="E27:E32" ca="1" si="16">EPM($B$5,$B$6,3,A27,"period_net_amount",$B$7)</f>
        <v>#NAME?</v>
      </c>
      <c r="F27" s="8" t="e">
        <f t="shared" ref="F27:F32" ca="1" si="17">EPM($B$5,$B$6,4,A27,"period_net_amount",$B$7)</f>
        <v>#NAME?</v>
      </c>
      <c r="G27" s="8" t="e">
        <f t="shared" ref="G27:G32" ca="1" si="18">EPM($B$5,$B$6,5,A27,"period_net_amount",$B$7)</f>
        <v>#NAME?</v>
      </c>
      <c r="H27" s="8" t="e">
        <f t="shared" ref="H27:H32" ca="1" si="19">EPM($B$5,$B$6,6,A27,"period_net_amount",$B$7)</f>
        <v>#NAME?</v>
      </c>
      <c r="I27" s="8" t="e">
        <f t="shared" ref="I27:I32" ca="1" si="20">EPM($B$5,$B$6,7,A27,"period_net_amount",$B$7)</f>
        <v>#NAME?</v>
      </c>
      <c r="J27" s="8" t="e">
        <f t="shared" ref="J27:J32" ca="1" si="21">EPM($B$5,$B$6,8,A27,"period_net_amount",$B$7)</f>
        <v>#NAME?</v>
      </c>
      <c r="K27" s="8" t="e">
        <f t="shared" ref="K27:K32" ca="1" si="22">EPM($B$5,$B$6,9,A27,"period_net_amount",$B$7)</f>
        <v>#NAME?</v>
      </c>
      <c r="L27" s="8" t="e">
        <f t="shared" ref="L27:L32" ca="1" si="23">EPM($B$5,$B$6,10,A27,"period_net_amount",$B$7)</f>
        <v>#NAME?</v>
      </c>
      <c r="M27" s="8" t="e">
        <f t="shared" ref="M27:M32" ca="1" si="24">EPM($B$5,$B$6,11,A27,"period_net_amount",$B$7)</f>
        <v>#NAME?</v>
      </c>
      <c r="N27" s="8" t="e">
        <f t="shared" ref="N27:N32" ca="1" si="25">EPM($B$5,$B$6,12,A27,"period_net_amount",$B$7)</f>
        <v>#NAME?</v>
      </c>
    </row>
    <row r="28" spans="1:15" x14ac:dyDescent="0.35">
      <c r="A28" s="7" t="s">
        <v>61</v>
      </c>
      <c r="B28" s="7" t="s">
        <v>205</v>
      </c>
      <c r="C28" s="8" t="e">
        <f t="shared" ca="1" si="14"/>
        <v>#NAME?</v>
      </c>
      <c r="D28" s="8" t="e">
        <f t="shared" ca="1" si="15"/>
        <v>#NAME?</v>
      </c>
      <c r="E28" s="8" t="e">
        <f t="shared" ca="1" si="16"/>
        <v>#NAME?</v>
      </c>
      <c r="F28" s="8" t="e">
        <f t="shared" ca="1" si="17"/>
        <v>#NAME?</v>
      </c>
      <c r="G28" s="8" t="e">
        <f t="shared" ca="1" si="18"/>
        <v>#NAME?</v>
      </c>
      <c r="H28" s="8" t="e">
        <f t="shared" ca="1" si="19"/>
        <v>#NAME?</v>
      </c>
      <c r="I28" s="8" t="e">
        <f t="shared" ca="1" si="20"/>
        <v>#NAME?</v>
      </c>
      <c r="J28" s="8" t="e">
        <f t="shared" ca="1" si="21"/>
        <v>#NAME?</v>
      </c>
      <c r="K28" s="8" t="e">
        <f t="shared" ca="1" si="22"/>
        <v>#NAME?</v>
      </c>
      <c r="L28" s="8" t="e">
        <f t="shared" ca="1" si="23"/>
        <v>#NAME?</v>
      </c>
      <c r="M28" s="8" t="e">
        <f t="shared" ca="1" si="24"/>
        <v>#NAME?</v>
      </c>
      <c r="N28" s="8" t="e">
        <f t="shared" ca="1" si="25"/>
        <v>#NAME?</v>
      </c>
    </row>
    <row r="29" spans="1:15" x14ac:dyDescent="0.35">
      <c r="A29" s="7" t="s">
        <v>150</v>
      </c>
      <c r="B29" s="7" t="s">
        <v>416</v>
      </c>
      <c r="C29" s="8" t="e">
        <f t="shared" ca="1" si="14"/>
        <v>#NAME?</v>
      </c>
      <c r="D29" s="8" t="e">
        <f t="shared" ca="1" si="15"/>
        <v>#NAME?</v>
      </c>
      <c r="E29" s="8" t="e">
        <f t="shared" ca="1" si="16"/>
        <v>#NAME?</v>
      </c>
      <c r="F29" s="8" t="e">
        <f t="shared" ca="1" si="17"/>
        <v>#NAME?</v>
      </c>
      <c r="G29" s="8" t="e">
        <f t="shared" ca="1" si="18"/>
        <v>#NAME?</v>
      </c>
      <c r="H29" s="8" t="e">
        <f t="shared" ca="1" si="19"/>
        <v>#NAME?</v>
      </c>
      <c r="I29" s="8" t="e">
        <f t="shared" ca="1" si="20"/>
        <v>#NAME?</v>
      </c>
      <c r="J29" s="8" t="e">
        <f t="shared" ca="1" si="21"/>
        <v>#NAME?</v>
      </c>
      <c r="K29" s="8" t="e">
        <f t="shared" ca="1" si="22"/>
        <v>#NAME?</v>
      </c>
      <c r="L29" s="8" t="e">
        <f t="shared" ca="1" si="23"/>
        <v>#NAME?</v>
      </c>
      <c r="M29" s="8" t="e">
        <f t="shared" ca="1" si="24"/>
        <v>#NAME?</v>
      </c>
      <c r="N29" s="8" t="e">
        <f t="shared" ca="1" si="25"/>
        <v>#NAME?</v>
      </c>
    </row>
    <row r="30" spans="1:15" x14ac:dyDescent="0.35">
      <c r="A30" s="7" t="s">
        <v>258</v>
      </c>
      <c r="B30" s="7" t="s">
        <v>600</v>
      </c>
      <c r="C30" s="8" t="e">
        <f t="shared" ca="1" si="14"/>
        <v>#NAME?</v>
      </c>
      <c r="D30" s="8" t="e">
        <f t="shared" ca="1" si="15"/>
        <v>#NAME?</v>
      </c>
      <c r="E30" s="8" t="e">
        <f t="shared" ca="1" si="16"/>
        <v>#NAME?</v>
      </c>
      <c r="F30" s="8" t="e">
        <f t="shared" ca="1" si="17"/>
        <v>#NAME?</v>
      </c>
      <c r="G30" s="8" t="e">
        <f t="shared" ca="1" si="18"/>
        <v>#NAME?</v>
      </c>
      <c r="H30" s="8" t="e">
        <f t="shared" ca="1" si="19"/>
        <v>#NAME?</v>
      </c>
      <c r="I30" s="8" t="e">
        <f t="shared" ca="1" si="20"/>
        <v>#NAME?</v>
      </c>
      <c r="J30" s="8" t="e">
        <f t="shared" ca="1" si="21"/>
        <v>#NAME?</v>
      </c>
      <c r="K30" s="8" t="e">
        <f t="shared" ca="1" si="22"/>
        <v>#NAME?</v>
      </c>
      <c r="L30" s="8" t="e">
        <f t="shared" ca="1" si="23"/>
        <v>#NAME?</v>
      </c>
      <c r="M30" s="8" t="e">
        <f t="shared" ca="1" si="24"/>
        <v>#NAME?</v>
      </c>
      <c r="N30" s="8" t="e">
        <f t="shared" ca="1" si="25"/>
        <v>#NAME?</v>
      </c>
    </row>
    <row r="31" spans="1:15" x14ac:dyDescent="0.35">
      <c r="A31" s="7" t="s">
        <v>601</v>
      </c>
      <c r="B31" s="7" t="s">
        <v>602</v>
      </c>
      <c r="C31" s="8" t="e">
        <f t="shared" ca="1" si="14"/>
        <v>#NAME?</v>
      </c>
      <c r="D31" s="8" t="e">
        <f t="shared" ca="1" si="15"/>
        <v>#NAME?</v>
      </c>
      <c r="E31" s="8" t="e">
        <f t="shared" ca="1" si="16"/>
        <v>#NAME?</v>
      </c>
      <c r="F31" s="8" t="e">
        <f t="shared" ca="1" si="17"/>
        <v>#NAME?</v>
      </c>
      <c r="G31" s="8" t="e">
        <f t="shared" ca="1" si="18"/>
        <v>#NAME?</v>
      </c>
      <c r="H31" s="8" t="e">
        <f t="shared" ca="1" si="19"/>
        <v>#NAME?</v>
      </c>
      <c r="I31" s="8" t="e">
        <f t="shared" ca="1" si="20"/>
        <v>#NAME?</v>
      </c>
      <c r="J31" s="8" t="e">
        <f t="shared" ca="1" si="21"/>
        <v>#NAME?</v>
      </c>
      <c r="K31" s="8" t="e">
        <f t="shared" ca="1" si="22"/>
        <v>#NAME?</v>
      </c>
      <c r="L31" s="8" t="e">
        <f t="shared" ca="1" si="23"/>
        <v>#NAME?</v>
      </c>
      <c r="M31" s="8" t="e">
        <f t="shared" ca="1" si="24"/>
        <v>#NAME?</v>
      </c>
      <c r="N31" s="8" t="e">
        <f t="shared" ca="1" si="25"/>
        <v>#NAME?</v>
      </c>
    </row>
    <row r="32" spans="1:15" x14ac:dyDescent="0.35">
      <c r="A32" s="7" t="s">
        <v>461</v>
      </c>
      <c r="B32" s="7" t="s">
        <v>490</v>
      </c>
      <c r="C32" s="8" t="e">
        <f t="shared" ca="1" si="14"/>
        <v>#NAME?</v>
      </c>
      <c r="D32" s="8" t="e">
        <f t="shared" ca="1" si="15"/>
        <v>#NAME?</v>
      </c>
      <c r="E32" s="8" t="e">
        <f t="shared" ca="1" si="16"/>
        <v>#NAME?</v>
      </c>
      <c r="F32" s="8" t="e">
        <f t="shared" ca="1" si="17"/>
        <v>#NAME?</v>
      </c>
      <c r="G32" s="8" t="e">
        <f t="shared" ca="1" si="18"/>
        <v>#NAME?</v>
      </c>
      <c r="H32" s="8" t="e">
        <f t="shared" ca="1" si="19"/>
        <v>#NAME?</v>
      </c>
      <c r="I32" s="8" t="e">
        <f t="shared" ca="1" si="20"/>
        <v>#NAME?</v>
      </c>
      <c r="J32" s="8" t="e">
        <f t="shared" ca="1" si="21"/>
        <v>#NAME?</v>
      </c>
      <c r="K32" s="8" t="e">
        <f t="shared" ca="1" si="22"/>
        <v>#NAME?</v>
      </c>
      <c r="L32" s="8" t="e">
        <f t="shared" ca="1" si="23"/>
        <v>#NAME?</v>
      </c>
      <c r="M32" s="8" t="e">
        <f t="shared" ca="1" si="24"/>
        <v>#NAME?</v>
      </c>
      <c r="N32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23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603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604</v>
      </c>
    </row>
    <row r="6" spans="1:15" x14ac:dyDescent="0.35">
      <c r="A6" s="2" t="s">
        <v>15</v>
      </c>
      <c r="B6" s="5">
        <v>2026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300</v>
      </c>
      <c r="B11" s="7" t="s">
        <v>301</v>
      </c>
      <c r="C11" s="8" t="e">
        <f ca="1">EPM($B$5,$B$6,1,A11,"period_net_amount",$B$7)</f>
        <v>#NAME?</v>
      </c>
      <c r="D11" s="8" t="e">
        <f ca="1">EPM($B$5,$B$6,2,A11,"period_net_amount",$B$7)</f>
        <v>#NAME?</v>
      </c>
      <c r="E11" s="8" t="e">
        <f ca="1">EPM($B$5,$B$6,3,A11,"period_net_amount",$B$7)</f>
        <v>#NAME?</v>
      </c>
      <c r="F11" s="8" t="e">
        <f ca="1">EPM($B$5,$B$6,4,A11,"period_net_amount",$B$7)</f>
        <v>#NAME?</v>
      </c>
      <c r="G11" s="8" t="e">
        <f ca="1">EPM($B$5,$B$6,5,A11,"period_net_amount",$B$7)</f>
        <v>#NAME?</v>
      </c>
      <c r="H11" s="8" t="e">
        <f ca="1">EPM($B$5,$B$6,6,A11,"period_net_amount",$B$7)</f>
        <v>#NAME?</v>
      </c>
      <c r="I11" s="8" t="e">
        <f ca="1">EPM($B$5,$B$6,7,A11,"period_net_amount",$B$7)</f>
        <v>#NAME?</v>
      </c>
      <c r="J11" s="8" t="e">
        <f ca="1">EPM($B$5,$B$6,8,A11,"period_net_amount",$B$7)</f>
        <v>#NAME?</v>
      </c>
      <c r="K11" s="8" t="e">
        <f ca="1">EPM($B$5,$B$6,9,A11,"period_net_amount",$B$7)</f>
        <v>#NAME?</v>
      </c>
      <c r="L11" s="8" t="e">
        <f ca="1">EPM($B$5,$B$6,10,A11,"period_net_amount",$B$7)</f>
        <v>#NAME?</v>
      </c>
      <c r="M11" s="8" t="e">
        <f ca="1">EPM($B$5,$B$6,11,A11,"period_net_amount",$B$7)</f>
        <v>#NAME?</v>
      </c>
      <c r="N11" s="8" t="e">
        <f ca="1">EPM($B$5,$B$6,12,A11,"period_net_amount",$B$7)</f>
        <v>#NAME?</v>
      </c>
      <c r="O11" s="9" t="e">
        <f ca="1">SUM(C11:N11)</f>
        <v>#NAME?</v>
      </c>
    </row>
    <row r="12" spans="1:15" x14ac:dyDescent="0.35">
      <c r="A12" s="7" t="s">
        <v>34</v>
      </c>
      <c r="B12" s="7" t="s">
        <v>431</v>
      </c>
      <c r="C12" s="8" t="e">
        <f ca="1">EPM($B$5,$B$6,1,A12,"period_net_amount",$B$7)</f>
        <v>#NAME?</v>
      </c>
      <c r="D12" s="8" t="e">
        <f ca="1">EPM($B$5,$B$6,2,A12,"period_net_amount",$B$7)</f>
        <v>#NAME?</v>
      </c>
      <c r="E12" s="8" t="e">
        <f ca="1">EPM($B$5,$B$6,3,A12,"period_net_amount",$B$7)</f>
        <v>#NAME?</v>
      </c>
      <c r="F12" s="8" t="e">
        <f ca="1">EPM($B$5,$B$6,4,A12,"period_net_amount",$B$7)</f>
        <v>#NAME?</v>
      </c>
      <c r="G12" s="8" t="e">
        <f ca="1">EPM($B$5,$B$6,5,A12,"period_net_amount",$B$7)</f>
        <v>#NAME?</v>
      </c>
      <c r="H12" s="8" t="e">
        <f ca="1">EPM($B$5,$B$6,6,A12,"period_net_amount",$B$7)</f>
        <v>#NAME?</v>
      </c>
      <c r="I12" s="8" t="e">
        <f ca="1">EPM($B$5,$B$6,7,A12,"period_net_amount",$B$7)</f>
        <v>#NAME?</v>
      </c>
      <c r="J12" s="8" t="e">
        <f ca="1">EPM($B$5,$B$6,8,A12,"period_net_amount",$B$7)</f>
        <v>#NAME?</v>
      </c>
      <c r="K12" s="8" t="e">
        <f ca="1">EPM($B$5,$B$6,9,A12,"period_net_amount",$B$7)</f>
        <v>#NAME?</v>
      </c>
      <c r="L12" s="8" t="e">
        <f ca="1">EPM($B$5,$B$6,10,A12,"period_net_amount",$B$7)</f>
        <v>#NAME?</v>
      </c>
      <c r="M12" s="8" t="e">
        <f ca="1">EPM($B$5,$B$6,11,A12,"period_net_amount",$B$7)</f>
        <v>#NAME?</v>
      </c>
      <c r="N12" s="8" t="e">
        <f ca="1">EPM($B$5,$B$6,12,A12,"period_net_amount",$B$7)</f>
        <v>#NAME?</v>
      </c>
      <c r="O12" s="9" t="e">
        <f ca="1">SUM(C12:N12)</f>
        <v>#NAME?</v>
      </c>
    </row>
    <row r="13" spans="1:15" x14ac:dyDescent="0.35">
      <c r="A13" s="7" t="s">
        <v>52</v>
      </c>
      <c r="B13" s="7" t="s">
        <v>49</v>
      </c>
      <c r="C13" s="8" t="e">
        <f ca="1">EPM($B$5,$B$6,1,A13,"period_net_amount",$B$7)</f>
        <v>#NAME?</v>
      </c>
      <c r="D13" s="8" t="e">
        <f ca="1">EPM($B$5,$B$6,2,A13,"period_net_amount",$B$7)</f>
        <v>#NAME?</v>
      </c>
      <c r="E13" s="8" t="e">
        <f ca="1">EPM($B$5,$B$6,3,A13,"period_net_amount",$B$7)</f>
        <v>#NAME?</v>
      </c>
      <c r="F13" s="8" t="e">
        <f ca="1">EPM($B$5,$B$6,4,A13,"period_net_amount",$B$7)</f>
        <v>#NAME?</v>
      </c>
      <c r="G13" s="8" t="e">
        <f ca="1">EPM($B$5,$B$6,5,A13,"period_net_amount",$B$7)</f>
        <v>#NAME?</v>
      </c>
      <c r="H13" s="8" t="e">
        <f ca="1">EPM($B$5,$B$6,6,A13,"period_net_amount",$B$7)</f>
        <v>#NAME?</v>
      </c>
      <c r="I13" s="8" t="e">
        <f ca="1">EPM($B$5,$B$6,7,A13,"period_net_amount",$B$7)</f>
        <v>#NAME?</v>
      </c>
      <c r="J13" s="8" t="e">
        <f ca="1">EPM($B$5,$B$6,8,A13,"period_net_amount",$B$7)</f>
        <v>#NAME?</v>
      </c>
      <c r="K13" s="8" t="e">
        <f ca="1">EPM($B$5,$B$6,9,A13,"period_net_amount",$B$7)</f>
        <v>#NAME?</v>
      </c>
      <c r="L13" s="8" t="e">
        <f ca="1">EPM($B$5,$B$6,10,A13,"period_net_amount",$B$7)</f>
        <v>#NAME?</v>
      </c>
      <c r="M13" s="8" t="e">
        <f ca="1">EPM($B$5,$B$6,11,A13,"period_net_amount",$B$7)</f>
        <v>#NAME?</v>
      </c>
      <c r="N13" s="8" t="e">
        <f ca="1">EPM($B$5,$B$6,12,A13,"period_net_amount",$B$7)</f>
        <v>#NAME?</v>
      </c>
      <c r="O13" s="9" t="e">
        <f ca="1">SUM(C13:N13)</f>
        <v>#NAME?</v>
      </c>
    </row>
    <row r="14" spans="1:15" x14ac:dyDescent="0.35">
      <c r="A14" s="7" t="s">
        <v>44</v>
      </c>
      <c r="B14" s="7" t="s">
        <v>45</v>
      </c>
      <c r="C14" s="8" t="e">
        <f ca="1">EPM($B$5,$B$6,1,A14,"period_net_amount",$B$7)</f>
        <v>#NAME?</v>
      </c>
      <c r="D14" s="8" t="e">
        <f ca="1">EPM($B$5,$B$6,2,A14,"period_net_amount",$B$7)</f>
        <v>#NAME?</v>
      </c>
      <c r="E14" s="8" t="e">
        <f ca="1">EPM($B$5,$B$6,3,A14,"period_net_amount",$B$7)</f>
        <v>#NAME?</v>
      </c>
      <c r="F14" s="8" t="e">
        <f ca="1">EPM($B$5,$B$6,4,A14,"period_net_amount",$B$7)</f>
        <v>#NAME?</v>
      </c>
      <c r="G14" s="8" t="e">
        <f ca="1">EPM($B$5,$B$6,5,A14,"period_net_amount",$B$7)</f>
        <v>#NAME?</v>
      </c>
      <c r="H14" s="8" t="e">
        <f ca="1">EPM($B$5,$B$6,6,A14,"period_net_amount",$B$7)</f>
        <v>#NAME?</v>
      </c>
      <c r="I14" s="8" t="e">
        <f ca="1">EPM($B$5,$B$6,7,A14,"period_net_amount",$B$7)</f>
        <v>#NAME?</v>
      </c>
      <c r="J14" s="8" t="e">
        <f ca="1">EPM($B$5,$B$6,8,A14,"period_net_amount",$B$7)</f>
        <v>#NAME?</v>
      </c>
      <c r="K14" s="8" t="e">
        <f ca="1">EPM($B$5,$B$6,9,A14,"period_net_amount",$B$7)</f>
        <v>#NAME?</v>
      </c>
      <c r="L14" s="8" t="e">
        <f ca="1">EPM($B$5,$B$6,10,A14,"period_net_amount",$B$7)</f>
        <v>#NAME?</v>
      </c>
      <c r="M14" s="8" t="e">
        <f ca="1">EPM($B$5,$B$6,11,A14,"period_net_amount",$B$7)</f>
        <v>#NAME?</v>
      </c>
      <c r="N14" s="8" t="e">
        <f ca="1">EPM($B$5,$B$6,12,A14,"period_net_amount",$B$7)</f>
        <v>#NAME?</v>
      </c>
      <c r="O14" s="9" t="e">
        <f ca="1">SUM(C14:N14)</f>
        <v>#NAME?</v>
      </c>
    </row>
    <row r="15" spans="1:15" x14ac:dyDescent="0.35">
      <c r="A15" s="7" t="s">
        <v>605</v>
      </c>
      <c r="B15" s="7" t="s">
        <v>606</v>
      </c>
      <c r="C15" s="8" t="e">
        <f ca="1">EPM($B$5,$B$6,1,A15,"period_net_amount",$B$7)</f>
        <v>#NAME?</v>
      </c>
      <c r="D15" s="8" t="e">
        <f ca="1">EPM($B$5,$B$6,2,A15,"period_net_amount",$B$7)</f>
        <v>#NAME?</v>
      </c>
      <c r="E15" s="8" t="e">
        <f ca="1">EPM($B$5,$B$6,3,A15,"period_net_amount",$B$7)</f>
        <v>#NAME?</v>
      </c>
      <c r="F15" s="8" t="e">
        <f ca="1">EPM($B$5,$B$6,4,A15,"period_net_amount",$B$7)</f>
        <v>#NAME?</v>
      </c>
      <c r="G15" s="8" t="e">
        <f ca="1">EPM($B$5,$B$6,5,A15,"period_net_amount",$B$7)</f>
        <v>#NAME?</v>
      </c>
      <c r="H15" s="8" t="e">
        <f ca="1">EPM($B$5,$B$6,6,A15,"period_net_amount",$B$7)</f>
        <v>#NAME?</v>
      </c>
      <c r="I15" s="8" t="e">
        <f ca="1">EPM($B$5,$B$6,7,A15,"period_net_amount",$B$7)</f>
        <v>#NAME?</v>
      </c>
      <c r="J15" s="8" t="e">
        <f ca="1">EPM($B$5,$B$6,8,A15,"period_net_amount",$B$7)</f>
        <v>#NAME?</v>
      </c>
      <c r="K15" s="8" t="e">
        <f ca="1">EPM($B$5,$B$6,9,A15,"period_net_amount",$B$7)</f>
        <v>#NAME?</v>
      </c>
      <c r="L15" s="8" t="e">
        <f ca="1">EPM($B$5,$B$6,10,A15,"period_net_amount",$B$7)</f>
        <v>#NAME?</v>
      </c>
      <c r="M15" s="8" t="e">
        <f ca="1">EPM($B$5,$B$6,11,A15,"period_net_amount",$B$7)</f>
        <v>#NAME?</v>
      </c>
      <c r="N15" s="8" t="e">
        <f ca="1">EPM($B$5,$B$6,12,A15,"period_net_amount",$B$7)</f>
        <v>#NAME?</v>
      </c>
      <c r="O15" s="9" t="e">
        <f ca="1">SUM(C15:N15)</f>
        <v>#NAME?</v>
      </c>
    </row>
    <row r="16" spans="1:15" x14ac:dyDescent="0.35">
      <c r="B16" s="10" t="s">
        <v>57</v>
      </c>
      <c r="C16" s="11" t="e">
        <f t="shared" ref="C16:O16" ca="1" si="0">SUM(C11:C15)</f>
        <v>#NAME?</v>
      </c>
      <c r="D16" s="11" t="e">
        <f t="shared" ca="1" si="0"/>
        <v>#NAME?</v>
      </c>
      <c r="E16" s="11" t="e">
        <f t="shared" ca="1" si="0"/>
        <v>#NAME?</v>
      </c>
      <c r="F16" s="11" t="e">
        <f t="shared" ca="1" si="0"/>
        <v>#NAME?</v>
      </c>
      <c r="G16" s="11" t="e">
        <f t="shared" ca="1" si="0"/>
        <v>#NAME?</v>
      </c>
      <c r="H16" s="11" t="e">
        <f t="shared" ca="1" si="0"/>
        <v>#NAME?</v>
      </c>
      <c r="I16" s="11" t="e">
        <f t="shared" ca="1" si="0"/>
        <v>#NAME?</v>
      </c>
      <c r="J16" s="11" t="e">
        <f t="shared" ca="1" si="0"/>
        <v>#NAME?</v>
      </c>
      <c r="K16" s="11" t="e">
        <f t="shared" ca="1" si="0"/>
        <v>#NAME?</v>
      </c>
      <c r="L16" s="11" t="e">
        <f t="shared" ca="1" si="0"/>
        <v>#NAME?</v>
      </c>
      <c r="M16" s="11" t="e">
        <f t="shared" ca="1" si="0"/>
        <v>#NAME?</v>
      </c>
      <c r="N16" s="11" t="e">
        <f t="shared" ca="1" si="0"/>
        <v>#NAME?</v>
      </c>
      <c r="O16" s="11" t="e">
        <f t="shared" ca="1" si="0"/>
        <v>#NAME?</v>
      </c>
    </row>
    <row r="18" spans="1:14" ht="15.5" x14ac:dyDescent="0.35">
      <c r="A18" s="4" t="s">
        <v>58</v>
      </c>
    </row>
    <row r="19" spans="1:14" x14ac:dyDescent="0.35">
      <c r="A19" s="6" t="s">
        <v>19</v>
      </c>
      <c r="B19" s="6" t="s">
        <v>20</v>
      </c>
      <c r="C19" s="6" t="s">
        <v>21</v>
      </c>
      <c r="D19" s="6" t="s">
        <v>22</v>
      </c>
      <c r="E19" s="6" t="s">
        <v>23</v>
      </c>
      <c r="F19" s="6" t="s">
        <v>24</v>
      </c>
      <c r="G19" s="6" t="s">
        <v>25</v>
      </c>
      <c r="H19" s="6" t="s">
        <v>26</v>
      </c>
      <c r="I19" s="6" t="s">
        <v>27</v>
      </c>
      <c r="J19" s="6" t="s">
        <v>28</v>
      </c>
      <c r="K19" s="6" t="s">
        <v>29</v>
      </c>
      <c r="L19" s="6" t="s">
        <v>30</v>
      </c>
      <c r="M19" s="6" t="s">
        <v>31</v>
      </c>
      <c r="N19" s="6" t="s">
        <v>32</v>
      </c>
    </row>
    <row r="20" spans="1:14" x14ac:dyDescent="0.35">
      <c r="A20" s="7" t="s">
        <v>206</v>
      </c>
      <c r="B20" s="7" t="s">
        <v>207</v>
      </c>
      <c r="C20" s="8" t="e">
        <f ca="1">EPM($B$5,$B$6,1,A20,"period_net_amount",$B$7)</f>
        <v>#NAME?</v>
      </c>
      <c r="D20" s="8" t="e">
        <f ca="1">EPM($B$5,$B$6,2,A20,"period_net_amount",$B$7)</f>
        <v>#NAME?</v>
      </c>
      <c r="E20" s="8" t="e">
        <f ca="1">EPM($B$5,$B$6,3,A20,"period_net_amount",$B$7)</f>
        <v>#NAME?</v>
      </c>
      <c r="F20" s="8" t="e">
        <f ca="1">EPM($B$5,$B$6,4,A20,"period_net_amount",$B$7)</f>
        <v>#NAME?</v>
      </c>
      <c r="G20" s="8" t="e">
        <f ca="1">EPM($B$5,$B$6,5,A20,"period_net_amount",$B$7)</f>
        <v>#NAME?</v>
      </c>
      <c r="H20" s="8" t="e">
        <f ca="1">EPM($B$5,$B$6,6,A20,"period_net_amount",$B$7)</f>
        <v>#NAME?</v>
      </c>
      <c r="I20" s="8" t="e">
        <f ca="1">EPM($B$5,$B$6,7,A20,"period_net_amount",$B$7)</f>
        <v>#NAME?</v>
      </c>
      <c r="J20" s="8" t="e">
        <f ca="1">EPM($B$5,$B$6,8,A20,"period_net_amount",$B$7)</f>
        <v>#NAME?</v>
      </c>
      <c r="K20" s="8" t="e">
        <f ca="1">EPM($B$5,$B$6,9,A20,"period_net_amount",$B$7)</f>
        <v>#NAME?</v>
      </c>
      <c r="L20" s="8" t="e">
        <f ca="1">EPM($B$5,$B$6,10,A20,"period_net_amount",$B$7)</f>
        <v>#NAME?</v>
      </c>
      <c r="M20" s="8" t="e">
        <f ca="1">EPM($B$5,$B$6,11,A20,"period_net_amount",$B$7)</f>
        <v>#NAME?</v>
      </c>
      <c r="N20" s="8" t="e">
        <f ca="1">EPM($B$5,$B$6,12,A20,"period_net_amount",$B$7)</f>
        <v>#NAME?</v>
      </c>
    </row>
    <row r="21" spans="1:14" x14ac:dyDescent="0.35">
      <c r="A21" s="7" t="s">
        <v>59</v>
      </c>
      <c r="B21" s="7" t="s">
        <v>60</v>
      </c>
      <c r="C21" s="8" t="e">
        <f ca="1">EPM($B$5,$B$6,1,A21,"period_net_amount",$B$7)</f>
        <v>#NAME?</v>
      </c>
      <c r="D21" s="8" t="e">
        <f ca="1">EPM($B$5,$B$6,2,A21,"period_net_amount",$B$7)</f>
        <v>#NAME?</v>
      </c>
      <c r="E21" s="8" t="e">
        <f ca="1">EPM($B$5,$B$6,3,A21,"period_net_amount",$B$7)</f>
        <v>#NAME?</v>
      </c>
      <c r="F21" s="8" t="e">
        <f ca="1">EPM($B$5,$B$6,4,A21,"period_net_amount",$B$7)</f>
        <v>#NAME?</v>
      </c>
      <c r="G21" s="8" t="e">
        <f ca="1">EPM($B$5,$B$6,5,A21,"period_net_amount",$B$7)</f>
        <v>#NAME?</v>
      </c>
      <c r="H21" s="8" t="e">
        <f ca="1">EPM($B$5,$B$6,6,A21,"period_net_amount",$B$7)</f>
        <v>#NAME?</v>
      </c>
      <c r="I21" s="8" t="e">
        <f ca="1">EPM($B$5,$B$6,7,A21,"period_net_amount",$B$7)</f>
        <v>#NAME?</v>
      </c>
      <c r="J21" s="8" t="e">
        <f ca="1">EPM($B$5,$B$6,8,A21,"period_net_amount",$B$7)</f>
        <v>#NAME?</v>
      </c>
      <c r="K21" s="8" t="e">
        <f ca="1">EPM($B$5,$B$6,9,A21,"period_net_amount",$B$7)</f>
        <v>#NAME?</v>
      </c>
      <c r="L21" s="8" t="e">
        <f ca="1">EPM($B$5,$B$6,10,A21,"period_net_amount",$B$7)</f>
        <v>#NAME?</v>
      </c>
      <c r="M21" s="8" t="e">
        <f ca="1">EPM($B$5,$B$6,11,A21,"period_net_amount",$B$7)</f>
        <v>#NAME?</v>
      </c>
      <c r="N21" s="8" t="e">
        <f ca="1">EPM($B$5,$B$6,12,A21,"period_net_amount",$B$7)</f>
        <v>#NAME?</v>
      </c>
    </row>
    <row r="22" spans="1:14" x14ac:dyDescent="0.35">
      <c r="A22" s="7" t="s">
        <v>61</v>
      </c>
      <c r="B22" s="7" t="s">
        <v>205</v>
      </c>
      <c r="C22" s="8" t="e">
        <f ca="1">EPM($B$5,$B$6,1,A22,"period_net_amount",$B$7)</f>
        <v>#NAME?</v>
      </c>
      <c r="D22" s="8" t="e">
        <f ca="1">EPM($B$5,$B$6,2,A22,"period_net_amount",$B$7)</f>
        <v>#NAME?</v>
      </c>
      <c r="E22" s="8" t="e">
        <f ca="1">EPM($B$5,$B$6,3,A22,"period_net_amount",$B$7)</f>
        <v>#NAME?</v>
      </c>
      <c r="F22" s="8" t="e">
        <f ca="1">EPM($B$5,$B$6,4,A22,"period_net_amount",$B$7)</f>
        <v>#NAME?</v>
      </c>
      <c r="G22" s="8" t="e">
        <f ca="1">EPM($B$5,$B$6,5,A22,"period_net_amount",$B$7)</f>
        <v>#NAME?</v>
      </c>
      <c r="H22" s="8" t="e">
        <f ca="1">EPM($B$5,$B$6,6,A22,"period_net_amount",$B$7)</f>
        <v>#NAME?</v>
      </c>
      <c r="I22" s="8" t="e">
        <f ca="1">EPM($B$5,$B$6,7,A22,"period_net_amount",$B$7)</f>
        <v>#NAME?</v>
      </c>
      <c r="J22" s="8" t="e">
        <f ca="1">EPM($B$5,$B$6,8,A22,"period_net_amount",$B$7)</f>
        <v>#NAME?</v>
      </c>
      <c r="K22" s="8" t="e">
        <f ca="1">EPM($B$5,$B$6,9,A22,"period_net_amount",$B$7)</f>
        <v>#NAME?</v>
      </c>
      <c r="L22" s="8" t="e">
        <f ca="1">EPM($B$5,$B$6,10,A22,"period_net_amount",$B$7)</f>
        <v>#NAME?</v>
      </c>
      <c r="M22" s="8" t="e">
        <f ca="1">EPM($B$5,$B$6,11,A22,"period_net_amount",$B$7)</f>
        <v>#NAME?</v>
      </c>
      <c r="N22" s="8" t="e">
        <f ca="1">EPM($B$5,$B$6,12,A22,"period_net_amount",$B$7)</f>
        <v>#NAME?</v>
      </c>
    </row>
    <row r="23" spans="1:14" x14ac:dyDescent="0.35">
      <c r="A23" s="7" t="s">
        <v>607</v>
      </c>
      <c r="B23" s="7" t="s">
        <v>608</v>
      </c>
      <c r="C23" s="8" t="e">
        <f ca="1">EPM($B$5,$B$6,1,A23,"period_net_amount",$B$7)</f>
        <v>#NAME?</v>
      </c>
      <c r="D23" s="8" t="e">
        <f ca="1">EPM($B$5,$B$6,2,A23,"period_net_amount",$B$7)</f>
        <v>#NAME?</v>
      </c>
      <c r="E23" s="8" t="e">
        <f ca="1">EPM($B$5,$B$6,3,A23,"period_net_amount",$B$7)</f>
        <v>#NAME?</v>
      </c>
      <c r="F23" s="8" t="e">
        <f ca="1">EPM($B$5,$B$6,4,A23,"period_net_amount",$B$7)</f>
        <v>#NAME?</v>
      </c>
      <c r="G23" s="8" t="e">
        <f ca="1">EPM($B$5,$B$6,5,A23,"period_net_amount",$B$7)</f>
        <v>#NAME?</v>
      </c>
      <c r="H23" s="8" t="e">
        <f ca="1">EPM($B$5,$B$6,6,A23,"period_net_amount",$B$7)</f>
        <v>#NAME?</v>
      </c>
      <c r="I23" s="8" t="e">
        <f ca="1">EPM($B$5,$B$6,7,A23,"period_net_amount",$B$7)</f>
        <v>#NAME?</v>
      </c>
      <c r="J23" s="8" t="e">
        <f ca="1">EPM($B$5,$B$6,8,A23,"period_net_amount",$B$7)</f>
        <v>#NAME?</v>
      </c>
      <c r="K23" s="8" t="e">
        <f ca="1">EPM($B$5,$B$6,9,A23,"period_net_amount",$B$7)</f>
        <v>#NAME?</v>
      </c>
      <c r="L23" s="8" t="e">
        <f ca="1">EPM($B$5,$B$6,10,A23,"period_net_amount",$B$7)</f>
        <v>#NAME?</v>
      </c>
      <c r="M23" s="8" t="e">
        <f ca="1">EPM($B$5,$B$6,11,A23,"period_net_amount",$B$7)</f>
        <v>#NAME?</v>
      </c>
      <c r="N23" s="8" t="e">
        <f ca="1">EPM($B$5,$B$6,12,A23,"period_net_amount",$B$7)</f>
        <v>#NAME?</v>
      </c>
    </row>
  </sheetData>
  <mergeCells count="1">
    <mergeCell ref="A1:O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32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609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610</v>
      </c>
    </row>
    <row r="6" spans="1:15" x14ac:dyDescent="0.35">
      <c r="A6" s="2" t="s">
        <v>15</v>
      </c>
      <c r="B6" s="5">
        <v>2015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611</v>
      </c>
      <c r="B11" s="7" t="s">
        <v>612</v>
      </c>
      <c r="C11" s="8" t="e">
        <f t="shared" ref="C11:C22" ca="1" si="0">EPM($B$5,$B$6,1,A11,"period_net_amount",$B$7)</f>
        <v>#NAME?</v>
      </c>
      <c r="D11" s="8" t="e">
        <f t="shared" ref="D11:D22" ca="1" si="1">EPM($B$5,$B$6,2,A11,"period_net_amount",$B$7)</f>
        <v>#NAME?</v>
      </c>
      <c r="E11" s="8" t="e">
        <f t="shared" ref="E11:E22" ca="1" si="2">EPM($B$5,$B$6,3,A11,"period_net_amount",$B$7)</f>
        <v>#NAME?</v>
      </c>
      <c r="F11" s="8" t="e">
        <f t="shared" ref="F11:F22" ca="1" si="3">EPM($B$5,$B$6,4,A11,"period_net_amount",$B$7)</f>
        <v>#NAME?</v>
      </c>
      <c r="G11" s="8" t="e">
        <f t="shared" ref="G11:G22" ca="1" si="4">EPM($B$5,$B$6,5,A11,"period_net_amount",$B$7)</f>
        <v>#NAME?</v>
      </c>
      <c r="H11" s="8" t="e">
        <f t="shared" ref="H11:H22" ca="1" si="5">EPM($B$5,$B$6,6,A11,"period_net_amount",$B$7)</f>
        <v>#NAME?</v>
      </c>
      <c r="I11" s="8" t="e">
        <f t="shared" ref="I11:I22" ca="1" si="6">EPM($B$5,$B$6,7,A11,"period_net_amount",$B$7)</f>
        <v>#NAME?</v>
      </c>
      <c r="J11" s="8" t="e">
        <f t="shared" ref="J11:J22" ca="1" si="7">EPM($B$5,$B$6,8,A11,"period_net_amount",$B$7)</f>
        <v>#NAME?</v>
      </c>
      <c r="K11" s="8" t="e">
        <f t="shared" ref="K11:K22" ca="1" si="8">EPM($B$5,$B$6,9,A11,"period_net_amount",$B$7)</f>
        <v>#NAME?</v>
      </c>
      <c r="L11" s="8" t="e">
        <f t="shared" ref="L11:L22" ca="1" si="9">EPM($B$5,$B$6,10,A11,"period_net_amount",$B$7)</f>
        <v>#NAME?</v>
      </c>
      <c r="M11" s="8" t="e">
        <f t="shared" ref="M11:M22" ca="1" si="10">EPM($B$5,$B$6,11,A11,"period_net_amount",$B$7)</f>
        <v>#NAME?</v>
      </c>
      <c r="N11" s="8" t="e">
        <f t="shared" ref="N11:N22" ca="1" si="11">EPM($B$5,$B$6,12,A11,"period_net_amount",$B$7)</f>
        <v>#NAME?</v>
      </c>
      <c r="O11" s="9" t="e">
        <f t="shared" ref="O11:O22" ca="1" si="12">SUM(C11:N11)</f>
        <v>#NAME?</v>
      </c>
    </row>
    <row r="12" spans="1:15" x14ac:dyDescent="0.35">
      <c r="A12" s="7" t="s">
        <v>613</v>
      </c>
      <c r="B12" s="7" t="s">
        <v>614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615</v>
      </c>
      <c r="B13" s="7" t="s">
        <v>616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617</v>
      </c>
      <c r="B14" s="7" t="s">
        <v>618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619</v>
      </c>
      <c r="B15" s="7" t="s">
        <v>620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621</v>
      </c>
      <c r="B16" s="7" t="s">
        <v>622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623</v>
      </c>
      <c r="B17" s="7" t="s">
        <v>624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A18" s="7" t="s">
        <v>625</v>
      </c>
      <c r="B18" s="7" t="s">
        <v>626</v>
      </c>
      <c r="C18" s="8" t="e">
        <f t="shared" ca="1" si="0"/>
        <v>#NAME?</v>
      </c>
      <c r="D18" s="8" t="e">
        <f t="shared" ca="1" si="1"/>
        <v>#NAME?</v>
      </c>
      <c r="E18" s="8" t="e">
        <f t="shared" ca="1" si="2"/>
        <v>#NAME?</v>
      </c>
      <c r="F18" s="8" t="e">
        <f t="shared" ca="1" si="3"/>
        <v>#NAME?</v>
      </c>
      <c r="G18" s="8" t="e">
        <f t="shared" ca="1" si="4"/>
        <v>#NAME?</v>
      </c>
      <c r="H18" s="8" t="e">
        <f t="shared" ca="1" si="5"/>
        <v>#NAME?</v>
      </c>
      <c r="I18" s="8" t="e">
        <f t="shared" ca="1" si="6"/>
        <v>#NAME?</v>
      </c>
      <c r="J18" s="8" t="e">
        <f t="shared" ca="1" si="7"/>
        <v>#NAME?</v>
      </c>
      <c r="K18" s="8" t="e">
        <f t="shared" ca="1" si="8"/>
        <v>#NAME?</v>
      </c>
      <c r="L18" s="8" t="e">
        <f t="shared" ca="1" si="9"/>
        <v>#NAME?</v>
      </c>
      <c r="M18" s="8" t="e">
        <f t="shared" ca="1" si="10"/>
        <v>#NAME?</v>
      </c>
      <c r="N18" s="8" t="e">
        <f t="shared" ca="1" si="11"/>
        <v>#NAME?</v>
      </c>
      <c r="O18" s="9" t="e">
        <f t="shared" ca="1" si="12"/>
        <v>#NAME?</v>
      </c>
    </row>
    <row r="19" spans="1:15" x14ac:dyDescent="0.35">
      <c r="A19" s="7" t="s">
        <v>627</v>
      </c>
      <c r="B19" s="7" t="s">
        <v>628</v>
      </c>
      <c r="C19" s="8" t="e">
        <f t="shared" ca="1" si="0"/>
        <v>#NAME?</v>
      </c>
      <c r="D19" s="8" t="e">
        <f t="shared" ca="1" si="1"/>
        <v>#NAME?</v>
      </c>
      <c r="E19" s="8" t="e">
        <f t="shared" ca="1" si="2"/>
        <v>#NAME?</v>
      </c>
      <c r="F19" s="8" t="e">
        <f t="shared" ca="1" si="3"/>
        <v>#NAME?</v>
      </c>
      <c r="G19" s="8" t="e">
        <f t="shared" ca="1" si="4"/>
        <v>#NAME?</v>
      </c>
      <c r="H19" s="8" t="e">
        <f t="shared" ca="1" si="5"/>
        <v>#NAME?</v>
      </c>
      <c r="I19" s="8" t="e">
        <f t="shared" ca="1" si="6"/>
        <v>#NAME?</v>
      </c>
      <c r="J19" s="8" t="e">
        <f t="shared" ca="1" si="7"/>
        <v>#NAME?</v>
      </c>
      <c r="K19" s="8" t="e">
        <f t="shared" ca="1" si="8"/>
        <v>#NAME?</v>
      </c>
      <c r="L19" s="8" t="e">
        <f t="shared" ca="1" si="9"/>
        <v>#NAME?</v>
      </c>
      <c r="M19" s="8" t="e">
        <f t="shared" ca="1" si="10"/>
        <v>#NAME?</v>
      </c>
      <c r="N19" s="8" t="e">
        <f t="shared" ca="1" si="11"/>
        <v>#NAME?</v>
      </c>
      <c r="O19" s="9" t="e">
        <f t="shared" ca="1" si="12"/>
        <v>#NAME?</v>
      </c>
    </row>
    <row r="20" spans="1:15" x14ac:dyDescent="0.35">
      <c r="A20" s="7" t="s">
        <v>629</v>
      </c>
      <c r="B20" s="7" t="s">
        <v>630</v>
      </c>
      <c r="C20" s="8" t="e">
        <f t="shared" ca="1" si="0"/>
        <v>#NAME?</v>
      </c>
      <c r="D20" s="8" t="e">
        <f t="shared" ca="1" si="1"/>
        <v>#NAME?</v>
      </c>
      <c r="E20" s="8" t="e">
        <f t="shared" ca="1" si="2"/>
        <v>#NAME?</v>
      </c>
      <c r="F20" s="8" t="e">
        <f t="shared" ca="1" si="3"/>
        <v>#NAME?</v>
      </c>
      <c r="G20" s="8" t="e">
        <f t="shared" ca="1" si="4"/>
        <v>#NAME?</v>
      </c>
      <c r="H20" s="8" t="e">
        <f t="shared" ca="1" si="5"/>
        <v>#NAME?</v>
      </c>
      <c r="I20" s="8" t="e">
        <f t="shared" ca="1" si="6"/>
        <v>#NAME?</v>
      </c>
      <c r="J20" s="8" t="e">
        <f t="shared" ca="1" si="7"/>
        <v>#NAME?</v>
      </c>
      <c r="K20" s="8" t="e">
        <f t="shared" ca="1" si="8"/>
        <v>#NAME?</v>
      </c>
      <c r="L20" s="8" t="e">
        <f t="shared" ca="1" si="9"/>
        <v>#NAME?</v>
      </c>
      <c r="M20" s="8" t="e">
        <f t="shared" ca="1" si="10"/>
        <v>#NAME?</v>
      </c>
      <c r="N20" s="8" t="e">
        <f t="shared" ca="1" si="11"/>
        <v>#NAME?</v>
      </c>
      <c r="O20" s="9" t="e">
        <f t="shared" ca="1" si="12"/>
        <v>#NAME?</v>
      </c>
    </row>
    <row r="21" spans="1:15" x14ac:dyDescent="0.35">
      <c r="A21" s="7" t="s">
        <v>631</v>
      </c>
      <c r="B21" s="7" t="s">
        <v>632</v>
      </c>
      <c r="C21" s="8" t="e">
        <f t="shared" ca="1" si="0"/>
        <v>#NAME?</v>
      </c>
      <c r="D21" s="8" t="e">
        <f t="shared" ca="1" si="1"/>
        <v>#NAME?</v>
      </c>
      <c r="E21" s="8" t="e">
        <f t="shared" ca="1" si="2"/>
        <v>#NAME?</v>
      </c>
      <c r="F21" s="8" t="e">
        <f t="shared" ca="1" si="3"/>
        <v>#NAME?</v>
      </c>
      <c r="G21" s="8" t="e">
        <f t="shared" ca="1" si="4"/>
        <v>#NAME?</v>
      </c>
      <c r="H21" s="8" t="e">
        <f t="shared" ca="1" si="5"/>
        <v>#NAME?</v>
      </c>
      <c r="I21" s="8" t="e">
        <f t="shared" ca="1" si="6"/>
        <v>#NAME?</v>
      </c>
      <c r="J21" s="8" t="e">
        <f t="shared" ca="1" si="7"/>
        <v>#NAME?</v>
      </c>
      <c r="K21" s="8" t="e">
        <f t="shared" ca="1" si="8"/>
        <v>#NAME?</v>
      </c>
      <c r="L21" s="8" t="e">
        <f t="shared" ca="1" si="9"/>
        <v>#NAME?</v>
      </c>
      <c r="M21" s="8" t="e">
        <f t="shared" ca="1" si="10"/>
        <v>#NAME?</v>
      </c>
      <c r="N21" s="8" t="e">
        <f t="shared" ca="1" si="11"/>
        <v>#NAME?</v>
      </c>
      <c r="O21" s="9" t="e">
        <f t="shared" ca="1" si="12"/>
        <v>#NAME?</v>
      </c>
    </row>
    <row r="22" spans="1:15" x14ac:dyDescent="0.35">
      <c r="A22" s="7" t="s">
        <v>633</v>
      </c>
      <c r="B22" s="7" t="s">
        <v>634</v>
      </c>
      <c r="C22" s="8" t="e">
        <f t="shared" ca="1" si="0"/>
        <v>#NAME?</v>
      </c>
      <c r="D22" s="8" t="e">
        <f t="shared" ca="1" si="1"/>
        <v>#NAME?</v>
      </c>
      <c r="E22" s="8" t="e">
        <f t="shared" ca="1" si="2"/>
        <v>#NAME?</v>
      </c>
      <c r="F22" s="8" t="e">
        <f t="shared" ca="1" si="3"/>
        <v>#NAME?</v>
      </c>
      <c r="G22" s="8" t="e">
        <f t="shared" ca="1" si="4"/>
        <v>#NAME?</v>
      </c>
      <c r="H22" s="8" t="e">
        <f t="shared" ca="1" si="5"/>
        <v>#NAME?</v>
      </c>
      <c r="I22" s="8" t="e">
        <f t="shared" ca="1" si="6"/>
        <v>#NAME?</v>
      </c>
      <c r="J22" s="8" t="e">
        <f t="shared" ca="1" si="7"/>
        <v>#NAME?</v>
      </c>
      <c r="K22" s="8" t="e">
        <f t="shared" ca="1" si="8"/>
        <v>#NAME?</v>
      </c>
      <c r="L22" s="8" t="e">
        <f t="shared" ca="1" si="9"/>
        <v>#NAME?</v>
      </c>
      <c r="M22" s="8" t="e">
        <f t="shared" ca="1" si="10"/>
        <v>#NAME?</v>
      </c>
      <c r="N22" s="8" t="e">
        <f t="shared" ca="1" si="11"/>
        <v>#NAME?</v>
      </c>
      <c r="O22" s="9" t="e">
        <f t="shared" ca="1" si="12"/>
        <v>#NAME?</v>
      </c>
    </row>
    <row r="23" spans="1:15" x14ac:dyDescent="0.35">
      <c r="B23" s="10" t="s">
        <v>57</v>
      </c>
      <c r="C23" s="11" t="e">
        <f t="shared" ref="C23:O23" ca="1" si="13">SUM(C11:C22)</f>
        <v>#NAME?</v>
      </c>
      <c r="D23" s="11" t="e">
        <f t="shared" ca="1" si="13"/>
        <v>#NAME?</v>
      </c>
      <c r="E23" s="11" t="e">
        <f t="shared" ca="1" si="13"/>
        <v>#NAME?</v>
      </c>
      <c r="F23" s="11" t="e">
        <f t="shared" ca="1" si="13"/>
        <v>#NAME?</v>
      </c>
      <c r="G23" s="11" t="e">
        <f t="shared" ca="1" si="13"/>
        <v>#NAME?</v>
      </c>
      <c r="H23" s="11" t="e">
        <f t="shared" ca="1" si="13"/>
        <v>#NAME?</v>
      </c>
      <c r="I23" s="11" t="e">
        <f t="shared" ca="1" si="13"/>
        <v>#NAME?</v>
      </c>
      <c r="J23" s="11" t="e">
        <f t="shared" ca="1" si="13"/>
        <v>#NAME?</v>
      </c>
      <c r="K23" s="11" t="e">
        <f t="shared" ca="1" si="13"/>
        <v>#NAME?</v>
      </c>
      <c r="L23" s="11" t="e">
        <f t="shared" ca="1" si="13"/>
        <v>#NAME?</v>
      </c>
      <c r="M23" s="11" t="e">
        <f t="shared" ca="1" si="13"/>
        <v>#NAME?</v>
      </c>
      <c r="N23" s="11" t="e">
        <f t="shared" ca="1" si="13"/>
        <v>#NAME?</v>
      </c>
      <c r="O23" s="11" t="e">
        <f t="shared" ca="1" si="13"/>
        <v>#NAME?</v>
      </c>
    </row>
    <row r="25" spans="1:15" ht="15.5" x14ac:dyDescent="0.35">
      <c r="A25" s="4" t="s">
        <v>58</v>
      </c>
    </row>
    <row r="26" spans="1:15" x14ac:dyDescent="0.35">
      <c r="A26" s="6" t="s">
        <v>19</v>
      </c>
      <c r="B26" s="6" t="s">
        <v>20</v>
      </c>
      <c r="C26" s="6" t="s">
        <v>21</v>
      </c>
      <c r="D26" s="6" t="s">
        <v>22</v>
      </c>
      <c r="E26" s="6" t="s">
        <v>23</v>
      </c>
      <c r="F26" s="6" t="s">
        <v>24</v>
      </c>
      <c r="G26" s="6" t="s">
        <v>25</v>
      </c>
      <c r="H26" s="6" t="s">
        <v>26</v>
      </c>
      <c r="I26" s="6" t="s">
        <v>27</v>
      </c>
      <c r="J26" s="6" t="s">
        <v>28</v>
      </c>
      <c r="K26" s="6" t="s">
        <v>29</v>
      </c>
      <c r="L26" s="6" t="s">
        <v>30</v>
      </c>
      <c r="M26" s="6" t="s">
        <v>31</v>
      </c>
      <c r="N26" s="6" t="s">
        <v>32</v>
      </c>
    </row>
    <row r="27" spans="1:15" x14ac:dyDescent="0.35">
      <c r="A27" s="7" t="s">
        <v>635</v>
      </c>
      <c r="B27" s="7" t="s">
        <v>636</v>
      </c>
      <c r="C27" s="8" t="e">
        <f t="shared" ref="C27:C32" ca="1" si="14">EPM($B$5,$B$6,1,A27,"period_net_amount",$B$7)</f>
        <v>#NAME?</v>
      </c>
      <c r="D27" s="8" t="e">
        <f t="shared" ref="D27:D32" ca="1" si="15">EPM($B$5,$B$6,2,A27,"period_net_amount",$B$7)</f>
        <v>#NAME?</v>
      </c>
      <c r="E27" s="8" t="e">
        <f t="shared" ref="E27:E32" ca="1" si="16">EPM($B$5,$B$6,3,A27,"period_net_amount",$B$7)</f>
        <v>#NAME?</v>
      </c>
      <c r="F27" s="8" t="e">
        <f t="shared" ref="F27:F32" ca="1" si="17">EPM($B$5,$B$6,4,A27,"period_net_amount",$B$7)</f>
        <v>#NAME?</v>
      </c>
      <c r="G27" s="8" t="e">
        <f t="shared" ref="G27:G32" ca="1" si="18">EPM($B$5,$B$6,5,A27,"period_net_amount",$B$7)</f>
        <v>#NAME?</v>
      </c>
      <c r="H27" s="8" t="e">
        <f t="shared" ref="H27:H32" ca="1" si="19">EPM($B$5,$B$6,6,A27,"period_net_amount",$B$7)</f>
        <v>#NAME?</v>
      </c>
      <c r="I27" s="8" t="e">
        <f t="shared" ref="I27:I32" ca="1" si="20">EPM($B$5,$B$6,7,A27,"period_net_amount",$B$7)</f>
        <v>#NAME?</v>
      </c>
      <c r="J27" s="8" t="e">
        <f t="shared" ref="J27:J32" ca="1" si="21">EPM($B$5,$B$6,8,A27,"period_net_amount",$B$7)</f>
        <v>#NAME?</v>
      </c>
      <c r="K27" s="8" t="e">
        <f t="shared" ref="K27:K32" ca="1" si="22">EPM($B$5,$B$6,9,A27,"period_net_amount",$B$7)</f>
        <v>#NAME?</v>
      </c>
      <c r="L27" s="8" t="e">
        <f t="shared" ref="L27:L32" ca="1" si="23">EPM($B$5,$B$6,10,A27,"period_net_amount",$B$7)</f>
        <v>#NAME?</v>
      </c>
      <c r="M27" s="8" t="e">
        <f t="shared" ref="M27:M32" ca="1" si="24">EPM($B$5,$B$6,11,A27,"period_net_amount",$B$7)</f>
        <v>#NAME?</v>
      </c>
      <c r="N27" s="8" t="e">
        <f t="shared" ref="N27:N32" ca="1" si="25">EPM($B$5,$B$6,12,A27,"period_net_amount",$B$7)</f>
        <v>#NAME?</v>
      </c>
    </row>
    <row r="28" spans="1:15" x14ac:dyDescent="0.35">
      <c r="A28" s="7" t="s">
        <v>637</v>
      </c>
      <c r="B28" s="7" t="s">
        <v>638</v>
      </c>
      <c r="C28" s="8" t="e">
        <f t="shared" ca="1" si="14"/>
        <v>#NAME?</v>
      </c>
      <c r="D28" s="8" t="e">
        <f t="shared" ca="1" si="15"/>
        <v>#NAME?</v>
      </c>
      <c r="E28" s="8" t="e">
        <f t="shared" ca="1" si="16"/>
        <v>#NAME?</v>
      </c>
      <c r="F28" s="8" t="e">
        <f t="shared" ca="1" si="17"/>
        <v>#NAME?</v>
      </c>
      <c r="G28" s="8" t="e">
        <f t="shared" ca="1" si="18"/>
        <v>#NAME?</v>
      </c>
      <c r="H28" s="8" t="e">
        <f t="shared" ca="1" si="19"/>
        <v>#NAME?</v>
      </c>
      <c r="I28" s="8" t="e">
        <f t="shared" ca="1" si="20"/>
        <v>#NAME?</v>
      </c>
      <c r="J28" s="8" t="e">
        <f t="shared" ca="1" si="21"/>
        <v>#NAME?</v>
      </c>
      <c r="K28" s="8" t="e">
        <f t="shared" ca="1" si="22"/>
        <v>#NAME?</v>
      </c>
      <c r="L28" s="8" t="e">
        <f t="shared" ca="1" si="23"/>
        <v>#NAME?</v>
      </c>
      <c r="M28" s="8" t="e">
        <f t="shared" ca="1" si="24"/>
        <v>#NAME?</v>
      </c>
      <c r="N28" s="8" t="e">
        <f t="shared" ca="1" si="25"/>
        <v>#NAME?</v>
      </c>
    </row>
    <row r="29" spans="1:15" x14ac:dyDescent="0.35">
      <c r="A29" s="7" t="s">
        <v>639</v>
      </c>
      <c r="B29" s="7" t="s">
        <v>640</v>
      </c>
      <c r="C29" s="8" t="e">
        <f t="shared" ca="1" si="14"/>
        <v>#NAME?</v>
      </c>
      <c r="D29" s="8" t="e">
        <f t="shared" ca="1" si="15"/>
        <v>#NAME?</v>
      </c>
      <c r="E29" s="8" t="e">
        <f t="shared" ca="1" si="16"/>
        <v>#NAME?</v>
      </c>
      <c r="F29" s="8" t="e">
        <f t="shared" ca="1" si="17"/>
        <v>#NAME?</v>
      </c>
      <c r="G29" s="8" t="e">
        <f t="shared" ca="1" si="18"/>
        <v>#NAME?</v>
      </c>
      <c r="H29" s="8" t="e">
        <f t="shared" ca="1" si="19"/>
        <v>#NAME?</v>
      </c>
      <c r="I29" s="8" t="e">
        <f t="shared" ca="1" si="20"/>
        <v>#NAME?</v>
      </c>
      <c r="J29" s="8" t="e">
        <f t="shared" ca="1" si="21"/>
        <v>#NAME?</v>
      </c>
      <c r="K29" s="8" t="e">
        <f t="shared" ca="1" si="22"/>
        <v>#NAME?</v>
      </c>
      <c r="L29" s="8" t="e">
        <f t="shared" ca="1" si="23"/>
        <v>#NAME?</v>
      </c>
      <c r="M29" s="8" t="e">
        <f t="shared" ca="1" si="24"/>
        <v>#NAME?</v>
      </c>
      <c r="N29" s="8" t="e">
        <f t="shared" ca="1" si="25"/>
        <v>#NAME?</v>
      </c>
    </row>
    <row r="30" spans="1:15" x14ac:dyDescent="0.35">
      <c r="A30" s="7" t="s">
        <v>641</v>
      </c>
      <c r="B30" s="7" t="s">
        <v>642</v>
      </c>
      <c r="C30" s="8" t="e">
        <f t="shared" ca="1" si="14"/>
        <v>#NAME?</v>
      </c>
      <c r="D30" s="8" t="e">
        <f t="shared" ca="1" si="15"/>
        <v>#NAME?</v>
      </c>
      <c r="E30" s="8" t="e">
        <f t="shared" ca="1" si="16"/>
        <v>#NAME?</v>
      </c>
      <c r="F30" s="8" t="e">
        <f t="shared" ca="1" si="17"/>
        <v>#NAME?</v>
      </c>
      <c r="G30" s="8" t="e">
        <f t="shared" ca="1" si="18"/>
        <v>#NAME?</v>
      </c>
      <c r="H30" s="8" t="e">
        <f t="shared" ca="1" si="19"/>
        <v>#NAME?</v>
      </c>
      <c r="I30" s="8" t="e">
        <f t="shared" ca="1" si="20"/>
        <v>#NAME?</v>
      </c>
      <c r="J30" s="8" t="e">
        <f t="shared" ca="1" si="21"/>
        <v>#NAME?</v>
      </c>
      <c r="K30" s="8" t="e">
        <f t="shared" ca="1" si="22"/>
        <v>#NAME?</v>
      </c>
      <c r="L30" s="8" t="e">
        <f t="shared" ca="1" si="23"/>
        <v>#NAME?</v>
      </c>
      <c r="M30" s="8" t="e">
        <f t="shared" ca="1" si="24"/>
        <v>#NAME?</v>
      </c>
      <c r="N30" s="8" t="e">
        <f t="shared" ca="1" si="25"/>
        <v>#NAME?</v>
      </c>
    </row>
    <row r="31" spans="1:15" x14ac:dyDescent="0.35">
      <c r="A31" s="7" t="s">
        <v>643</v>
      </c>
      <c r="B31" s="7" t="s">
        <v>644</v>
      </c>
      <c r="C31" s="8" t="e">
        <f t="shared" ca="1" si="14"/>
        <v>#NAME?</v>
      </c>
      <c r="D31" s="8" t="e">
        <f t="shared" ca="1" si="15"/>
        <v>#NAME?</v>
      </c>
      <c r="E31" s="8" t="e">
        <f t="shared" ca="1" si="16"/>
        <v>#NAME?</v>
      </c>
      <c r="F31" s="8" t="e">
        <f t="shared" ca="1" si="17"/>
        <v>#NAME?</v>
      </c>
      <c r="G31" s="8" t="e">
        <f t="shared" ca="1" si="18"/>
        <v>#NAME?</v>
      </c>
      <c r="H31" s="8" t="e">
        <f t="shared" ca="1" si="19"/>
        <v>#NAME?</v>
      </c>
      <c r="I31" s="8" t="e">
        <f t="shared" ca="1" si="20"/>
        <v>#NAME?</v>
      </c>
      <c r="J31" s="8" t="e">
        <f t="shared" ca="1" si="21"/>
        <v>#NAME?</v>
      </c>
      <c r="K31" s="8" t="e">
        <f t="shared" ca="1" si="22"/>
        <v>#NAME?</v>
      </c>
      <c r="L31" s="8" t="e">
        <f t="shared" ca="1" si="23"/>
        <v>#NAME?</v>
      </c>
      <c r="M31" s="8" t="e">
        <f t="shared" ca="1" si="24"/>
        <v>#NAME?</v>
      </c>
      <c r="N31" s="8" t="e">
        <f t="shared" ca="1" si="25"/>
        <v>#NAME?</v>
      </c>
    </row>
    <row r="32" spans="1:15" x14ac:dyDescent="0.35">
      <c r="A32" s="7" t="s">
        <v>645</v>
      </c>
      <c r="B32" s="7" t="s">
        <v>646</v>
      </c>
      <c r="C32" s="8" t="e">
        <f t="shared" ca="1" si="14"/>
        <v>#NAME?</v>
      </c>
      <c r="D32" s="8" t="e">
        <f t="shared" ca="1" si="15"/>
        <v>#NAME?</v>
      </c>
      <c r="E32" s="8" t="e">
        <f t="shared" ca="1" si="16"/>
        <v>#NAME?</v>
      </c>
      <c r="F32" s="8" t="e">
        <f t="shared" ca="1" si="17"/>
        <v>#NAME?</v>
      </c>
      <c r="G32" s="8" t="e">
        <f t="shared" ca="1" si="18"/>
        <v>#NAME?</v>
      </c>
      <c r="H32" s="8" t="e">
        <f t="shared" ca="1" si="19"/>
        <v>#NAME?</v>
      </c>
      <c r="I32" s="8" t="e">
        <f t="shared" ca="1" si="20"/>
        <v>#NAME?</v>
      </c>
      <c r="J32" s="8" t="e">
        <f t="shared" ca="1" si="21"/>
        <v>#NAME?</v>
      </c>
      <c r="K32" s="8" t="e">
        <f t="shared" ca="1" si="22"/>
        <v>#NAME?</v>
      </c>
      <c r="L32" s="8" t="e">
        <f t="shared" ca="1" si="23"/>
        <v>#NAME?</v>
      </c>
      <c r="M32" s="8" t="e">
        <f t="shared" ca="1" si="24"/>
        <v>#NAME?</v>
      </c>
      <c r="N32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26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647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648</v>
      </c>
    </row>
    <row r="6" spans="1:15" x14ac:dyDescent="0.35">
      <c r="A6" s="2" t="s">
        <v>15</v>
      </c>
      <c r="B6" s="5">
        <v>2024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649</v>
      </c>
      <c r="B11" s="7" t="s">
        <v>650</v>
      </c>
      <c r="C11" s="8" t="e">
        <f t="shared" ref="C11:C16" ca="1" si="0">EPM($B$5,$B$6,1,A11,"period_net_amount",$B$7)</f>
        <v>#NAME?</v>
      </c>
      <c r="D11" s="8" t="e">
        <f t="shared" ref="D11:D16" ca="1" si="1">EPM($B$5,$B$6,2,A11,"period_net_amount",$B$7)</f>
        <v>#NAME?</v>
      </c>
      <c r="E11" s="8" t="e">
        <f t="shared" ref="E11:E16" ca="1" si="2">EPM($B$5,$B$6,3,A11,"period_net_amount",$B$7)</f>
        <v>#NAME?</v>
      </c>
      <c r="F11" s="8" t="e">
        <f t="shared" ref="F11:F16" ca="1" si="3">EPM($B$5,$B$6,4,A11,"period_net_amount",$B$7)</f>
        <v>#NAME?</v>
      </c>
      <c r="G11" s="8" t="e">
        <f t="shared" ref="G11:G16" ca="1" si="4">EPM($B$5,$B$6,5,A11,"period_net_amount",$B$7)</f>
        <v>#NAME?</v>
      </c>
      <c r="H11" s="8" t="e">
        <f t="shared" ref="H11:H16" ca="1" si="5">EPM($B$5,$B$6,6,A11,"period_net_amount",$B$7)</f>
        <v>#NAME?</v>
      </c>
      <c r="I11" s="8" t="e">
        <f t="shared" ref="I11:I16" ca="1" si="6">EPM($B$5,$B$6,7,A11,"period_net_amount",$B$7)</f>
        <v>#NAME?</v>
      </c>
      <c r="J11" s="8" t="e">
        <f t="shared" ref="J11:J16" ca="1" si="7">EPM($B$5,$B$6,8,A11,"period_net_amount",$B$7)</f>
        <v>#NAME?</v>
      </c>
      <c r="K11" s="8" t="e">
        <f t="shared" ref="K11:K16" ca="1" si="8">EPM($B$5,$B$6,9,A11,"period_net_amount",$B$7)</f>
        <v>#NAME?</v>
      </c>
      <c r="L11" s="8" t="e">
        <f t="shared" ref="L11:L16" ca="1" si="9">EPM($B$5,$B$6,10,A11,"period_net_amount",$B$7)</f>
        <v>#NAME?</v>
      </c>
      <c r="M11" s="8" t="e">
        <f t="shared" ref="M11:M16" ca="1" si="10">EPM($B$5,$B$6,11,A11,"period_net_amount",$B$7)</f>
        <v>#NAME?</v>
      </c>
      <c r="N11" s="8" t="e">
        <f t="shared" ref="N11:N16" ca="1" si="11">EPM($B$5,$B$6,12,A11,"period_net_amount",$B$7)</f>
        <v>#NAME?</v>
      </c>
      <c r="O11" s="9" t="e">
        <f t="shared" ref="O11:O16" ca="1" si="12">SUM(C11:N11)</f>
        <v>#NAME?</v>
      </c>
    </row>
    <row r="12" spans="1:15" x14ac:dyDescent="0.35">
      <c r="A12" s="7" t="s">
        <v>651</v>
      </c>
      <c r="B12" s="7" t="s">
        <v>652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653</v>
      </c>
      <c r="B13" s="7" t="s">
        <v>654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655</v>
      </c>
      <c r="B14" s="7" t="s">
        <v>656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657</v>
      </c>
      <c r="B15" s="7" t="s">
        <v>658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659</v>
      </c>
      <c r="B16" s="7" t="s">
        <v>660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B17" s="10" t="s">
        <v>57</v>
      </c>
      <c r="C17" s="11" t="e">
        <f t="shared" ref="C17:O17" ca="1" si="13">SUM(C11:C16)</f>
        <v>#NAME?</v>
      </c>
      <c r="D17" s="11" t="e">
        <f t="shared" ca="1" si="13"/>
        <v>#NAME?</v>
      </c>
      <c r="E17" s="11" t="e">
        <f t="shared" ca="1" si="13"/>
        <v>#NAME?</v>
      </c>
      <c r="F17" s="11" t="e">
        <f t="shared" ca="1" si="13"/>
        <v>#NAME?</v>
      </c>
      <c r="G17" s="11" t="e">
        <f t="shared" ca="1" si="13"/>
        <v>#NAME?</v>
      </c>
      <c r="H17" s="11" t="e">
        <f t="shared" ca="1" si="13"/>
        <v>#NAME?</v>
      </c>
      <c r="I17" s="11" t="e">
        <f t="shared" ca="1" si="13"/>
        <v>#NAME?</v>
      </c>
      <c r="J17" s="11" t="e">
        <f t="shared" ca="1" si="13"/>
        <v>#NAME?</v>
      </c>
      <c r="K17" s="11" t="e">
        <f t="shared" ca="1" si="13"/>
        <v>#NAME?</v>
      </c>
      <c r="L17" s="11" t="e">
        <f t="shared" ca="1" si="13"/>
        <v>#NAME?</v>
      </c>
      <c r="M17" s="11" t="e">
        <f t="shared" ca="1" si="13"/>
        <v>#NAME?</v>
      </c>
      <c r="N17" s="11" t="e">
        <f t="shared" ca="1" si="13"/>
        <v>#NAME?</v>
      </c>
      <c r="O17" s="11" t="e">
        <f t="shared" ca="1" si="13"/>
        <v>#NAME?</v>
      </c>
    </row>
    <row r="19" spans="1:15" ht="15.5" x14ac:dyDescent="0.35">
      <c r="A19" s="4" t="s">
        <v>58</v>
      </c>
    </row>
    <row r="20" spans="1:15" x14ac:dyDescent="0.35">
      <c r="A20" s="6" t="s">
        <v>19</v>
      </c>
      <c r="B20" s="6" t="s">
        <v>20</v>
      </c>
      <c r="C20" s="6" t="s">
        <v>21</v>
      </c>
      <c r="D20" s="6" t="s">
        <v>22</v>
      </c>
      <c r="E20" s="6" t="s">
        <v>23</v>
      </c>
      <c r="F20" s="6" t="s">
        <v>24</v>
      </c>
      <c r="G20" s="6" t="s">
        <v>25</v>
      </c>
      <c r="H20" s="6" t="s">
        <v>26</v>
      </c>
      <c r="I20" s="6" t="s">
        <v>27</v>
      </c>
      <c r="J20" s="6" t="s">
        <v>28</v>
      </c>
      <c r="K20" s="6" t="s">
        <v>29</v>
      </c>
      <c r="L20" s="6" t="s">
        <v>30</v>
      </c>
      <c r="M20" s="6" t="s">
        <v>31</v>
      </c>
      <c r="N20" s="6" t="s">
        <v>32</v>
      </c>
    </row>
    <row r="21" spans="1:15" x14ac:dyDescent="0.35">
      <c r="A21" s="7" t="s">
        <v>661</v>
      </c>
      <c r="B21" s="7" t="s">
        <v>662</v>
      </c>
      <c r="C21" s="8" t="e">
        <f t="shared" ref="C21:C26" ca="1" si="14">EPM($B$5,$B$6,1,A21,"period_net_amount",$B$7)</f>
        <v>#NAME?</v>
      </c>
      <c r="D21" s="8" t="e">
        <f t="shared" ref="D21:D26" ca="1" si="15">EPM($B$5,$B$6,2,A21,"period_net_amount",$B$7)</f>
        <v>#NAME?</v>
      </c>
      <c r="E21" s="8" t="e">
        <f t="shared" ref="E21:E26" ca="1" si="16">EPM($B$5,$B$6,3,A21,"period_net_amount",$B$7)</f>
        <v>#NAME?</v>
      </c>
      <c r="F21" s="8" t="e">
        <f t="shared" ref="F21:F26" ca="1" si="17">EPM($B$5,$B$6,4,A21,"period_net_amount",$B$7)</f>
        <v>#NAME?</v>
      </c>
      <c r="G21" s="8" t="e">
        <f t="shared" ref="G21:G26" ca="1" si="18">EPM($B$5,$B$6,5,A21,"period_net_amount",$B$7)</f>
        <v>#NAME?</v>
      </c>
      <c r="H21" s="8" t="e">
        <f t="shared" ref="H21:H26" ca="1" si="19">EPM($B$5,$B$6,6,A21,"period_net_amount",$B$7)</f>
        <v>#NAME?</v>
      </c>
      <c r="I21" s="8" t="e">
        <f t="shared" ref="I21:I26" ca="1" si="20">EPM($B$5,$B$6,7,A21,"period_net_amount",$B$7)</f>
        <v>#NAME?</v>
      </c>
      <c r="J21" s="8" t="e">
        <f t="shared" ref="J21:J26" ca="1" si="21">EPM($B$5,$B$6,8,A21,"period_net_amount",$B$7)</f>
        <v>#NAME?</v>
      </c>
      <c r="K21" s="8" t="e">
        <f t="shared" ref="K21:K26" ca="1" si="22">EPM($B$5,$B$6,9,A21,"period_net_amount",$B$7)</f>
        <v>#NAME?</v>
      </c>
      <c r="L21" s="8" t="e">
        <f t="shared" ref="L21:L26" ca="1" si="23">EPM($B$5,$B$6,10,A21,"period_net_amount",$B$7)</f>
        <v>#NAME?</v>
      </c>
      <c r="M21" s="8" t="e">
        <f t="shared" ref="M21:M26" ca="1" si="24">EPM($B$5,$B$6,11,A21,"period_net_amount",$B$7)</f>
        <v>#NAME?</v>
      </c>
      <c r="N21" s="8" t="e">
        <f t="shared" ref="N21:N26" ca="1" si="25">EPM($B$5,$B$6,12,A21,"period_net_amount",$B$7)</f>
        <v>#NAME?</v>
      </c>
    </row>
    <row r="22" spans="1:15" x14ac:dyDescent="0.35">
      <c r="A22" s="7" t="s">
        <v>254</v>
      </c>
      <c r="B22" s="7" t="s">
        <v>663</v>
      </c>
      <c r="C22" s="8" t="e">
        <f t="shared" ca="1" si="14"/>
        <v>#NAME?</v>
      </c>
      <c r="D22" s="8" t="e">
        <f t="shared" ca="1" si="15"/>
        <v>#NAME?</v>
      </c>
      <c r="E22" s="8" t="e">
        <f t="shared" ca="1" si="16"/>
        <v>#NAME?</v>
      </c>
      <c r="F22" s="8" t="e">
        <f t="shared" ca="1" si="17"/>
        <v>#NAME?</v>
      </c>
      <c r="G22" s="8" t="e">
        <f t="shared" ca="1" si="18"/>
        <v>#NAME?</v>
      </c>
      <c r="H22" s="8" t="e">
        <f t="shared" ca="1" si="19"/>
        <v>#NAME?</v>
      </c>
      <c r="I22" s="8" t="e">
        <f t="shared" ca="1" si="20"/>
        <v>#NAME?</v>
      </c>
      <c r="J22" s="8" t="e">
        <f t="shared" ca="1" si="21"/>
        <v>#NAME?</v>
      </c>
      <c r="K22" s="8" t="e">
        <f t="shared" ca="1" si="22"/>
        <v>#NAME?</v>
      </c>
      <c r="L22" s="8" t="e">
        <f t="shared" ca="1" si="23"/>
        <v>#NAME?</v>
      </c>
      <c r="M22" s="8" t="e">
        <f t="shared" ca="1" si="24"/>
        <v>#NAME?</v>
      </c>
      <c r="N22" s="8" t="e">
        <f t="shared" ca="1" si="25"/>
        <v>#NAME?</v>
      </c>
    </row>
    <row r="23" spans="1:15" x14ac:dyDescent="0.35">
      <c r="A23" s="7" t="s">
        <v>664</v>
      </c>
      <c r="B23" s="7" t="s">
        <v>665</v>
      </c>
      <c r="C23" s="8" t="e">
        <f t="shared" ca="1" si="14"/>
        <v>#NAME?</v>
      </c>
      <c r="D23" s="8" t="e">
        <f t="shared" ca="1" si="15"/>
        <v>#NAME?</v>
      </c>
      <c r="E23" s="8" t="e">
        <f t="shared" ca="1" si="16"/>
        <v>#NAME?</v>
      </c>
      <c r="F23" s="8" t="e">
        <f t="shared" ca="1" si="17"/>
        <v>#NAME?</v>
      </c>
      <c r="G23" s="8" t="e">
        <f t="shared" ca="1" si="18"/>
        <v>#NAME?</v>
      </c>
      <c r="H23" s="8" t="e">
        <f t="shared" ca="1" si="19"/>
        <v>#NAME?</v>
      </c>
      <c r="I23" s="8" t="e">
        <f t="shared" ca="1" si="20"/>
        <v>#NAME?</v>
      </c>
      <c r="J23" s="8" t="e">
        <f t="shared" ca="1" si="21"/>
        <v>#NAME?</v>
      </c>
      <c r="K23" s="8" t="e">
        <f t="shared" ca="1" si="22"/>
        <v>#NAME?</v>
      </c>
      <c r="L23" s="8" t="e">
        <f t="shared" ca="1" si="23"/>
        <v>#NAME?</v>
      </c>
      <c r="M23" s="8" t="e">
        <f t="shared" ca="1" si="24"/>
        <v>#NAME?</v>
      </c>
      <c r="N23" s="8" t="e">
        <f t="shared" ca="1" si="25"/>
        <v>#NAME?</v>
      </c>
    </row>
    <row r="24" spans="1:15" x14ac:dyDescent="0.35">
      <c r="A24" s="7" t="s">
        <v>666</v>
      </c>
      <c r="B24" s="7" t="s">
        <v>262</v>
      </c>
      <c r="C24" s="8" t="e">
        <f t="shared" ca="1" si="14"/>
        <v>#NAME?</v>
      </c>
      <c r="D24" s="8" t="e">
        <f t="shared" ca="1" si="15"/>
        <v>#NAME?</v>
      </c>
      <c r="E24" s="8" t="e">
        <f t="shared" ca="1" si="16"/>
        <v>#NAME?</v>
      </c>
      <c r="F24" s="8" t="e">
        <f t="shared" ca="1" si="17"/>
        <v>#NAME?</v>
      </c>
      <c r="G24" s="8" t="e">
        <f t="shared" ca="1" si="18"/>
        <v>#NAME?</v>
      </c>
      <c r="H24" s="8" t="e">
        <f t="shared" ca="1" si="19"/>
        <v>#NAME?</v>
      </c>
      <c r="I24" s="8" t="e">
        <f t="shared" ca="1" si="20"/>
        <v>#NAME?</v>
      </c>
      <c r="J24" s="8" t="e">
        <f t="shared" ca="1" si="21"/>
        <v>#NAME?</v>
      </c>
      <c r="K24" s="8" t="e">
        <f t="shared" ca="1" si="22"/>
        <v>#NAME?</v>
      </c>
      <c r="L24" s="8" t="e">
        <f t="shared" ca="1" si="23"/>
        <v>#NAME?</v>
      </c>
      <c r="M24" s="8" t="e">
        <f t="shared" ca="1" si="24"/>
        <v>#NAME?</v>
      </c>
      <c r="N24" s="8" t="e">
        <f t="shared" ca="1" si="25"/>
        <v>#NAME?</v>
      </c>
    </row>
    <row r="25" spans="1:15" x14ac:dyDescent="0.35">
      <c r="A25" s="7" t="s">
        <v>667</v>
      </c>
      <c r="B25" s="7" t="s">
        <v>668</v>
      </c>
      <c r="C25" s="8" t="e">
        <f t="shared" ca="1" si="14"/>
        <v>#NAME?</v>
      </c>
      <c r="D25" s="8" t="e">
        <f t="shared" ca="1" si="15"/>
        <v>#NAME?</v>
      </c>
      <c r="E25" s="8" t="e">
        <f t="shared" ca="1" si="16"/>
        <v>#NAME?</v>
      </c>
      <c r="F25" s="8" t="e">
        <f t="shared" ca="1" si="17"/>
        <v>#NAME?</v>
      </c>
      <c r="G25" s="8" t="e">
        <f t="shared" ca="1" si="18"/>
        <v>#NAME?</v>
      </c>
      <c r="H25" s="8" t="e">
        <f t="shared" ca="1" si="19"/>
        <v>#NAME?</v>
      </c>
      <c r="I25" s="8" t="e">
        <f t="shared" ca="1" si="20"/>
        <v>#NAME?</v>
      </c>
      <c r="J25" s="8" t="e">
        <f t="shared" ca="1" si="21"/>
        <v>#NAME?</v>
      </c>
      <c r="K25" s="8" t="e">
        <f t="shared" ca="1" si="22"/>
        <v>#NAME?</v>
      </c>
      <c r="L25" s="8" t="e">
        <f t="shared" ca="1" si="23"/>
        <v>#NAME?</v>
      </c>
      <c r="M25" s="8" t="e">
        <f t="shared" ca="1" si="24"/>
        <v>#NAME?</v>
      </c>
      <c r="N25" s="8" t="e">
        <f t="shared" ca="1" si="25"/>
        <v>#NAME?</v>
      </c>
    </row>
    <row r="26" spans="1:15" x14ac:dyDescent="0.35">
      <c r="A26" s="7" t="s">
        <v>669</v>
      </c>
      <c r="B26" s="7" t="s">
        <v>670</v>
      </c>
      <c r="C26" s="8" t="e">
        <f t="shared" ca="1" si="14"/>
        <v>#NAME?</v>
      </c>
      <c r="D26" s="8" t="e">
        <f t="shared" ca="1" si="15"/>
        <v>#NAME?</v>
      </c>
      <c r="E26" s="8" t="e">
        <f t="shared" ca="1" si="16"/>
        <v>#NAME?</v>
      </c>
      <c r="F26" s="8" t="e">
        <f t="shared" ca="1" si="17"/>
        <v>#NAME?</v>
      </c>
      <c r="G26" s="8" t="e">
        <f t="shared" ca="1" si="18"/>
        <v>#NAME?</v>
      </c>
      <c r="H26" s="8" t="e">
        <f t="shared" ca="1" si="19"/>
        <v>#NAME?</v>
      </c>
      <c r="I26" s="8" t="e">
        <f t="shared" ca="1" si="20"/>
        <v>#NAME?</v>
      </c>
      <c r="J26" s="8" t="e">
        <f t="shared" ca="1" si="21"/>
        <v>#NAME?</v>
      </c>
      <c r="K26" s="8" t="e">
        <f t="shared" ca="1" si="22"/>
        <v>#NAME?</v>
      </c>
      <c r="L26" s="8" t="e">
        <f t="shared" ca="1" si="23"/>
        <v>#NAME?</v>
      </c>
      <c r="M26" s="8" t="e">
        <f t="shared" ca="1" si="24"/>
        <v>#NAME?</v>
      </c>
      <c r="N26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25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671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672</v>
      </c>
    </row>
    <row r="6" spans="1:15" x14ac:dyDescent="0.35">
      <c r="A6" s="2" t="s">
        <v>15</v>
      </c>
      <c r="B6" s="5">
        <v>2016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673</v>
      </c>
      <c r="B11" s="7" t="s">
        <v>674</v>
      </c>
      <c r="C11" s="8" t="e">
        <f ca="1">EPM($B$5,$B$6,1,A11,"period_net_amount",$B$7)</f>
        <v>#NAME?</v>
      </c>
      <c r="D11" s="8" t="e">
        <f ca="1">EPM($B$5,$B$6,2,A11,"period_net_amount",$B$7)</f>
        <v>#NAME?</v>
      </c>
      <c r="E11" s="8" t="e">
        <f ca="1">EPM($B$5,$B$6,3,A11,"period_net_amount",$B$7)</f>
        <v>#NAME?</v>
      </c>
      <c r="F11" s="8" t="e">
        <f ca="1">EPM($B$5,$B$6,4,A11,"period_net_amount",$B$7)</f>
        <v>#NAME?</v>
      </c>
      <c r="G11" s="8" t="e">
        <f ca="1">EPM($B$5,$B$6,5,A11,"period_net_amount",$B$7)</f>
        <v>#NAME?</v>
      </c>
      <c r="H11" s="8" t="e">
        <f ca="1">EPM($B$5,$B$6,6,A11,"period_net_amount",$B$7)</f>
        <v>#NAME?</v>
      </c>
      <c r="I11" s="8" t="e">
        <f ca="1">EPM($B$5,$B$6,7,A11,"period_net_amount",$B$7)</f>
        <v>#NAME?</v>
      </c>
      <c r="J11" s="8" t="e">
        <f ca="1">EPM($B$5,$B$6,8,A11,"period_net_amount",$B$7)</f>
        <v>#NAME?</v>
      </c>
      <c r="K11" s="8" t="e">
        <f ca="1">EPM($B$5,$B$6,9,A11,"period_net_amount",$B$7)</f>
        <v>#NAME?</v>
      </c>
      <c r="L11" s="8" t="e">
        <f ca="1">EPM($B$5,$B$6,10,A11,"period_net_amount",$B$7)</f>
        <v>#NAME?</v>
      </c>
      <c r="M11" s="8" t="e">
        <f ca="1">EPM($B$5,$B$6,11,A11,"period_net_amount",$B$7)</f>
        <v>#NAME?</v>
      </c>
      <c r="N11" s="8" t="e">
        <f ca="1">EPM($B$5,$B$6,12,A11,"period_net_amount",$B$7)</f>
        <v>#NAME?</v>
      </c>
      <c r="O11" s="9" t="e">
        <f ca="1">SUM(C11:N11)</f>
        <v>#NAME?</v>
      </c>
    </row>
    <row r="12" spans="1:15" x14ac:dyDescent="0.35">
      <c r="A12" s="7" t="s">
        <v>675</v>
      </c>
      <c r="B12" s="7" t="s">
        <v>676</v>
      </c>
      <c r="C12" s="8" t="e">
        <f ca="1">EPM($B$5,$B$6,1,A12,"period_net_amount",$B$7)</f>
        <v>#NAME?</v>
      </c>
      <c r="D12" s="8" t="e">
        <f ca="1">EPM($B$5,$B$6,2,A12,"period_net_amount",$B$7)</f>
        <v>#NAME?</v>
      </c>
      <c r="E12" s="8" t="e">
        <f ca="1">EPM($B$5,$B$6,3,A12,"period_net_amount",$B$7)</f>
        <v>#NAME?</v>
      </c>
      <c r="F12" s="8" t="e">
        <f ca="1">EPM($B$5,$B$6,4,A12,"period_net_amount",$B$7)</f>
        <v>#NAME?</v>
      </c>
      <c r="G12" s="8" t="e">
        <f ca="1">EPM($B$5,$B$6,5,A12,"period_net_amount",$B$7)</f>
        <v>#NAME?</v>
      </c>
      <c r="H12" s="8" t="e">
        <f ca="1">EPM($B$5,$B$6,6,A12,"period_net_amount",$B$7)</f>
        <v>#NAME?</v>
      </c>
      <c r="I12" s="8" t="e">
        <f ca="1">EPM($B$5,$B$6,7,A12,"period_net_amount",$B$7)</f>
        <v>#NAME?</v>
      </c>
      <c r="J12" s="8" t="e">
        <f ca="1">EPM($B$5,$B$6,8,A12,"period_net_amount",$B$7)</f>
        <v>#NAME?</v>
      </c>
      <c r="K12" s="8" t="e">
        <f ca="1">EPM($B$5,$B$6,9,A12,"period_net_amount",$B$7)</f>
        <v>#NAME?</v>
      </c>
      <c r="L12" s="8" t="e">
        <f ca="1">EPM($B$5,$B$6,10,A12,"period_net_amount",$B$7)</f>
        <v>#NAME?</v>
      </c>
      <c r="M12" s="8" t="e">
        <f ca="1">EPM($B$5,$B$6,11,A12,"period_net_amount",$B$7)</f>
        <v>#NAME?</v>
      </c>
      <c r="N12" s="8" t="e">
        <f ca="1">EPM($B$5,$B$6,12,A12,"period_net_amount",$B$7)</f>
        <v>#NAME?</v>
      </c>
      <c r="O12" s="9" t="e">
        <f ca="1">SUM(C12:N12)</f>
        <v>#NAME?</v>
      </c>
    </row>
    <row r="13" spans="1:15" x14ac:dyDescent="0.35">
      <c r="A13" s="7" t="s">
        <v>467</v>
      </c>
      <c r="B13" s="7" t="s">
        <v>468</v>
      </c>
      <c r="C13" s="8" t="e">
        <f ca="1">EPM($B$5,$B$6,1,A13,"period_net_amount",$B$7)</f>
        <v>#NAME?</v>
      </c>
      <c r="D13" s="8" t="e">
        <f ca="1">EPM($B$5,$B$6,2,A13,"period_net_amount",$B$7)</f>
        <v>#NAME?</v>
      </c>
      <c r="E13" s="8" t="e">
        <f ca="1">EPM($B$5,$B$6,3,A13,"period_net_amount",$B$7)</f>
        <v>#NAME?</v>
      </c>
      <c r="F13" s="8" t="e">
        <f ca="1">EPM($B$5,$B$6,4,A13,"period_net_amount",$B$7)</f>
        <v>#NAME?</v>
      </c>
      <c r="G13" s="8" t="e">
        <f ca="1">EPM($B$5,$B$6,5,A13,"period_net_amount",$B$7)</f>
        <v>#NAME?</v>
      </c>
      <c r="H13" s="8" t="e">
        <f ca="1">EPM($B$5,$B$6,6,A13,"period_net_amount",$B$7)</f>
        <v>#NAME?</v>
      </c>
      <c r="I13" s="8" t="e">
        <f ca="1">EPM($B$5,$B$6,7,A13,"period_net_amount",$B$7)</f>
        <v>#NAME?</v>
      </c>
      <c r="J13" s="8" t="e">
        <f ca="1">EPM($B$5,$B$6,8,A13,"period_net_amount",$B$7)</f>
        <v>#NAME?</v>
      </c>
      <c r="K13" s="8" t="e">
        <f ca="1">EPM($B$5,$B$6,9,A13,"period_net_amount",$B$7)</f>
        <v>#NAME?</v>
      </c>
      <c r="L13" s="8" t="e">
        <f ca="1">EPM($B$5,$B$6,10,A13,"period_net_amount",$B$7)</f>
        <v>#NAME?</v>
      </c>
      <c r="M13" s="8" t="e">
        <f ca="1">EPM($B$5,$B$6,11,A13,"period_net_amount",$B$7)</f>
        <v>#NAME?</v>
      </c>
      <c r="N13" s="8" t="e">
        <f ca="1">EPM($B$5,$B$6,12,A13,"period_net_amount",$B$7)</f>
        <v>#NAME?</v>
      </c>
      <c r="O13" s="9" t="e">
        <f ca="1">SUM(C13:N13)</f>
        <v>#NAME?</v>
      </c>
    </row>
    <row r="14" spans="1:15" x14ac:dyDescent="0.35">
      <c r="A14" s="7" t="s">
        <v>463</v>
      </c>
      <c r="B14" s="7" t="s">
        <v>464</v>
      </c>
      <c r="C14" s="8" t="e">
        <f ca="1">EPM($B$5,$B$6,1,A14,"period_net_amount",$B$7)</f>
        <v>#NAME?</v>
      </c>
      <c r="D14" s="8" t="e">
        <f ca="1">EPM($B$5,$B$6,2,A14,"period_net_amount",$B$7)</f>
        <v>#NAME?</v>
      </c>
      <c r="E14" s="8" t="e">
        <f ca="1">EPM($B$5,$B$6,3,A14,"period_net_amount",$B$7)</f>
        <v>#NAME?</v>
      </c>
      <c r="F14" s="8" t="e">
        <f ca="1">EPM($B$5,$B$6,4,A14,"period_net_amount",$B$7)</f>
        <v>#NAME?</v>
      </c>
      <c r="G14" s="8" t="e">
        <f ca="1">EPM($B$5,$B$6,5,A14,"period_net_amount",$B$7)</f>
        <v>#NAME?</v>
      </c>
      <c r="H14" s="8" t="e">
        <f ca="1">EPM($B$5,$B$6,6,A14,"period_net_amount",$B$7)</f>
        <v>#NAME?</v>
      </c>
      <c r="I14" s="8" t="e">
        <f ca="1">EPM($B$5,$B$6,7,A14,"period_net_amount",$B$7)</f>
        <v>#NAME?</v>
      </c>
      <c r="J14" s="8" t="e">
        <f ca="1">EPM($B$5,$B$6,8,A14,"period_net_amount",$B$7)</f>
        <v>#NAME?</v>
      </c>
      <c r="K14" s="8" t="e">
        <f ca="1">EPM($B$5,$B$6,9,A14,"period_net_amount",$B$7)</f>
        <v>#NAME?</v>
      </c>
      <c r="L14" s="8" t="e">
        <f ca="1">EPM($B$5,$B$6,10,A14,"period_net_amount",$B$7)</f>
        <v>#NAME?</v>
      </c>
      <c r="M14" s="8" t="e">
        <f ca="1">EPM($B$5,$B$6,11,A14,"period_net_amount",$B$7)</f>
        <v>#NAME?</v>
      </c>
      <c r="N14" s="8" t="e">
        <f ca="1">EPM($B$5,$B$6,12,A14,"period_net_amount",$B$7)</f>
        <v>#NAME?</v>
      </c>
      <c r="O14" s="9" t="e">
        <f ca="1">SUM(C14:N14)</f>
        <v>#NAME?</v>
      </c>
    </row>
    <row r="15" spans="1:15" x14ac:dyDescent="0.35">
      <c r="A15" s="7" t="s">
        <v>52</v>
      </c>
      <c r="B15" s="7" t="s">
        <v>49</v>
      </c>
      <c r="C15" s="8" t="e">
        <f ca="1">EPM($B$5,$B$6,1,A15,"period_net_amount",$B$7)</f>
        <v>#NAME?</v>
      </c>
      <c r="D15" s="8" t="e">
        <f ca="1">EPM($B$5,$B$6,2,A15,"period_net_amount",$B$7)</f>
        <v>#NAME?</v>
      </c>
      <c r="E15" s="8" t="e">
        <f ca="1">EPM($B$5,$B$6,3,A15,"period_net_amount",$B$7)</f>
        <v>#NAME?</v>
      </c>
      <c r="F15" s="8" t="e">
        <f ca="1">EPM($B$5,$B$6,4,A15,"period_net_amount",$B$7)</f>
        <v>#NAME?</v>
      </c>
      <c r="G15" s="8" t="e">
        <f ca="1">EPM($B$5,$B$6,5,A15,"period_net_amount",$B$7)</f>
        <v>#NAME?</v>
      </c>
      <c r="H15" s="8" t="e">
        <f ca="1">EPM($B$5,$B$6,6,A15,"period_net_amount",$B$7)</f>
        <v>#NAME?</v>
      </c>
      <c r="I15" s="8" t="e">
        <f ca="1">EPM($B$5,$B$6,7,A15,"period_net_amount",$B$7)</f>
        <v>#NAME?</v>
      </c>
      <c r="J15" s="8" t="e">
        <f ca="1">EPM($B$5,$B$6,8,A15,"period_net_amount",$B$7)</f>
        <v>#NAME?</v>
      </c>
      <c r="K15" s="8" t="e">
        <f ca="1">EPM($B$5,$B$6,9,A15,"period_net_amount",$B$7)</f>
        <v>#NAME?</v>
      </c>
      <c r="L15" s="8" t="e">
        <f ca="1">EPM($B$5,$B$6,10,A15,"period_net_amount",$B$7)</f>
        <v>#NAME?</v>
      </c>
      <c r="M15" s="8" t="e">
        <f ca="1">EPM($B$5,$B$6,11,A15,"period_net_amount",$B$7)</f>
        <v>#NAME?</v>
      </c>
      <c r="N15" s="8" t="e">
        <f ca="1">EPM($B$5,$B$6,12,A15,"period_net_amount",$B$7)</f>
        <v>#NAME?</v>
      </c>
      <c r="O15" s="9" t="e">
        <f ca="1">SUM(C15:N15)</f>
        <v>#NAME?</v>
      </c>
    </row>
    <row r="16" spans="1:15" x14ac:dyDescent="0.35">
      <c r="B16" s="10" t="s">
        <v>57</v>
      </c>
      <c r="C16" s="11" t="e">
        <f t="shared" ref="C16:O16" ca="1" si="0">SUM(C11:C15)</f>
        <v>#NAME?</v>
      </c>
      <c r="D16" s="11" t="e">
        <f t="shared" ca="1" si="0"/>
        <v>#NAME?</v>
      </c>
      <c r="E16" s="11" t="e">
        <f t="shared" ca="1" si="0"/>
        <v>#NAME?</v>
      </c>
      <c r="F16" s="11" t="e">
        <f t="shared" ca="1" si="0"/>
        <v>#NAME?</v>
      </c>
      <c r="G16" s="11" t="e">
        <f t="shared" ca="1" si="0"/>
        <v>#NAME?</v>
      </c>
      <c r="H16" s="11" t="e">
        <f t="shared" ca="1" si="0"/>
        <v>#NAME?</v>
      </c>
      <c r="I16" s="11" t="e">
        <f t="shared" ca="1" si="0"/>
        <v>#NAME?</v>
      </c>
      <c r="J16" s="11" t="e">
        <f t="shared" ca="1" si="0"/>
        <v>#NAME?</v>
      </c>
      <c r="K16" s="11" t="e">
        <f t="shared" ca="1" si="0"/>
        <v>#NAME?</v>
      </c>
      <c r="L16" s="11" t="e">
        <f t="shared" ca="1" si="0"/>
        <v>#NAME?</v>
      </c>
      <c r="M16" s="11" t="e">
        <f t="shared" ca="1" si="0"/>
        <v>#NAME?</v>
      </c>
      <c r="N16" s="11" t="e">
        <f t="shared" ca="1" si="0"/>
        <v>#NAME?</v>
      </c>
      <c r="O16" s="11" t="e">
        <f t="shared" ca="1" si="0"/>
        <v>#NAME?</v>
      </c>
    </row>
    <row r="18" spans="1:14" ht="15.5" x14ac:dyDescent="0.35">
      <c r="A18" s="4" t="s">
        <v>58</v>
      </c>
    </row>
    <row r="19" spans="1:14" x14ac:dyDescent="0.35">
      <c r="A19" s="6" t="s">
        <v>19</v>
      </c>
      <c r="B19" s="6" t="s">
        <v>20</v>
      </c>
      <c r="C19" s="6" t="s">
        <v>21</v>
      </c>
      <c r="D19" s="6" t="s">
        <v>22</v>
      </c>
      <c r="E19" s="6" t="s">
        <v>23</v>
      </c>
      <c r="F19" s="6" t="s">
        <v>24</v>
      </c>
      <c r="G19" s="6" t="s">
        <v>25</v>
      </c>
      <c r="H19" s="6" t="s">
        <v>26</v>
      </c>
      <c r="I19" s="6" t="s">
        <v>27</v>
      </c>
      <c r="J19" s="6" t="s">
        <v>28</v>
      </c>
      <c r="K19" s="6" t="s">
        <v>29</v>
      </c>
      <c r="L19" s="6" t="s">
        <v>30</v>
      </c>
      <c r="M19" s="6" t="s">
        <v>31</v>
      </c>
      <c r="N19" s="6" t="s">
        <v>32</v>
      </c>
    </row>
    <row r="20" spans="1:14" x14ac:dyDescent="0.35">
      <c r="A20" s="7" t="s">
        <v>677</v>
      </c>
      <c r="B20" s="7" t="s">
        <v>678</v>
      </c>
      <c r="C20" s="8" t="e">
        <f t="shared" ref="C20:C25" ca="1" si="1">EPM($B$5,$B$6,1,A20,"period_net_amount",$B$7)</f>
        <v>#NAME?</v>
      </c>
      <c r="D20" s="8" t="e">
        <f t="shared" ref="D20:D25" ca="1" si="2">EPM($B$5,$B$6,2,A20,"period_net_amount",$B$7)</f>
        <v>#NAME?</v>
      </c>
      <c r="E20" s="8" t="e">
        <f t="shared" ref="E20:E25" ca="1" si="3">EPM($B$5,$B$6,3,A20,"period_net_amount",$B$7)</f>
        <v>#NAME?</v>
      </c>
      <c r="F20" s="8" t="e">
        <f t="shared" ref="F20:F25" ca="1" si="4">EPM($B$5,$B$6,4,A20,"period_net_amount",$B$7)</f>
        <v>#NAME?</v>
      </c>
      <c r="G20" s="8" t="e">
        <f t="shared" ref="G20:G25" ca="1" si="5">EPM($B$5,$B$6,5,A20,"period_net_amount",$B$7)</f>
        <v>#NAME?</v>
      </c>
      <c r="H20" s="8" t="e">
        <f t="shared" ref="H20:H25" ca="1" si="6">EPM($B$5,$B$6,6,A20,"period_net_amount",$B$7)</f>
        <v>#NAME?</v>
      </c>
      <c r="I20" s="8" t="e">
        <f t="shared" ref="I20:I25" ca="1" si="7">EPM($B$5,$B$6,7,A20,"period_net_amount",$B$7)</f>
        <v>#NAME?</v>
      </c>
      <c r="J20" s="8" t="e">
        <f t="shared" ref="J20:J25" ca="1" si="8">EPM($B$5,$B$6,8,A20,"period_net_amount",$B$7)</f>
        <v>#NAME?</v>
      </c>
      <c r="K20" s="8" t="e">
        <f t="shared" ref="K20:K25" ca="1" si="9">EPM($B$5,$B$6,9,A20,"period_net_amount",$B$7)</f>
        <v>#NAME?</v>
      </c>
      <c r="L20" s="8" t="e">
        <f t="shared" ref="L20:L25" ca="1" si="10">EPM($B$5,$B$6,10,A20,"period_net_amount",$B$7)</f>
        <v>#NAME?</v>
      </c>
      <c r="M20" s="8" t="e">
        <f t="shared" ref="M20:M25" ca="1" si="11">EPM($B$5,$B$6,11,A20,"period_net_amount",$B$7)</f>
        <v>#NAME?</v>
      </c>
      <c r="N20" s="8" t="e">
        <f t="shared" ref="N20:N25" ca="1" si="12">EPM($B$5,$B$6,12,A20,"period_net_amount",$B$7)</f>
        <v>#NAME?</v>
      </c>
    </row>
    <row r="21" spans="1:14" x14ac:dyDescent="0.35">
      <c r="A21" s="7" t="s">
        <v>679</v>
      </c>
      <c r="B21" s="7" t="s">
        <v>680</v>
      </c>
      <c r="C21" s="8" t="e">
        <f t="shared" ca="1" si="1"/>
        <v>#NAME?</v>
      </c>
      <c r="D21" s="8" t="e">
        <f t="shared" ca="1" si="2"/>
        <v>#NAME?</v>
      </c>
      <c r="E21" s="8" t="e">
        <f t="shared" ca="1" si="3"/>
        <v>#NAME?</v>
      </c>
      <c r="F21" s="8" t="e">
        <f t="shared" ca="1" si="4"/>
        <v>#NAME?</v>
      </c>
      <c r="G21" s="8" t="e">
        <f t="shared" ca="1" si="5"/>
        <v>#NAME?</v>
      </c>
      <c r="H21" s="8" t="e">
        <f t="shared" ca="1" si="6"/>
        <v>#NAME?</v>
      </c>
      <c r="I21" s="8" t="e">
        <f t="shared" ca="1" si="7"/>
        <v>#NAME?</v>
      </c>
      <c r="J21" s="8" t="e">
        <f t="shared" ca="1" si="8"/>
        <v>#NAME?</v>
      </c>
      <c r="K21" s="8" t="e">
        <f t="shared" ca="1" si="9"/>
        <v>#NAME?</v>
      </c>
      <c r="L21" s="8" t="e">
        <f t="shared" ca="1" si="10"/>
        <v>#NAME?</v>
      </c>
      <c r="M21" s="8" t="e">
        <f t="shared" ca="1" si="11"/>
        <v>#NAME?</v>
      </c>
      <c r="N21" s="8" t="e">
        <f t="shared" ca="1" si="12"/>
        <v>#NAME?</v>
      </c>
    </row>
    <row r="22" spans="1:14" x14ac:dyDescent="0.35">
      <c r="A22" s="7" t="s">
        <v>681</v>
      </c>
      <c r="B22" s="7" t="s">
        <v>682</v>
      </c>
      <c r="C22" s="8" t="e">
        <f t="shared" ca="1" si="1"/>
        <v>#NAME?</v>
      </c>
      <c r="D22" s="8" t="e">
        <f t="shared" ca="1" si="2"/>
        <v>#NAME?</v>
      </c>
      <c r="E22" s="8" t="e">
        <f t="shared" ca="1" si="3"/>
        <v>#NAME?</v>
      </c>
      <c r="F22" s="8" t="e">
        <f t="shared" ca="1" si="4"/>
        <v>#NAME?</v>
      </c>
      <c r="G22" s="8" t="e">
        <f t="shared" ca="1" si="5"/>
        <v>#NAME?</v>
      </c>
      <c r="H22" s="8" t="e">
        <f t="shared" ca="1" si="6"/>
        <v>#NAME?</v>
      </c>
      <c r="I22" s="8" t="e">
        <f t="shared" ca="1" si="7"/>
        <v>#NAME?</v>
      </c>
      <c r="J22" s="8" t="e">
        <f t="shared" ca="1" si="8"/>
        <v>#NAME?</v>
      </c>
      <c r="K22" s="8" t="e">
        <f t="shared" ca="1" si="9"/>
        <v>#NAME?</v>
      </c>
      <c r="L22" s="8" t="e">
        <f t="shared" ca="1" si="10"/>
        <v>#NAME?</v>
      </c>
      <c r="M22" s="8" t="e">
        <f t="shared" ca="1" si="11"/>
        <v>#NAME?</v>
      </c>
      <c r="N22" s="8" t="e">
        <f t="shared" ca="1" si="12"/>
        <v>#NAME?</v>
      </c>
    </row>
    <row r="23" spans="1:14" x14ac:dyDescent="0.35">
      <c r="A23" s="7" t="s">
        <v>150</v>
      </c>
      <c r="B23" s="7" t="s">
        <v>416</v>
      </c>
      <c r="C23" s="8" t="e">
        <f t="shared" ca="1" si="1"/>
        <v>#NAME?</v>
      </c>
      <c r="D23" s="8" t="e">
        <f t="shared" ca="1" si="2"/>
        <v>#NAME?</v>
      </c>
      <c r="E23" s="8" t="e">
        <f t="shared" ca="1" si="3"/>
        <v>#NAME?</v>
      </c>
      <c r="F23" s="8" t="e">
        <f t="shared" ca="1" si="4"/>
        <v>#NAME?</v>
      </c>
      <c r="G23" s="8" t="e">
        <f t="shared" ca="1" si="5"/>
        <v>#NAME?</v>
      </c>
      <c r="H23" s="8" t="e">
        <f t="shared" ca="1" si="6"/>
        <v>#NAME?</v>
      </c>
      <c r="I23" s="8" t="e">
        <f t="shared" ca="1" si="7"/>
        <v>#NAME?</v>
      </c>
      <c r="J23" s="8" t="e">
        <f t="shared" ca="1" si="8"/>
        <v>#NAME?</v>
      </c>
      <c r="K23" s="8" t="e">
        <f t="shared" ca="1" si="9"/>
        <v>#NAME?</v>
      </c>
      <c r="L23" s="8" t="e">
        <f t="shared" ca="1" si="10"/>
        <v>#NAME?</v>
      </c>
      <c r="M23" s="8" t="e">
        <f t="shared" ca="1" si="11"/>
        <v>#NAME?</v>
      </c>
      <c r="N23" s="8" t="e">
        <f t="shared" ca="1" si="12"/>
        <v>#NAME?</v>
      </c>
    </row>
    <row r="24" spans="1:14" x14ac:dyDescent="0.35">
      <c r="A24" s="7" t="s">
        <v>203</v>
      </c>
      <c r="B24" s="7" t="s">
        <v>583</v>
      </c>
      <c r="C24" s="8" t="e">
        <f t="shared" ca="1" si="1"/>
        <v>#NAME?</v>
      </c>
      <c r="D24" s="8" t="e">
        <f t="shared" ca="1" si="2"/>
        <v>#NAME?</v>
      </c>
      <c r="E24" s="8" t="e">
        <f t="shared" ca="1" si="3"/>
        <v>#NAME?</v>
      </c>
      <c r="F24" s="8" t="e">
        <f t="shared" ca="1" si="4"/>
        <v>#NAME?</v>
      </c>
      <c r="G24" s="8" t="e">
        <f t="shared" ca="1" si="5"/>
        <v>#NAME?</v>
      </c>
      <c r="H24" s="8" t="e">
        <f t="shared" ca="1" si="6"/>
        <v>#NAME?</v>
      </c>
      <c r="I24" s="8" t="e">
        <f t="shared" ca="1" si="7"/>
        <v>#NAME?</v>
      </c>
      <c r="J24" s="8" t="e">
        <f t="shared" ca="1" si="8"/>
        <v>#NAME?</v>
      </c>
      <c r="K24" s="8" t="e">
        <f t="shared" ca="1" si="9"/>
        <v>#NAME?</v>
      </c>
      <c r="L24" s="8" t="e">
        <f t="shared" ca="1" si="10"/>
        <v>#NAME?</v>
      </c>
      <c r="M24" s="8" t="e">
        <f t="shared" ca="1" si="11"/>
        <v>#NAME?</v>
      </c>
      <c r="N24" s="8" t="e">
        <f t="shared" ca="1" si="12"/>
        <v>#NAME?</v>
      </c>
    </row>
    <row r="25" spans="1:14" x14ac:dyDescent="0.35">
      <c r="A25" s="7" t="s">
        <v>683</v>
      </c>
      <c r="B25" s="7" t="s">
        <v>684</v>
      </c>
      <c r="C25" s="8" t="e">
        <f t="shared" ca="1" si="1"/>
        <v>#NAME?</v>
      </c>
      <c r="D25" s="8" t="e">
        <f t="shared" ca="1" si="2"/>
        <v>#NAME?</v>
      </c>
      <c r="E25" s="8" t="e">
        <f t="shared" ca="1" si="3"/>
        <v>#NAME?</v>
      </c>
      <c r="F25" s="8" t="e">
        <f t="shared" ca="1" si="4"/>
        <v>#NAME?</v>
      </c>
      <c r="G25" s="8" t="e">
        <f t="shared" ca="1" si="5"/>
        <v>#NAME?</v>
      </c>
      <c r="H25" s="8" t="e">
        <f t="shared" ca="1" si="6"/>
        <v>#NAME?</v>
      </c>
      <c r="I25" s="8" t="e">
        <f t="shared" ca="1" si="7"/>
        <v>#NAME?</v>
      </c>
      <c r="J25" s="8" t="e">
        <f t="shared" ca="1" si="8"/>
        <v>#NAME?</v>
      </c>
      <c r="K25" s="8" t="e">
        <f t="shared" ca="1" si="9"/>
        <v>#NAME?</v>
      </c>
      <c r="L25" s="8" t="e">
        <f t="shared" ca="1" si="10"/>
        <v>#NAME?</v>
      </c>
      <c r="M25" s="8" t="e">
        <f t="shared" ca="1" si="11"/>
        <v>#NAME?</v>
      </c>
      <c r="N25" s="8" t="e">
        <f t="shared" ca="1" si="12"/>
        <v>#NAME?</v>
      </c>
    </row>
  </sheetData>
  <mergeCells count="1">
    <mergeCell ref="A1:O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32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685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686</v>
      </c>
    </row>
    <row r="6" spans="1:15" x14ac:dyDescent="0.35">
      <c r="A6" s="2" t="s">
        <v>15</v>
      </c>
      <c r="B6" s="5">
        <v>2025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300</v>
      </c>
      <c r="B11" s="7" t="s">
        <v>301</v>
      </c>
      <c r="C11" s="8" t="e">
        <f t="shared" ref="C11:C22" ca="1" si="0">EPM($B$5,$B$6,1,A11,"period_net_amount",$B$7)</f>
        <v>#NAME?</v>
      </c>
      <c r="D11" s="8" t="e">
        <f t="shared" ref="D11:D22" ca="1" si="1">EPM($B$5,$B$6,2,A11,"period_net_amount",$B$7)</f>
        <v>#NAME?</v>
      </c>
      <c r="E11" s="8" t="e">
        <f t="shared" ref="E11:E22" ca="1" si="2">EPM($B$5,$B$6,3,A11,"period_net_amount",$B$7)</f>
        <v>#NAME?</v>
      </c>
      <c r="F11" s="8" t="e">
        <f t="shared" ref="F11:F22" ca="1" si="3">EPM($B$5,$B$6,4,A11,"period_net_amount",$B$7)</f>
        <v>#NAME?</v>
      </c>
      <c r="G11" s="8" t="e">
        <f t="shared" ref="G11:G22" ca="1" si="4">EPM($B$5,$B$6,5,A11,"period_net_amount",$B$7)</f>
        <v>#NAME?</v>
      </c>
      <c r="H11" s="8" t="e">
        <f t="shared" ref="H11:H22" ca="1" si="5">EPM($B$5,$B$6,6,A11,"period_net_amount",$B$7)</f>
        <v>#NAME?</v>
      </c>
      <c r="I11" s="8" t="e">
        <f t="shared" ref="I11:I22" ca="1" si="6">EPM($B$5,$B$6,7,A11,"period_net_amount",$B$7)</f>
        <v>#NAME?</v>
      </c>
      <c r="J11" s="8" t="e">
        <f t="shared" ref="J11:J22" ca="1" si="7">EPM($B$5,$B$6,8,A11,"period_net_amount",$B$7)</f>
        <v>#NAME?</v>
      </c>
      <c r="K11" s="8" t="e">
        <f t="shared" ref="K11:K22" ca="1" si="8">EPM($B$5,$B$6,9,A11,"period_net_amount",$B$7)</f>
        <v>#NAME?</v>
      </c>
      <c r="L11" s="8" t="e">
        <f t="shared" ref="L11:L22" ca="1" si="9">EPM($B$5,$B$6,10,A11,"period_net_amount",$B$7)</f>
        <v>#NAME?</v>
      </c>
      <c r="M11" s="8" t="e">
        <f t="shared" ref="M11:M22" ca="1" si="10">EPM($B$5,$B$6,11,A11,"period_net_amount",$B$7)</f>
        <v>#NAME?</v>
      </c>
      <c r="N11" s="8" t="e">
        <f t="shared" ref="N11:N22" ca="1" si="11">EPM($B$5,$B$6,12,A11,"period_net_amount",$B$7)</f>
        <v>#NAME?</v>
      </c>
      <c r="O11" s="9" t="e">
        <f t="shared" ref="O11:O22" ca="1" si="12">SUM(C11:N11)</f>
        <v>#NAME?</v>
      </c>
    </row>
    <row r="12" spans="1:15" x14ac:dyDescent="0.35">
      <c r="A12" s="7" t="s">
        <v>687</v>
      </c>
      <c r="B12" s="7" t="s">
        <v>688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201</v>
      </c>
      <c r="B13" s="7" t="s">
        <v>202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283</v>
      </c>
      <c r="B14" s="7" t="s">
        <v>284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591</v>
      </c>
      <c r="B15" s="7" t="s">
        <v>689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140</v>
      </c>
      <c r="B16" s="7" t="s">
        <v>194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690</v>
      </c>
      <c r="B17" s="7" t="s">
        <v>691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A18" s="7" t="s">
        <v>476</v>
      </c>
      <c r="B18" s="7" t="s">
        <v>477</v>
      </c>
      <c r="C18" s="8" t="e">
        <f t="shared" ca="1" si="0"/>
        <v>#NAME?</v>
      </c>
      <c r="D18" s="8" t="e">
        <f t="shared" ca="1" si="1"/>
        <v>#NAME?</v>
      </c>
      <c r="E18" s="8" t="e">
        <f t="shared" ca="1" si="2"/>
        <v>#NAME?</v>
      </c>
      <c r="F18" s="8" t="e">
        <f t="shared" ca="1" si="3"/>
        <v>#NAME?</v>
      </c>
      <c r="G18" s="8" t="e">
        <f t="shared" ca="1" si="4"/>
        <v>#NAME?</v>
      </c>
      <c r="H18" s="8" t="e">
        <f t="shared" ca="1" si="5"/>
        <v>#NAME?</v>
      </c>
      <c r="I18" s="8" t="e">
        <f t="shared" ca="1" si="6"/>
        <v>#NAME?</v>
      </c>
      <c r="J18" s="8" t="e">
        <f t="shared" ca="1" si="7"/>
        <v>#NAME?</v>
      </c>
      <c r="K18" s="8" t="e">
        <f t="shared" ca="1" si="8"/>
        <v>#NAME?</v>
      </c>
      <c r="L18" s="8" t="e">
        <f t="shared" ca="1" si="9"/>
        <v>#NAME?</v>
      </c>
      <c r="M18" s="8" t="e">
        <f t="shared" ca="1" si="10"/>
        <v>#NAME?</v>
      </c>
      <c r="N18" s="8" t="e">
        <f t="shared" ca="1" si="11"/>
        <v>#NAME?</v>
      </c>
      <c r="O18" s="9" t="e">
        <f t="shared" ca="1" si="12"/>
        <v>#NAME?</v>
      </c>
    </row>
    <row r="19" spans="1:15" x14ac:dyDescent="0.35">
      <c r="A19" s="7" t="s">
        <v>36</v>
      </c>
      <c r="B19" s="7" t="s">
        <v>318</v>
      </c>
      <c r="C19" s="8" t="e">
        <f t="shared" ca="1" si="0"/>
        <v>#NAME?</v>
      </c>
      <c r="D19" s="8" t="e">
        <f t="shared" ca="1" si="1"/>
        <v>#NAME?</v>
      </c>
      <c r="E19" s="8" t="e">
        <f t="shared" ca="1" si="2"/>
        <v>#NAME?</v>
      </c>
      <c r="F19" s="8" t="e">
        <f t="shared" ca="1" si="3"/>
        <v>#NAME?</v>
      </c>
      <c r="G19" s="8" t="e">
        <f t="shared" ca="1" si="4"/>
        <v>#NAME?</v>
      </c>
      <c r="H19" s="8" t="e">
        <f t="shared" ca="1" si="5"/>
        <v>#NAME?</v>
      </c>
      <c r="I19" s="8" t="e">
        <f t="shared" ca="1" si="6"/>
        <v>#NAME?</v>
      </c>
      <c r="J19" s="8" t="e">
        <f t="shared" ca="1" si="7"/>
        <v>#NAME?</v>
      </c>
      <c r="K19" s="8" t="e">
        <f t="shared" ca="1" si="8"/>
        <v>#NAME?</v>
      </c>
      <c r="L19" s="8" t="e">
        <f t="shared" ca="1" si="9"/>
        <v>#NAME?</v>
      </c>
      <c r="M19" s="8" t="e">
        <f t="shared" ca="1" si="10"/>
        <v>#NAME?</v>
      </c>
      <c r="N19" s="8" t="e">
        <f t="shared" ca="1" si="11"/>
        <v>#NAME?</v>
      </c>
      <c r="O19" s="9" t="e">
        <f t="shared" ca="1" si="12"/>
        <v>#NAME?</v>
      </c>
    </row>
    <row r="20" spans="1:15" x14ac:dyDescent="0.35">
      <c r="A20" s="7" t="s">
        <v>432</v>
      </c>
      <c r="B20" s="7" t="s">
        <v>692</v>
      </c>
      <c r="C20" s="8" t="e">
        <f t="shared" ca="1" si="0"/>
        <v>#NAME?</v>
      </c>
      <c r="D20" s="8" t="e">
        <f t="shared" ca="1" si="1"/>
        <v>#NAME?</v>
      </c>
      <c r="E20" s="8" t="e">
        <f t="shared" ca="1" si="2"/>
        <v>#NAME?</v>
      </c>
      <c r="F20" s="8" t="e">
        <f t="shared" ca="1" si="3"/>
        <v>#NAME?</v>
      </c>
      <c r="G20" s="8" t="e">
        <f t="shared" ca="1" si="4"/>
        <v>#NAME?</v>
      </c>
      <c r="H20" s="8" t="e">
        <f t="shared" ca="1" si="5"/>
        <v>#NAME?</v>
      </c>
      <c r="I20" s="8" t="e">
        <f t="shared" ca="1" si="6"/>
        <v>#NAME?</v>
      </c>
      <c r="J20" s="8" t="e">
        <f t="shared" ca="1" si="7"/>
        <v>#NAME?</v>
      </c>
      <c r="K20" s="8" t="e">
        <f t="shared" ca="1" si="8"/>
        <v>#NAME?</v>
      </c>
      <c r="L20" s="8" t="e">
        <f t="shared" ca="1" si="9"/>
        <v>#NAME?</v>
      </c>
      <c r="M20" s="8" t="e">
        <f t="shared" ca="1" si="10"/>
        <v>#NAME?</v>
      </c>
      <c r="N20" s="8" t="e">
        <f t="shared" ca="1" si="11"/>
        <v>#NAME?</v>
      </c>
      <c r="O20" s="9" t="e">
        <f t="shared" ca="1" si="12"/>
        <v>#NAME?</v>
      </c>
    </row>
    <row r="21" spans="1:15" x14ac:dyDescent="0.35">
      <c r="A21" s="7" t="s">
        <v>34</v>
      </c>
      <c r="B21" s="7" t="s">
        <v>35</v>
      </c>
      <c r="C21" s="8" t="e">
        <f t="shared" ca="1" si="0"/>
        <v>#NAME?</v>
      </c>
      <c r="D21" s="8" t="e">
        <f t="shared" ca="1" si="1"/>
        <v>#NAME?</v>
      </c>
      <c r="E21" s="8" t="e">
        <f t="shared" ca="1" si="2"/>
        <v>#NAME?</v>
      </c>
      <c r="F21" s="8" t="e">
        <f t="shared" ca="1" si="3"/>
        <v>#NAME?</v>
      </c>
      <c r="G21" s="8" t="e">
        <f t="shared" ca="1" si="4"/>
        <v>#NAME?</v>
      </c>
      <c r="H21" s="8" t="e">
        <f t="shared" ca="1" si="5"/>
        <v>#NAME?</v>
      </c>
      <c r="I21" s="8" t="e">
        <f t="shared" ca="1" si="6"/>
        <v>#NAME?</v>
      </c>
      <c r="J21" s="8" t="e">
        <f t="shared" ca="1" si="7"/>
        <v>#NAME?</v>
      </c>
      <c r="K21" s="8" t="e">
        <f t="shared" ca="1" si="8"/>
        <v>#NAME?</v>
      </c>
      <c r="L21" s="8" t="e">
        <f t="shared" ca="1" si="9"/>
        <v>#NAME?</v>
      </c>
      <c r="M21" s="8" t="e">
        <f t="shared" ca="1" si="10"/>
        <v>#NAME?</v>
      </c>
      <c r="N21" s="8" t="e">
        <f t="shared" ca="1" si="11"/>
        <v>#NAME?</v>
      </c>
      <c r="O21" s="9" t="e">
        <f t="shared" ca="1" si="12"/>
        <v>#NAME?</v>
      </c>
    </row>
    <row r="22" spans="1:15" x14ac:dyDescent="0.35">
      <c r="A22" s="7" t="s">
        <v>693</v>
      </c>
      <c r="B22" s="7" t="s">
        <v>694</v>
      </c>
      <c r="C22" s="8" t="e">
        <f t="shared" ca="1" si="0"/>
        <v>#NAME?</v>
      </c>
      <c r="D22" s="8" t="e">
        <f t="shared" ca="1" si="1"/>
        <v>#NAME?</v>
      </c>
      <c r="E22" s="8" t="e">
        <f t="shared" ca="1" si="2"/>
        <v>#NAME?</v>
      </c>
      <c r="F22" s="8" t="e">
        <f t="shared" ca="1" si="3"/>
        <v>#NAME?</v>
      </c>
      <c r="G22" s="8" t="e">
        <f t="shared" ca="1" si="4"/>
        <v>#NAME?</v>
      </c>
      <c r="H22" s="8" t="e">
        <f t="shared" ca="1" si="5"/>
        <v>#NAME?</v>
      </c>
      <c r="I22" s="8" t="e">
        <f t="shared" ca="1" si="6"/>
        <v>#NAME?</v>
      </c>
      <c r="J22" s="8" t="e">
        <f t="shared" ca="1" si="7"/>
        <v>#NAME?</v>
      </c>
      <c r="K22" s="8" t="e">
        <f t="shared" ca="1" si="8"/>
        <v>#NAME?</v>
      </c>
      <c r="L22" s="8" t="e">
        <f t="shared" ca="1" si="9"/>
        <v>#NAME?</v>
      </c>
      <c r="M22" s="8" t="e">
        <f t="shared" ca="1" si="10"/>
        <v>#NAME?</v>
      </c>
      <c r="N22" s="8" t="e">
        <f t="shared" ca="1" si="11"/>
        <v>#NAME?</v>
      </c>
      <c r="O22" s="9" t="e">
        <f t="shared" ca="1" si="12"/>
        <v>#NAME?</v>
      </c>
    </row>
    <row r="23" spans="1:15" x14ac:dyDescent="0.35">
      <c r="B23" s="10" t="s">
        <v>57</v>
      </c>
      <c r="C23" s="11" t="e">
        <f t="shared" ref="C23:O23" ca="1" si="13">SUM(C11:C22)</f>
        <v>#NAME?</v>
      </c>
      <c r="D23" s="11" t="e">
        <f t="shared" ca="1" si="13"/>
        <v>#NAME?</v>
      </c>
      <c r="E23" s="11" t="e">
        <f t="shared" ca="1" si="13"/>
        <v>#NAME?</v>
      </c>
      <c r="F23" s="11" t="e">
        <f t="shared" ca="1" si="13"/>
        <v>#NAME?</v>
      </c>
      <c r="G23" s="11" t="e">
        <f t="shared" ca="1" si="13"/>
        <v>#NAME?</v>
      </c>
      <c r="H23" s="11" t="e">
        <f t="shared" ca="1" si="13"/>
        <v>#NAME?</v>
      </c>
      <c r="I23" s="11" t="e">
        <f t="shared" ca="1" si="13"/>
        <v>#NAME?</v>
      </c>
      <c r="J23" s="11" t="e">
        <f t="shared" ca="1" si="13"/>
        <v>#NAME?</v>
      </c>
      <c r="K23" s="11" t="e">
        <f t="shared" ca="1" si="13"/>
        <v>#NAME?</v>
      </c>
      <c r="L23" s="11" t="e">
        <f t="shared" ca="1" si="13"/>
        <v>#NAME?</v>
      </c>
      <c r="M23" s="11" t="e">
        <f t="shared" ca="1" si="13"/>
        <v>#NAME?</v>
      </c>
      <c r="N23" s="11" t="e">
        <f t="shared" ca="1" si="13"/>
        <v>#NAME?</v>
      </c>
      <c r="O23" s="11" t="e">
        <f t="shared" ca="1" si="13"/>
        <v>#NAME?</v>
      </c>
    </row>
    <row r="25" spans="1:15" ht="15.5" x14ac:dyDescent="0.35">
      <c r="A25" s="4" t="s">
        <v>58</v>
      </c>
    </row>
    <row r="26" spans="1:15" x14ac:dyDescent="0.35">
      <c r="A26" s="6" t="s">
        <v>19</v>
      </c>
      <c r="B26" s="6" t="s">
        <v>20</v>
      </c>
      <c r="C26" s="6" t="s">
        <v>21</v>
      </c>
      <c r="D26" s="6" t="s">
        <v>22</v>
      </c>
      <c r="E26" s="6" t="s">
        <v>23</v>
      </c>
      <c r="F26" s="6" t="s">
        <v>24</v>
      </c>
      <c r="G26" s="6" t="s">
        <v>25</v>
      </c>
      <c r="H26" s="6" t="s">
        <v>26</v>
      </c>
      <c r="I26" s="6" t="s">
        <v>27</v>
      </c>
      <c r="J26" s="6" t="s">
        <v>28</v>
      </c>
      <c r="K26" s="6" t="s">
        <v>29</v>
      </c>
      <c r="L26" s="6" t="s">
        <v>30</v>
      </c>
      <c r="M26" s="6" t="s">
        <v>31</v>
      </c>
      <c r="N26" s="6" t="s">
        <v>32</v>
      </c>
    </row>
    <row r="27" spans="1:15" x14ac:dyDescent="0.35">
      <c r="A27" s="7" t="s">
        <v>206</v>
      </c>
      <c r="B27" s="7" t="s">
        <v>207</v>
      </c>
      <c r="C27" s="8" t="e">
        <f t="shared" ref="C27:C32" ca="1" si="14">EPM($B$5,$B$6,1,A27,"period_net_amount",$B$7)</f>
        <v>#NAME?</v>
      </c>
      <c r="D27" s="8" t="e">
        <f t="shared" ref="D27:D32" ca="1" si="15">EPM($B$5,$B$6,2,A27,"period_net_amount",$B$7)</f>
        <v>#NAME?</v>
      </c>
      <c r="E27" s="8" t="e">
        <f t="shared" ref="E27:E32" ca="1" si="16">EPM($B$5,$B$6,3,A27,"period_net_amount",$B$7)</f>
        <v>#NAME?</v>
      </c>
      <c r="F27" s="8" t="e">
        <f t="shared" ref="F27:F32" ca="1" si="17">EPM($B$5,$B$6,4,A27,"period_net_amount",$B$7)</f>
        <v>#NAME?</v>
      </c>
      <c r="G27" s="8" t="e">
        <f t="shared" ref="G27:G32" ca="1" si="18">EPM($B$5,$B$6,5,A27,"period_net_amount",$B$7)</f>
        <v>#NAME?</v>
      </c>
      <c r="H27" s="8" t="e">
        <f t="shared" ref="H27:H32" ca="1" si="19">EPM($B$5,$B$6,6,A27,"period_net_amount",$B$7)</f>
        <v>#NAME?</v>
      </c>
      <c r="I27" s="8" t="e">
        <f t="shared" ref="I27:I32" ca="1" si="20">EPM($B$5,$B$6,7,A27,"period_net_amount",$B$7)</f>
        <v>#NAME?</v>
      </c>
      <c r="J27" s="8" t="e">
        <f t="shared" ref="J27:J32" ca="1" si="21">EPM($B$5,$B$6,8,A27,"period_net_amount",$B$7)</f>
        <v>#NAME?</v>
      </c>
      <c r="K27" s="8" t="e">
        <f t="shared" ref="K27:K32" ca="1" si="22">EPM($B$5,$B$6,9,A27,"period_net_amount",$B$7)</f>
        <v>#NAME?</v>
      </c>
      <c r="L27" s="8" t="e">
        <f t="shared" ref="L27:L32" ca="1" si="23">EPM($B$5,$B$6,10,A27,"period_net_amount",$B$7)</f>
        <v>#NAME?</v>
      </c>
      <c r="M27" s="8" t="e">
        <f t="shared" ref="M27:M32" ca="1" si="24">EPM($B$5,$B$6,11,A27,"period_net_amount",$B$7)</f>
        <v>#NAME?</v>
      </c>
      <c r="N27" s="8" t="e">
        <f t="shared" ref="N27:N32" ca="1" si="25">EPM($B$5,$B$6,12,A27,"period_net_amount",$B$7)</f>
        <v>#NAME?</v>
      </c>
    </row>
    <row r="28" spans="1:15" x14ac:dyDescent="0.35">
      <c r="A28" s="7" t="s">
        <v>61</v>
      </c>
      <c r="B28" s="7" t="s">
        <v>62</v>
      </c>
      <c r="C28" s="8" t="e">
        <f t="shared" ca="1" si="14"/>
        <v>#NAME?</v>
      </c>
      <c r="D28" s="8" t="e">
        <f t="shared" ca="1" si="15"/>
        <v>#NAME?</v>
      </c>
      <c r="E28" s="8" t="e">
        <f t="shared" ca="1" si="16"/>
        <v>#NAME?</v>
      </c>
      <c r="F28" s="8" t="e">
        <f t="shared" ca="1" si="17"/>
        <v>#NAME?</v>
      </c>
      <c r="G28" s="8" t="e">
        <f t="shared" ca="1" si="18"/>
        <v>#NAME?</v>
      </c>
      <c r="H28" s="8" t="e">
        <f t="shared" ca="1" si="19"/>
        <v>#NAME?</v>
      </c>
      <c r="I28" s="8" t="e">
        <f t="shared" ca="1" si="20"/>
        <v>#NAME?</v>
      </c>
      <c r="J28" s="8" t="e">
        <f t="shared" ca="1" si="21"/>
        <v>#NAME?</v>
      </c>
      <c r="K28" s="8" t="e">
        <f t="shared" ca="1" si="22"/>
        <v>#NAME?</v>
      </c>
      <c r="L28" s="8" t="e">
        <f t="shared" ca="1" si="23"/>
        <v>#NAME?</v>
      </c>
      <c r="M28" s="8" t="e">
        <f t="shared" ca="1" si="24"/>
        <v>#NAME?</v>
      </c>
      <c r="N28" s="8" t="e">
        <f t="shared" ca="1" si="25"/>
        <v>#NAME?</v>
      </c>
    </row>
    <row r="29" spans="1:15" x14ac:dyDescent="0.35">
      <c r="A29" s="7" t="s">
        <v>203</v>
      </c>
      <c r="B29" s="7" t="s">
        <v>583</v>
      </c>
      <c r="C29" s="8" t="e">
        <f t="shared" ca="1" si="14"/>
        <v>#NAME?</v>
      </c>
      <c r="D29" s="8" t="e">
        <f t="shared" ca="1" si="15"/>
        <v>#NAME?</v>
      </c>
      <c r="E29" s="8" t="e">
        <f t="shared" ca="1" si="16"/>
        <v>#NAME?</v>
      </c>
      <c r="F29" s="8" t="e">
        <f t="shared" ca="1" si="17"/>
        <v>#NAME?</v>
      </c>
      <c r="G29" s="8" t="e">
        <f t="shared" ca="1" si="18"/>
        <v>#NAME?</v>
      </c>
      <c r="H29" s="8" t="e">
        <f t="shared" ca="1" si="19"/>
        <v>#NAME?</v>
      </c>
      <c r="I29" s="8" t="e">
        <f t="shared" ca="1" si="20"/>
        <v>#NAME?</v>
      </c>
      <c r="J29" s="8" t="e">
        <f t="shared" ca="1" si="21"/>
        <v>#NAME?</v>
      </c>
      <c r="K29" s="8" t="e">
        <f t="shared" ca="1" si="22"/>
        <v>#NAME?</v>
      </c>
      <c r="L29" s="8" t="e">
        <f t="shared" ca="1" si="23"/>
        <v>#NAME?</v>
      </c>
      <c r="M29" s="8" t="e">
        <f t="shared" ca="1" si="24"/>
        <v>#NAME?</v>
      </c>
      <c r="N29" s="8" t="e">
        <f t="shared" ca="1" si="25"/>
        <v>#NAME?</v>
      </c>
    </row>
    <row r="30" spans="1:15" x14ac:dyDescent="0.35">
      <c r="A30" s="7" t="s">
        <v>585</v>
      </c>
      <c r="B30" s="7" t="s">
        <v>586</v>
      </c>
      <c r="C30" s="8" t="e">
        <f t="shared" ca="1" si="14"/>
        <v>#NAME?</v>
      </c>
      <c r="D30" s="8" t="e">
        <f t="shared" ca="1" si="15"/>
        <v>#NAME?</v>
      </c>
      <c r="E30" s="8" t="e">
        <f t="shared" ca="1" si="16"/>
        <v>#NAME?</v>
      </c>
      <c r="F30" s="8" t="e">
        <f t="shared" ca="1" si="17"/>
        <v>#NAME?</v>
      </c>
      <c r="G30" s="8" t="e">
        <f t="shared" ca="1" si="18"/>
        <v>#NAME?</v>
      </c>
      <c r="H30" s="8" t="e">
        <f t="shared" ca="1" si="19"/>
        <v>#NAME?</v>
      </c>
      <c r="I30" s="8" t="e">
        <f t="shared" ca="1" si="20"/>
        <v>#NAME?</v>
      </c>
      <c r="J30" s="8" t="e">
        <f t="shared" ca="1" si="21"/>
        <v>#NAME?</v>
      </c>
      <c r="K30" s="8" t="e">
        <f t="shared" ca="1" si="22"/>
        <v>#NAME?</v>
      </c>
      <c r="L30" s="8" t="e">
        <f t="shared" ca="1" si="23"/>
        <v>#NAME?</v>
      </c>
      <c r="M30" s="8" t="e">
        <f t="shared" ca="1" si="24"/>
        <v>#NAME?</v>
      </c>
      <c r="N30" s="8" t="e">
        <f t="shared" ca="1" si="25"/>
        <v>#NAME?</v>
      </c>
    </row>
    <row r="31" spans="1:15" x14ac:dyDescent="0.35">
      <c r="A31" s="7" t="s">
        <v>447</v>
      </c>
      <c r="B31" s="7" t="s">
        <v>448</v>
      </c>
      <c r="C31" s="8" t="e">
        <f t="shared" ca="1" si="14"/>
        <v>#NAME?</v>
      </c>
      <c r="D31" s="8" t="e">
        <f t="shared" ca="1" si="15"/>
        <v>#NAME?</v>
      </c>
      <c r="E31" s="8" t="e">
        <f t="shared" ca="1" si="16"/>
        <v>#NAME?</v>
      </c>
      <c r="F31" s="8" t="e">
        <f t="shared" ca="1" si="17"/>
        <v>#NAME?</v>
      </c>
      <c r="G31" s="8" t="e">
        <f t="shared" ca="1" si="18"/>
        <v>#NAME?</v>
      </c>
      <c r="H31" s="8" t="e">
        <f t="shared" ca="1" si="19"/>
        <v>#NAME?</v>
      </c>
      <c r="I31" s="8" t="e">
        <f t="shared" ca="1" si="20"/>
        <v>#NAME?</v>
      </c>
      <c r="J31" s="8" t="e">
        <f t="shared" ca="1" si="21"/>
        <v>#NAME?</v>
      </c>
      <c r="K31" s="8" t="e">
        <f t="shared" ca="1" si="22"/>
        <v>#NAME?</v>
      </c>
      <c r="L31" s="8" t="e">
        <f t="shared" ca="1" si="23"/>
        <v>#NAME?</v>
      </c>
      <c r="M31" s="8" t="e">
        <f t="shared" ca="1" si="24"/>
        <v>#NAME?</v>
      </c>
      <c r="N31" s="8" t="e">
        <f t="shared" ca="1" si="25"/>
        <v>#NAME?</v>
      </c>
    </row>
    <row r="32" spans="1:15" x14ac:dyDescent="0.35">
      <c r="A32" s="7" t="s">
        <v>695</v>
      </c>
      <c r="B32" s="7" t="s">
        <v>696</v>
      </c>
      <c r="C32" s="8" t="e">
        <f t="shared" ca="1" si="14"/>
        <v>#NAME?</v>
      </c>
      <c r="D32" s="8" t="e">
        <f t="shared" ca="1" si="15"/>
        <v>#NAME?</v>
      </c>
      <c r="E32" s="8" t="e">
        <f t="shared" ca="1" si="16"/>
        <v>#NAME?</v>
      </c>
      <c r="F32" s="8" t="e">
        <f t="shared" ca="1" si="17"/>
        <v>#NAME?</v>
      </c>
      <c r="G32" s="8" t="e">
        <f t="shared" ca="1" si="18"/>
        <v>#NAME?</v>
      </c>
      <c r="H32" s="8" t="e">
        <f t="shared" ca="1" si="19"/>
        <v>#NAME?</v>
      </c>
      <c r="I32" s="8" t="e">
        <f t="shared" ca="1" si="20"/>
        <v>#NAME?</v>
      </c>
      <c r="J32" s="8" t="e">
        <f t="shared" ca="1" si="21"/>
        <v>#NAME?</v>
      </c>
      <c r="K32" s="8" t="e">
        <f t="shared" ca="1" si="22"/>
        <v>#NAME?</v>
      </c>
      <c r="L32" s="8" t="e">
        <f t="shared" ca="1" si="23"/>
        <v>#NAME?</v>
      </c>
      <c r="M32" s="8" t="e">
        <f t="shared" ca="1" si="24"/>
        <v>#NAME?</v>
      </c>
      <c r="N32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32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697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698</v>
      </c>
    </row>
    <row r="6" spans="1:15" x14ac:dyDescent="0.35">
      <c r="A6" s="2" t="s">
        <v>15</v>
      </c>
      <c r="B6" s="5">
        <v>2025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300</v>
      </c>
      <c r="B11" s="7" t="s">
        <v>301</v>
      </c>
      <c r="C11" s="8" t="e">
        <f t="shared" ref="C11:C22" ca="1" si="0">EPM($B$5,$B$6,1,A11,"period_net_amount",$B$7)</f>
        <v>#NAME?</v>
      </c>
      <c r="D11" s="8" t="e">
        <f t="shared" ref="D11:D22" ca="1" si="1">EPM($B$5,$B$6,2,A11,"period_net_amount",$B$7)</f>
        <v>#NAME?</v>
      </c>
      <c r="E11" s="8" t="e">
        <f t="shared" ref="E11:E22" ca="1" si="2">EPM($B$5,$B$6,3,A11,"period_net_amount",$B$7)</f>
        <v>#NAME?</v>
      </c>
      <c r="F11" s="8" t="e">
        <f t="shared" ref="F11:F22" ca="1" si="3">EPM($B$5,$B$6,4,A11,"period_net_amount",$B$7)</f>
        <v>#NAME?</v>
      </c>
      <c r="G11" s="8" t="e">
        <f t="shared" ref="G11:G22" ca="1" si="4">EPM($B$5,$B$6,5,A11,"period_net_amount",$B$7)</f>
        <v>#NAME?</v>
      </c>
      <c r="H11" s="8" t="e">
        <f t="shared" ref="H11:H22" ca="1" si="5">EPM($B$5,$B$6,6,A11,"period_net_amount",$B$7)</f>
        <v>#NAME?</v>
      </c>
      <c r="I11" s="8" t="e">
        <f t="shared" ref="I11:I22" ca="1" si="6">EPM($B$5,$B$6,7,A11,"period_net_amount",$B$7)</f>
        <v>#NAME?</v>
      </c>
      <c r="J11" s="8" t="e">
        <f t="shared" ref="J11:J22" ca="1" si="7">EPM($B$5,$B$6,8,A11,"period_net_amount",$B$7)</f>
        <v>#NAME?</v>
      </c>
      <c r="K11" s="8" t="e">
        <f t="shared" ref="K11:K22" ca="1" si="8">EPM($B$5,$B$6,9,A11,"period_net_amount",$B$7)</f>
        <v>#NAME?</v>
      </c>
      <c r="L11" s="8" t="e">
        <f t="shared" ref="L11:L22" ca="1" si="9">EPM($B$5,$B$6,10,A11,"period_net_amount",$B$7)</f>
        <v>#NAME?</v>
      </c>
      <c r="M11" s="8" t="e">
        <f t="shared" ref="M11:M22" ca="1" si="10">EPM($B$5,$B$6,11,A11,"period_net_amount",$B$7)</f>
        <v>#NAME?</v>
      </c>
      <c r="N11" s="8" t="e">
        <f t="shared" ref="N11:N22" ca="1" si="11">EPM($B$5,$B$6,12,A11,"period_net_amount",$B$7)</f>
        <v>#NAME?</v>
      </c>
      <c r="O11" s="9" t="e">
        <f t="shared" ref="O11:O22" ca="1" si="12">SUM(C11:N11)</f>
        <v>#NAME?</v>
      </c>
    </row>
    <row r="12" spans="1:15" x14ac:dyDescent="0.35">
      <c r="A12" s="7" t="s">
        <v>44</v>
      </c>
      <c r="B12" s="7" t="s">
        <v>45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313</v>
      </c>
      <c r="B13" s="7" t="s">
        <v>424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52</v>
      </c>
      <c r="B14" s="7" t="s">
        <v>49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34</v>
      </c>
      <c r="B15" s="7" t="s">
        <v>431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429</v>
      </c>
      <c r="B16" s="7" t="s">
        <v>430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297</v>
      </c>
      <c r="B17" s="7" t="s">
        <v>317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A18" s="7" t="s">
        <v>142</v>
      </c>
      <c r="B18" s="7" t="s">
        <v>143</v>
      </c>
      <c r="C18" s="8" t="e">
        <f t="shared" ca="1" si="0"/>
        <v>#NAME?</v>
      </c>
      <c r="D18" s="8" t="e">
        <f t="shared" ca="1" si="1"/>
        <v>#NAME?</v>
      </c>
      <c r="E18" s="8" t="e">
        <f t="shared" ca="1" si="2"/>
        <v>#NAME?</v>
      </c>
      <c r="F18" s="8" t="e">
        <f t="shared" ca="1" si="3"/>
        <v>#NAME?</v>
      </c>
      <c r="G18" s="8" t="e">
        <f t="shared" ca="1" si="4"/>
        <v>#NAME?</v>
      </c>
      <c r="H18" s="8" t="e">
        <f t="shared" ca="1" si="5"/>
        <v>#NAME?</v>
      </c>
      <c r="I18" s="8" t="e">
        <f t="shared" ca="1" si="6"/>
        <v>#NAME?</v>
      </c>
      <c r="J18" s="8" t="e">
        <f t="shared" ca="1" si="7"/>
        <v>#NAME?</v>
      </c>
      <c r="K18" s="8" t="e">
        <f t="shared" ca="1" si="8"/>
        <v>#NAME?</v>
      </c>
      <c r="L18" s="8" t="e">
        <f t="shared" ca="1" si="9"/>
        <v>#NAME?</v>
      </c>
      <c r="M18" s="8" t="e">
        <f t="shared" ca="1" si="10"/>
        <v>#NAME?</v>
      </c>
      <c r="N18" s="8" t="e">
        <f t="shared" ca="1" si="11"/>
        <v>#NAME?</v>
      </c>
      <c r="O18" s="9" t="e">
        <f t="shared" ca="1" si="12"/>
        <v>#NAME?</v>
      </c>
    </row>
    <row r="19" spans="1:15" x14ac:dyDescent="0.35">
      <c r="A19" s="7" t="s">
        <v>138</v>
      </c>
      <c r="B19" s="7" t="s">
        <v>139</v>
      </c>
      <c r="C19" s="8" t="e">
        <f t="shared" ca="1" si="0"/>
        <v>#NAME?</v>
      </c>
      <c r="D19" s="8" t="e">
        <f t="shared" ca="1" si="1"/>
        <v>#NAME?</v>
      </c>
      <c r="E19" s="8" t="e">
        <f t="shared" ca="1" si="2"/>
        <v>#NAME?</v>
      </c>
      <c r="F19" s="8" t="e">
        <f t="shared" ca="1" si="3"/>
        <v>#NAME?</v>
      </c>
      <c r="G19" s="8" t="e">
        <f t="shared" ca="1" si="4"/>
        <v>#NAME?</v>
      </c>
      <c r="H19" s="8" t="e">
        <f t="shared" ca="1" si="5"/>
        <v>#NAME?</v>
      </c>
      <c r="I19" s="8" t="e">
        <f t="shared" ca="1" si="6"/>
        <v>#NAME?</v>
      </c>
      <c r="J19" s="8" t="e">
        <f t="shared" ca="1" si="7"/>
        <v>#NAME?</v>
      </c>
      <c r="K19" s="8" t="e">
        <f t="shared" ca="1" si="8"/>
        <v>#NAME?</v>
      </c>
      <c r="L19" s="8" t="e">
        <f t="shared" ca="1" si="9"/>
        <v>#NAME?</v>
      </c>
      <c r="M19" s="8" t="e">
        <f t="shared" ca="1" si="10"/>
        <v>#NAME?</v>
      </c>
      <c r="N19" s="8" t="e">
        <f t="shared" ca="1" si="11"/>
        <v>#NAME?</v>
      </c>
      <c r="O19" s="9" t="e">
        <f t="shared" ca="1" si="12"/>
        <v>#NAME?</v>
      </c>
    </row>
    <row r="20" spans="1:15" x14ac:dyDescent="0.35">
      <c r="A20" s="7" t="s">
        <v>461</v>
      </c>
      <c r="B20" s="7" t="s">
        <v>490</v>
      </c>
      <c r="C20" s="8" t="e">
        <f t="shared" ca="1" si="0"/>
        <v>#NAME?</v>
      </c>
      <c r="D20" s="8" t="e">
        <f t="shared" ca="1" si="1"/>
        <v>#NAME?</v>
      </c>
      <c r="E20" s="8" t="e">
        <f t="shared" ca="1" si="2"/>
        <v>#NAME?</v>
      </c>
      <c r="F20" s="8" t="e">
        <f t="shared" ca="1" si="3"/>
        <v>#NAME?</v>
      </c>
      <c r="G20" s="8" t="e">
        <f t="shared" ca="1" si="4"/>
        <v>#NAME?</v>
      </c>
      <c r="H20" s="8" t="e">
        <f t="shared" ca="1" si="5"/>
        <v>#NAME?</v>
      </c>
      <c r="I20" s="8" t="e">
        <f t="shared" ca="1" si="6"/>
        <v>#NAME?</v>
      </c>
      <c r="J20" s="8" t="e">
        <f t="shared" ca="1" si="7"/>
        <v>#NAME?</v>
      </c>
      <c r="K20" s="8" t="e">
        <f t="shared" ca="1" si="8"/>
        <v>#NAME?</v>
      </c>
      <c r="L20" s="8" t="e">
        <f t="shared" ca="1" si="9"/>
        <v>#NAME?</v>
      </c>
      <c r="M20" s="8" t="e">
        <f t="shared" ca="1" si="10"/>
        <v>#NAME?</v>
      </c>
      <c r="N20" s="8" t="e">
        <f t="shared" ca="1" si="11"/>
        <v>#NAME?</v>
      </c>
      <c r="O20" s="9" t="e">
        <f t="shared" ca="1" si="12"/>
        <v>#NAME?</v>
      </c>
    </row>
    <row r="21" spans="1:15" x14ac:dyDescent="0.35">
      <c r="A21" s="7" t="s">
        <v>36</v>
      </c>
      <c r="B21" s="7" t="s">
        <v>318</v>
      </c>
      <c r="C21" s="8" t="e">
        <f t="shared" ca="1" si="0"/>
        <v>#NAME?</v>
      </c>
      <c r="D21" s="8" t="e">
        <f t="shared" ca="1" si="1"/>
        <v>#NAME?</v>
      </c>
      <c r="E21" s="8" t="e">
        <f t="shared" ca="1" si="2"/>
        <v>#NAME?</v>
      </c>
      <c r="F21" s="8" t="e">
        <f t="shared" ca="1" si="3"/>
        <v>#NAME?</v>
      </c>
      <c r="G21" s="8" t="e">
        <f t="shared" ca="1" si="4"/>
        <v>#NAME?</v>
      </c>
      <c r="H21" s="8" t="e">
        <f t="shared" ca="1" si="5"/>
        <v>#NAME?</v>
      </c>
      <c r="I21" s="8" t="e">
        <f t="shared" ca="1" si="6"/>
        <v>#NAME?</v>
      </c>
      <c r="J21" s="8" t="e">
        <f t="shared" ca="1" si="7"/>
        <v>#NAME?</v>
      </c>
      <c r="K21" s="8" t="e">
        <f t="shared" ca="1" si="8"/>
        <v>#NAME?</v>
      </c>
      <c r="L21" s="8" t="e">
        <f t="shared" ca="1" si="9"/>
        <v>#NAME?</v>
      </c>
      <c r="M21" s="8" t="e">
        <f t="shared" ca="1" si="10"/>
        <v>#NAME?</v>
      </c>
      <c r="N21" s="8" t="e">
        <f t="shared" ca="1" si="11"/>
        <v>#NAME?</v>
      </c>
      <c r="O21" s="9" t="e">
        <f t="shared" ca="1" si="12"/>
        <v>#NAME?</v>
      </c>
    </row>
    <row r="22" spans="1:15" x14ac:dyDescent="0.35">
      <c r="A22" s="7" t="s">
        <v>315</v>
      </c>
      <c r="B22" s="7" t="s">
        <v>699</v>
      </c>
      <c r="C22" s="8" t="e">
        <f t="shared" ca="1" si="0"/>
        <v>#NAME?</v>
      </c>
      <c r="D22" s="8" t="e">
        <f t="shared" ca="1" si="1"/>
        <v>#NAME?</v>
      </c>
      <c r="E22" s="8" t="e">
        <f t="shared" ca="1" si="2"/>
        <v>#NAME?</v>
      </c>
      <c r="F22" s="8" t="e">
        <f t="shared" ca="1" si="3"/>
        <v>#NAME?</v>
      </c>
      <c r="G22" s="8" t="e">
        <f t="shared" ca="1" si="4"/>
        <v>#NAME?</v>
      </c>
      <c r="H22" s="8" t="e">
        <f t="shared" ca="1" si="5"/>
        <v>#NAME?</v>
      </c>
      <c r="I22" s="8" t="e">
        <f t="shared" ca="1" si="6"/>
        <v>#NAME?</v>
      </c>
      <c r="J22" s="8" t="e">
        <f t="shared" ca="1" si="7"/>
        <v>#NAME?</v>
      </c>
      <c r="K22" s="8" t="e">
        <f t="shared" ca="1" si="8"/>
        <v>#NAME?</v>
      </c>
      <c r="L22" s="8" t="e">
        <f t="shared" ca="1" si="9"/>
        <v>#NAME?</v>
      </c>
      <c r="M22" s="8" t="e">
        <f t="shared" ca="1" si="10"/>
        <v>#NAME?</v>
      </c>
      <c r="N22" s="8" t="e">
        <f t="shared" ca="1" si="11"/>
        <v>#NAME?</v>
      </c>
      <c r="O22" s="9" t="e">
        <f t="shared" ca="1" si="12"/>
        <v>#NAME?</v>
      </c>
    </row>
    <row r="23" spans="1:15" x14ac:dyDescent="0.35">
      <c r="B23" s="10" t="s">
        <v>57</v>
      </c>
      <c r="C23" s="11" t="e">
        <f t="shared" ref="C23:O23" ca="1" si="13">SUM(C11:C22)</f>
        <v>#NAME?</v>
      </c>
      <c r="D23" s="11" t="e">
        <f t="shared" ca="1" si="13"/>
        <v>#NAME?</v>
      </c>
      <c r="E23" s="11" t="e">
        <f t="shared" ca="1" si="13"/>
        <v>#NAME?</v>
      </c>
      <c r="F23" s="11" t="e">
        <f t="shared" ca="1" si="13"/>
        <v>#NAME?</v>
      </c>
      <c r="G23" s="11" t="e">
        <f t="shared" ca="1" si="13"/>
        <v>#NAME?</v>
      </c>
      <c r="H23" s="11" t="e">
        <f t="shared" ca="1" si="13"/>
        <v>#NAME?</v>
      </c>
      <c r="I23" s="11" t="e">
        <f t="shared" ca="1" si="13"/>
        <v>#NAME?</v>
      </c>
      <c r="J23" s="11" t="e">
        <f t="shared" ca="1" si="13"/>
        <v>#NAME?</v>
      </c>
      <c r="K23" s="11" t="e">
        <f t="shared" ca="1" si="13"/>
        <v>#NAME?</v>
      </c>
      <c r="L23" s="11" t="e">
        <f t="shared" ca="1" si="13"/>
        <v>#NAME?</v>
      </c>
      <c r="M23" s="11" t="e">
        <f t="shared" ca="1" si="13"/>
        <v>#NAME?</v>
      </c>
      <c r="N23" s="11" t="e">
        <f t="shared" ca="1" si="13"/>
        <v>#NAME?</v>
      </c>
      <c r="O23" s="11" t="e">
        <f t="shared" ca="1" si="13"/>
        <v>#NAME?</v>
      </c>
    </row>
    <row r="25" spans="1:15" ht="15.5" x14ac:dyDescent="0.35">
      <c r="A25" s="4" t="s">
        <v>58</v>
      </c>
    </row>
    <row r="26" spans="1:15" x14ac:dyDescent="0.35">
      <c r="A26" s="6" t="s">
        <v>19</v>
      </c>
      <c r="B26" s="6" t="s">
        <v>20</v>
      </c>
      <c r="C26" s="6" t="s">
        <v>21</v>
      </c>
      <c r="D26" s="6" t="s">
        <v>22</v>
      </c>
      <c r="E26" s="6" t="s">
        <v>23</v>
      </c>
      <c r="F26" s="6" t="s">
        <v>24</v>
      </c>
      <c r="G26" s="6" t="s">
        <v>25</v>
      </c>
      <c r="H26" s="6" t="s">
        <v>26</v>
      </c>
      <c r="I26" s="6" t="s">
        <v>27</v>
      </c>
      <c r="J26" s="6" t="s">
        <v>28</v>
      </c>
      <c r="K26" s="6" t="s">
        <v>29</v>
      </c>
      <c r="L26" s="6" t="s">
        <v>30</v>
      </c>
      <c r="M26" s="6" t="s">
        <v>31</v>
      </c>
      <c r="N26" s="6" t="s">
        <v>32</v>
      </c>
    </row>
    <row r="27" spans="1:15" x14ac:dyDescent="0.35">
      <c r="A27" s="7" t="s">
        <v>206</v>
      </c>
      <c r="B27" s="7" t="s">
        <v>207</v>
      </c>
      <c r="C27" s="8" t="e">
        <f t="shared" ref="C27:C32" ca="1" si="14">EPM($B$5,$B$6,1,A27,"period_net_amount",$B$7)</f>
        <v>#NAME?</v>
      </c>
      <c r="D27" s="8" t="e">
        <f t="shared" ref="D27:D32" ca="1" si="15">EPM($B$5,$B$6,2,A27,"period_net_amount",$B$7)</f>
        <v>#NAME?</v>
      </c>
      <c r="E27" s="8" t="e">
        <f t="shared" ref="E27:E32" ca="1" si="16">EPM($B$5,$B$6,3,A27,"period_net_amount",$B$7)</f>
        <v>#NAME?</v>
      </c>
      <c r="F27" s="8" t="e">
        <f t="shared" ref="F27:F32" ca="1" si="17">EPM($B$5,$B$6,4,A27,"period_net_amount",$B$7)</f>
        <v>#NAME?</v>
      </c>
      <c r="G27" s="8" t="e">
        <f t="shared" ref="G27:G32" ca="1" si="18">EPM($B$5,$B$6,5,A27,"period_net_amount",$B$7)</f>
        <v>#NAME?</v>
      </c>
      <c r="H27" s="8" t="e">
        <f t="shared" ref="H27:H32" ca="1" si="19">EPM($B$5,$B$6,6,A27,"period_net_amount",$B$7)</f>
        <v>#NAME?</v>
      </c>
      <c r="I27" s="8" t="e">
        <f t="shared" ref="I27:I32" ca="1" si="20">EPM($B$5,$B$6,7,A27,"period_net_amount",$B$7)</f>
        <v>#NAME?</v>
      </c>
      <c r="J27" s="8" t="e">
        <f t="shared" ref="J27:J32" ca="1" si="21">EPM($B$5,$B$6,8,A27,"period_net_amount",$B$7)</f>
        <v>#NAME?</v>
      </c>
      <c r="K27" s="8" t="e">
        <f t="shared" ref="K27:K32" ca="1" si="22">EPM($B$5,$B$6,9,A27,"period_net_amount",$B$7)</f>
        <v>#NAME?</v>
      </c>
      <c r="L27" s="8" t="e">
        <f t="shared" ref="L27:L32" ca="1" si="23">EPM($B$5,$B$6,10,A27,"period_net_amount",$B$7)</f>
        <v>#NAME?</v>
      </c>
      <c r="M27" s="8" t="e">
        <f t="shared" ref="M27:M32" ca="1" si="24">EPM($B$5,$B$6,11,A27,"period_net_amount",$B$7)</f>
        <v>#NAME?</v>
      </c>
      <c r="N27" s="8" t="e">
        <f t="shared" ref="N27:N32" ca="1" si="25">EPM($B$5,$B$6,12,A27,"period_net_amount",$B$7)</f>
        <v>#NAME?</v>
      </c>
    </row>
    <row r="28" spans="1:15" x14ac:dyDescent="0.35">
      <c r="A28" s="7" t="s">
        <v>61</v>
      </c>
      <c r="B28" s="7" t="s">
        <v>205</v>
      </c>
      <c r="C28" s="8" t="e">
        <f t="shared" ca="1" si="14"/>
        <v>#NAME?</v>
      </c>
      <c r="D28" s="8" t="e">
        <f t="shared" ca="1" si="15"/>
        <v>#NAME?</v>
      </c>
      <c r="E28" s="8" t="e">
        <f t="shared" ca="1" si="16"/>
        <v>#NAME?</v>
      </c>
      <c r="F28" s="8" t="e">
        <f t="shared" ca="1" si="17"/>
        <v>#NAME?</v>
      </c>
      <c r="G28" s="8" t="e">
        <f t="shared" ca="1" si="18"/>
        <v>#NAME?</v>
      </c>
      <c r="H28" s="8" t="e">
        <f t="shared" ca="1" si="19"/>
        <v>#NAME?</v>
      </c>
      <c r="I28" s="8" t="e">
        <f t="shared" ca="1" si="20"/>
        <v>#NAME?</v>
      </c>
      <c r="J28" s="8" t="e">
        <f t="shared" ca="1" si="21"/>
        <v>#NAME?</v>
      </c>
      <c r="K28" s="8" t="e">
        <f t="shared" ca="1" si="22"/>
        <v>#NAME?</v>
      </c>
      <c r="L28" s="8" t="e">
        <f t="shared" ca="1" si="23"/>
        <v>#NAME?</v>
      </c>
      <c r="M28" s="8" t="e">
        <f t="shared" ca="1" si="24"/>
        <v>#NAME?</v>
      </c>
      <c r="N28" s="8" t="e">
        <f t="shared" ca="1" si="25"/>
        <v>#NAME?</v>
      </c>
    </row>
    <row r="29" spans="1:15" x14ac:dyDescent="0.35">
      <c r="A29" s="7" t="s">
        <v>152</v>
      </c>
      <c r="B29" s="7" t="s">
        <v>153</v>
      </c>
      <c r="C29" s="8" t="e">
        <f t="shared" ca="1" si="14"/>
        <v>#NAME?</v>
      </c>
      <c r="D29" s="8" t="e">
        <f t="shared" ca="1" si="15"/>
        <v>#NAME?</v>
      </c>
      <c r="E29" s="8" t="e">
        <f t="shared" ca="1" si="16"/>
        <v>#NAME?</v>
      </c>
      <c r="F29" s="8" t="e">
        <f t="shared" ca="1" si="17"/>
        <v>#NAME?</v>
      </c>
      <c r="G29" s="8" t="e">
        <f t="shared" ca="1" si="18"/>
        <v>#NAME?</v>
      </c>
      <c r="H29" s="8" t="e">
        <f t="shared" ca="1" si="19"/>
        <v>#NAME?</v>
      </c>
      <c r="I29" s="8" t="e">
        <f t="shared" ca="1" si="20"/>
        <v>#NAME?</v>
      </c>
      <c r="J29" s="8" t="e">
        <f t="shared" ca="1" si="21"/>
        <v>#NAME?</v>
      </c>
      <c r="K29" s="8" t="e">
        <f t="shared" ca="1" si="22"/>
        <v>#NAME?</v>
      </c>
      <c r="L29" s="8" t="e">
        <f t="shared" ca="1" si="23"/>
        <v>#NAME?</v>
      </c>
      <c r="M29" s="8" t="e">
        <f t="shared" ca="1" si="24"/>
        <v>#NAME?</v>
      </c>
      <c r="N29" s="8" t="e">
        <f t="shared" ca="1" si="25"/>
        <v>#NAME?</v>
      </c>
    </row>
    <row r="30" spans="1:15" x14ac:dyDescent="0.35">
      <c r="A30" s="7" t="s">
        <v>232</v>
      </c>
      <c r="B30" s="7" t="s">
        <v>233</v>
      </c>
      <c r="C30" s="8" t="e">
        <f t="shared" ca="1" si="14"/>
        <v>#NAME?</v>
      </c>
      <c r="D30" s="8" t="e">
        <f t="shared" ca="1" si="15"/>
        <v>#NAME?</v>
      </c>
      <c r="E30" s="8" t="e">
        <f t="shared" ca="1" si="16"/>
        <v>#NAME?</v>
      </c>
      <c r="F30" s="8" t="e">
        <f t="shared" ca="1" si="17"/>
        <v>#NAME?</v>
      </c>
      <c r="G30" s="8" t="e">
        <f t="shared" ca="1" si="18"/>
        <v>#NAME?</v>
      </c>
      <c r="H30" s="8" t="e">
        <f t="shared" ca="1" si="19"/>
        <v>#NAME?</v>
      </c>
      <c r="I30" s="8" t="e">
        <f t="shared" ca="1" si="20"/>
        <v>#NAME?</v>
      </c>
      <c r="J30" s="8" t="e">
        <f t="shared" ca="1" si="21"/>
        <v>#NAME?</v>
      </c>
      <c r="K30" s="8" t="e">
        <f t="shared" ca="1" si="22"/>
        <v>#NAME?</v>
      </c>
      <c r="L30" s="8" t="e">
        <f t="shared" ca="1" si="23"/>
        <v>#NAME?</v>
      </c>
      <c r="M30" s="8" t="e">
        <f t="shared" ca="1" si="24"/>
        <v>#NAME?</v>
      </c>
      <c r="N30" s="8" t="e">
        <f t="shared" ca="1" si="25"/>
        <v>#NAME?</v>
      </c>
    </row>
    <row r="31" spans="1:15" x14ac:dyDescent="0.35">
      <c r="A31" s="7" t="s">
        <v>154</v>
      </c>
      <c r="B31" s="7" t="s">
        <v>155</v>
      </c>
      <c r="C31" s="8" t="e">
        <f t="shared" ca="1" si="14"/>
        <v>#NAME?</v>
      </c>
      <c r="D31" s="8" t="e">
        <f t="shared" ca="1" si="15"/>
        <v>#NAME?</v>
      </c>
      <c r="E31" s="8" t="e">
        <f t="shared" ca="1" si="16"/>
        <v>#NAME?</v>
      </c>
      <c r="F31" s="8" t="e">
        <f t="shared" ca="1" si="17"/>
        <v>#NAME?</v>
      </c>
      <c r="G31" s="8" t="e">
        <f t="shared" ca="1" si="18"/>
        <v>#NAME?</v>
      </c>
      <c r="H31" s="8" t="e">
        <f t="shared" ca="1" si="19"/>
        <v>#NAME?</v>
      </c>
      <c r="I31" s="8" t="e">
        <f t="shared" ca="1" si="20"/>
        <v>#NAME?</v>
      </c>
      <c r="J31" s="8" t="e">
        <f t="shared" ca="1" si="21"/>
        <v>#NAME?</v>
      </c>
      <c r="K31" s="8" t="e">
        <f t="shared" ca="1" si="22"/>
        <v>#NAME?</v>
      </c>
      <c r="L31" s="8" t="e">
        <f t="shared" ca="1" si="23"/>
        <v>#NAME?</v>
      </c>
      <c r="M31" s="8" t="e">
        <f t="shared" ca="1" si="24"/>
        <v>#NAME?</v>
      </c>
      <c r="N31" s="8" t="e">
        <f t="shared" ca="1" si="25"/>
        <v>#NAME?</v>
      </c>
    </row>
    <row r="32" spans="1:15" x14ac:dyDescent="0.35">
      <c r="A32" s="7" t="s">
        <v>150</v>
      </c>
      <c r="B32" s="7" t="s">
        <v>416</v>
      </c>
      <c r="C32" s="8" t="e">
        <f t="shared" ca="1" si="14"/>
        <v>#NAME?</v>
      </c>
      <c r="D32" s="8" t="e">
        <f t="shared" ca="1" si="15"/>
        <v>#NAME?</v>
      </c>
      <c r="E32" s="8" t="e">
        <f t="shared" ca="1" si="16"/>
        <v>#NAME?</v>
      </c>
      <c r="F32" s="8" t="e">
        <f t="shared" ca="1" si="17"/>
        <v>#NAME?</v>
      </c>
      <c r="G32" s="8" t="e">
        <f t="shared" ca="1" si="18"/>
        <v>#NAME?</v>
      </c>
      <c r="H32" s="8" t="e">
        <f t="shared" ca="1" si="19"/>
        <v>#NAME?</v>
      </c>
      <c r="I32" s="8" t="e">
        <f t="shared" ca="1" si="20"/>
        <v>#NAME?</v>
      </c>
      <c r="J32" s="8" t="e">
        <f t="shared" ca="1" si="21"/>
        <v>#NAME?</v>
      </c>
      <c r="K32" s="8" t="e">
        <f t="shared" ca="1" si="22"/>
        <v>#NAME?</v>
      </c>
      <c r="L32" s="8" t="e">
        <f t="shared" ca="1" si="23"/>
        <v>#NAME?</v>
      </c>
      <c r="M32" s="8" t="e">
        <f t="shared" ca="1" si="24"/>
        <v>#NAME?</v>
      </c>
      <c r="N32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32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700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701</v>
      </c>
    </row>
    <row r="6" spans="1:15" x14ac:dyDescent="0.35">
      <c r="A6" s="2" t="s">
        <v>15</v>
      </c>
      <c r="B6" s="5">
        <v>2016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44</v>
      </c>
      <c r="B11" s="7" t="s">
        <v>45</v>
      </c>
      <c r="C11" s="8" t="e">
        <f t="shared" ref="C11:C22" ca="1" si="0">EPM($B$5,$B$6,1,A11,"period_net_amount",$B$7)</f>
        <v>#NAME?</v>
      </c>
      <c r="D11" s="8" t="e">
        <f t="shared" ref="D11:D22" ca="1" si="1">EPM($B$5,$B$6,2,A11,"period_net_amount",$B$7)</f>
        <v>#NAME?</v>
      </c>
      <c r="E11" s="8" t="e">
        <f t="shared" ref="E11:E22" ca="1" si="2">EPM($B$5,$B$6,3,A11,"period_net_amount",$B$7)</f>
        <v>#NAME?</v>
      </c>
      <c r="F11" s="8" t="e">
        <f t="shared" ref="F11:F22" ca="1" si="3">EPM($B$5,$B$6,4,A11,"period_net_amount",$B$7)</f>
        <v>#NAME?</v>
      </c>
      <c r="G11" s="8" t="e">
        <f t="shared" ref="G11:G22" ca="1" si="4">EPM($B$5,$B$6,5,A11,"period_net_amount",$B$7)</f>
        <v>#NAME?</v>
      </c>
      <c r="H11" s="8" t="e">
        <f t="shared" ref="H11:H22" ca="1" si="5">EPM($B$5,$B$6,6,A11,"period_net_amount",$B$7)</f>
        <v>#NAME?</v>
      </c>
      <c r="I11" s="8" t="e">
        <f t="shared" ref="I11:I22" ca="1" si="6">EPM($B$5,$B$6,7,A11,"period_net_amount",$B$7)</f>
        <v>#NAME?</v>
      </c>
      <c r="J11" s="8" t="e">
        <f t="shared" ref="J11:J22" ca="1" si="7">EPM($B$5,$B$6,8,A11,"period_net_amount",$B$7)</f>
        <v>#NAME?</v>
      </c>
      <c r="K11" s="8" t="e">
        <f t="shared" ref="K11:K22" ca="1" si="8">EPM($B$5,$B$6,9,A11,"period_net_amount",$B$7)</f>
        <v>#NAME?</v>
      </c>
      <c r="L11" s="8" t="e">
        <f t="shared" ref="L11:L22" ca="1" si="9">EPM($B$5,$B$6,10,A11,"period_net_amount",$B$7)</f>
        <v>#NAME?</v>
      </c>
      <c r="M11" s="8" t="e">
        <f t="shared" ref="M11:M22" ca="1" si="10">EPM($B$5,$B$6,11,A11,"period_net_amount",$B$7)</f>
        <v>#NAME?</v>
      </c>
      <c r="N11" s="8" t="e">
        <f t="shared" ref="N11:N22" ca="1" si="11">EPM($B$5,$B$6,12,A11,"period_net_amount",$B$7)</f>
        <v>#NAME?</v>
      </c>
      <c r="O11" s="9" t="e">
        <f t="shared" ref="O11:O22" ca="1" si="12">SUM(C11:N11)</f>
        <v>#NAME?</v>
      </c>
    </row>
    <row r="12" spans="1:15" x14ac:dyDescent="0.35">
      <c r="A12" s="7" t="s">
        <v>297</v>
      </c>
      <c r="B12" s="7" t="s">
        <v>298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52</v>
      </c>
      <c r="B13" s="7" t="s">
        <v>49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465</v>
      </c>
      <c r="B14" s="7" t="s">
        <v>593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412</v>
      </c>
      <c r="B15" s="7" t="s">
        <v>413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247</v>
      </c>
      <c r="B16" s="7" t="s">
        <v>248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702</v>
      </c>
      <c r="B17" s="7" t="s">
        <v>703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A18" s="7" t="s">
        <v>244</v>
      </c>
      <c r="B18" s="7" t="s">
        <v>245</v>
      </c>
      <c r="C18" s="8" t="e">
        <f t="shared" ca="1" si="0"/>
        <v>#NAME?</v>
      </c>
      <c r="D18" s="8" t="e">
        <f t="shared" ca="1" si="1"/>
        <v>#NAME?</v>
      </c>
      <c r="E18" s="8" t="e">
        <f t="shared" ca="1" si="2"/>
        <v>#NAME?</v>
      </c>
      <c r="F18" s="8" t="e">
        <f t="shared" ca="1" si="3"/>
        <v>#NAME?</v>
      </c>
      <c r="G18" s="8" t="e">
        <f t="shared" ca="1" si="4"/>
        <v>#NAME?</v>
      </c>
      <c r="H18" s="8" t="e">
        <f t="shared" ca="1" si="5"/>
        <v>#NAME?</v>
      </c>
      <c r="I18" s="8" t="e">
        <f t="shared" ca="1" si="6"/>
        <v>#NAME?</v>
      </c>
      <c r="J18" s="8" t="e">
        <f t="shared" ca="1" si="7"/>
        <v>#NAME?</v>
      </c>
      <c r="K18" s="8" t="e">
        <f t="shared" ca="1" si="8"/>
        <v>#NAME?</v>
      </c>
      <c r="L18" s="8" t="e">
        <f t="shared" ca="1" si="9"/>
        <v>#NAME?</v>
      </c>
      <c r="M18" s="8" t="e">
        <f t="shared" ca="1" si="10"/>
        <v>#NAME?</v>
      </c>
      <c r="N18" s="8" t="e">
        <f t="shared" ca="1" si="11"/>
        <v>#NAME?</v>
      </c>
      <c r="O18" s="9" t="e">
        <f t="shared" ca="1" si="12"/>
        <v>#NAME?</v>
      </c>
    </row>
    <row r="19" spans="1:15" x14ac:dyDescent="0.35">
      <c r="A19" s="7" t="s">
        <v>36</v>
      </c>
      <c r="B19" s="7" t="s">
        <v>37</v>
      </c>
      <c r="C19" s="8" t="e">
        <f t="shared" ca="1" si="0"/>
        <v>#NAME?</v>
      </c>
      <c r="D19" s="8" t="e">
        <f t="shared" ca="1" si="1"/>
        <v>#NAME?</v>
      </c>
      <c r="E19" s="8" t="e">
        <f t="shared" ca="1" si="2"/>
        <v>#NAME?</v>
      </c>
      <c r="F19" s="8" t="e">
        <f t="shared" ca="1" si="3"/>
        <v>#NAME?</v>
      </c>
      <c r="G19" s="8" t="e">
        <f t="shared" ca="1" si="4"/>
        <v>#NAME?</v>
      </c>
      <c r="H19" s="8" t="e">
        <f t="shared" ca="1" si="5"/>
        <v>#NAME?</v>
      </c>
      <c r="I19" s="8" t="e">
        <f t="shared" ca="1" si="6"/>
        <v>#NAME?</v>
      </c>
      <c r="J19" s="8" t="e">
        <f t="shared" ca="1" si="7"/>
        <v>#NAME?</v>
      </c>
      <c r="K19" s="8" t="e">
        <f t="shared" ca="1" si="8"/>
        <v>#NAME?</v>
      </c>
      <c r="L19" s="8" t="e">
        <f t="shared" ca="1" si="9"/>
        <v>#NAME?</v>
      </c>
      <c r="M19" s="8" t="e">
        <f t="shared" ca="1" si="10"/>
        <v>#NAME?</v>
      </c>
      <c r="N19" s="8" t="e">
        <f t="shared" ca="1" si="11"/>
        <v>#NAME?</v>
      </c>
      <c r="O19" s="9" t="e">
        <f t="shared" ca="1" si="12"/>
        <v>#NAME?</v>
      </c>
    </row>
    <row r="20" spans="1:15" x14ac:dyDescent="0.35">
      <c r="A20" s="7" t="s">
        <v>704</v>
      </c>
      <c r="B20" s="7" t="s">
        <v>705</v>
      </c>
      <c r="C20" s="8" t="e">
        <f t="shared" ca="1" si="0"/>
        <v>#NAME?</v>
      </c>
      <c r="D20" s="8" t="e">
        <f t="shared" ca="1" si="1"/>
        <v>#NAME?</v>
      </c>
      <c r="E20" s="8" t="e">
        <f t="shared" ca="1" si="2"/>
        <v>#NAME?</v>
      </c>
      <c r="F20" s="8" t="e">
        <f t="shared" ca="1" si="3"/>
        <v>#NAME?</v>
      </c>
      <c r="G20" s="8" t="e">
        <f t="shared" ca="1" si="4"/>
        <v>#NAME?</v>
      </c>
      <c r="H20" s="8" t="e">
        <f t="shared" ca="1" si="5"/>
        <v>#NAME?</v>
      </c>
      <c r="I20" s="8" t="e">
        <f t="shared" ca="1" si="6"/>
        <v>#NAME?</v>
      </c>
      <c r="J20" s="8" t="e">
        <f t="shared" ca="1" si="7"/>
        <v>#NAME?</v>
      </c>
      <c r="K20" s="8" t="e">
        <f t="shared" ca="1" si="8"/>
        <v>#NAME?</v>
      </c>
      <c r="L20" s="8" t="e">
        <f t="shared" ca="1" si="9"/>
        <v>#NAME?</v>
      </c>
      <c r="M20" s="8" t="e">
        <f t="shared" ca="1" si="10"/>
        <v>#NAME?</v>
      </c>
      <c r="N20" s="8" t="e">
        <f t="shared" ca="1" si="11"/>
        <v>#NAME?</v>
      </c>
      <c r="O20" s="9" t="e">
        <f t="shared" ca="1" si="12"/>
        <v>#NAME?</v>
      </c>
    </row>
    <row r="21" spans="1:15" x14ac:dyDescent="0.35">
      <c r="A21" s="7" t="s">
        <v>313</v>
      </c>
      <c r="B21" s="7" t="s">
        <v>314</v>
      </c>
      <c r="C21" s="8" t="e">
        <f t="shared" ca="1" si="0"/>
        <v>#NAME?</v>
      </c>
      <c r="D21" s="8" t="e">
        <f t="shared" ca="1" si="1"/>
        <v>#NAME?</v>
      </c>
      <c r="E21" s="8" t="e">
        <f t="shared" ca="1" si="2"/>
        <v>#NAME?</v>
      </c>
      <c r="F21" s="8" t="e">
        <f t="shared" ca="1" si="3"/>
        <v>#NAME?</v>
      </c>
      <c r="G21" s="8" t="e">
        <f t="shared" ca="1" si="4"/>
        <v>#NAME?</v>
      </c>
      <c r="H21" s="8" t="e">
        <f t="shared" ca="1" si="5"/>
        <v>#NAME?</v>
      </c>
      <c r="I21" s="8" t="e">
        <f t="shared" ca="1" si="6"/>
        <v>#NAME?</v>
      </c>
      <c r="J21" s="8" t="e">
        <f t="shared" ca="1" si="7"/>
        <v>#NAME?</v>
      </c>
      <c r="K21" s="8" t="e">
        <f t="shared" ca="1" si="8"/>
        <v>#NAME?</v>
      </c>
      <c r="L21" s="8" t="e">
        <f t="shared" ca="1" si="9"/>
        <v>#NAME?</v>
      </c>
      <c r="M21" s="8" t="e">
        <f t="shared" ca="1" si="10"/>
        <v>#NAME?</v>
      </c>
      <c r="N21" s="8" t="e">
        <f t="shared" ca="1" si="11"/>
        <v>#NAME?</v>
      </c>
      <c r="O21" s="9" t="e">
        <f t="shared" ca="1" si="12"/>
        <v>#NAME?</v>
      </c>
    </row>
    <row r="22" spans="1:15" x14ac:dyDescent="0.35">
      <c r="A22" s="7" t="s">
        <v>190</v>
      </c>
      <c r="B22" s="7" t="s">
        <v>249</v>
      </c>
      <c r="C22" s="8" t="e">
        <f t="shared" ca="1" si="0"/>
        <v>#NAME?</v>
      </c>
      <c r="D22" s="8" t="e">
        <f t="shared" ca="1" si="1"/>
        <v>#NAME?</v>
      </c>
      <c r="E22" s="8" t="e">
        <f t="shared" ca="1" si="2"/>
        <v>#NAME?</v>
      </c>
      <c r="F22" s="8" t="e">
        <f t="shared" ca="1" si="3"/>
        <v>#NAME?</v>
      </c>
      <c r="G22" s="8" t="e">
        <f t="shared" ca="1" si="4"/>
        <v>#NAME?</v>
      </c>
      <c r="H22" s="8" t="e">
        <f t="shared" ca="1" si="5"/>
        <v>#NAME?</v>
      </c>
      <c r="I22" s="8" t="e">
        <f t="shared" ca="1" si="6"/>
        <v>#NAME?</v>
      </c>
      <c r="J22" s="8" t="e">
        <f t="shared" ca="1" si="7"/>
        <v>#NAME?</v>
      </c>
      <c r="K22" s="8" t="e">
        <f t="shared" ca="1" si="8"/>
        <v>#NAME?</v>
      </c>
      <c r="L22" s="8" t="e">
        <f t="shared" ca="1" si="9"/>
        <v>#NAME?</v>
      </c>
      <c r="M22" s="8" t="e">
        <f t="shared" ca="1" si="10"/>
        <v>#NAME?</v>
      </c>
      <c r="N22" s="8" t="e">
        <f t="shared" ca="1" si="11"/>
        <v>#NAME?</v>
      </c>
      <c r="O22" s="9" t="e">
        <f t="shared" ca="1" si="12"/>
        <v>#NAME?</v>
      </c>
    </row>
    <row r="23" spans="1:15" x14ac:dyDescent="0.35">
      <c r="B23" s="10" t="s">
        <v>57</v>
      </c>
      <c r="C23" s="11" t="e">
        <f t="shared" ref="C23:O23" ca="1" si="13">SUM(C11:C22)</f>
        <v>#NAME?</v>
      </c>
      <c r="D23" s="11" t="e">
        <f t="shared" ca="1" si="13"/>
        <v>#NAME?</v>
      </c>
      <c r="E23" s="11" t="e">
        <f t="shared" ca="1" si="13"/>
        <v>#NAME?</v>
      </c>
      <c r="F23" s="11" t="e">
        <f t="shared" ca="1" si="13"/>
        <v>#NAME?</v>
      </c>
      <c r="G23" s="11" t="e">
        <f t="shared" ca="1" si="13"/>
        <v>#NAME?</v>
      </c>
      <c r="H23" s="11" t="e">
        <f t="shared" ca="1" si="13"/>
        <v>#NAME?</v>
      </c>
      <c r="I23" s="11" t="e">
        <f t="shared" ca="1" si="13"/>
        <v>#NAME?</v>
      </c>
      <c r="J23" s="11" t="e">
        <f t="shared" ca="1" si="13"/>
        <v>#NAME?</v>
      </c>
      <c r="K23" s="11" t="e">
        <f t="shared" ca="1" si="13"/>
        <v>#NAME?</v>
      </c>
      <c r="L23" s="11" t="e">
        <f t="shared" ca="1" si="13"/>
        <v>#NAME?</v>
      </c>
      <c r="M23" s="11" t="e">
        <f t="shared" ca="1" si="13"/>
        <v>#NAME?</v>
      </c>
      <c r="N23" s="11" t="e">
        <f t="shared" ca="1" si="13"/>
        <v>#NAME?</v>
      </c>
      <c r="O23" s="11" t="e">
        <f t="shared" ca="1" si="13"/>
        <v>#NAME?</v>
      </c>
    </row>
    <row r="25" spans="1:15" ht="15.5" x14ac:dyDescent="0.35">
      <c r="A25" s="4" t="s">
        <v>58</v>
      </c>
    </row>
    <row r="26" spans="1:15" x14ac:dyDescent="0.35">
      <c r="A26" s="6" t="s">
        <v>19</v>
      </c>
      <c r="B26" s="6" t="s">
        <v>20</v>
      </c>
      <c r="C26" s="6" t="s">
        <v>21</v>
      </c>
      <c r="D26" s="6" t="s">
        <v>22</v>
      </c>
      <c r="E26" s="6" t="s">
        <v>23</v>
      </c>
      <c r="F26" s="6" t="s">
        <v>24</v>
      </c>
      <c r="G26" s="6" t="s">
        <v>25</v>
      </c>
      <c r="H26" s="6" t="s">
        <v>26</v>
      </c>
      <c r="I26" s="6" t="s">
        <v>27</v>
      </c>
      <c r="J26" s="6" t="s">
        <v>28</v>
      </c>
      <c r="K26" s="6" t="s">
        <v>29</v>
      </c>
      <c r="L26" s="6" t="s">
        <v>30</v>
      </c>
      <c r="M26" s="6" t="s">
        <v>31</v>
      </c>
      <c r="N26" s="6" t="s">
        <v>32</v>
      </c>
    </row>
    <row r="27" spans="1:15" x14ac:dyDescent="0.35">
      <c r="A27" s="7" t="s">
        <v>232</v>
      </c>
      <c r="B27" s="7" t="s">
        <v>425</v>
      </c>
      <c r="C27" s="8" t="e">
        <f t="shared" ref="C27:C32" ca="1" si="14">EPM($B$5,$B$6,1,A27,"period_net_amount",$B$7)</f>
        <v>#NAME?</v>
      </c>
      <c r="D27" s="8" t="e">
        <f t="shared" ref="D27:D32" ca="1" si="15">EPM($B$5,$B$6,2,A27,"period_net_amount",$B$7)</f>
        <v>#NAME?</v>
      </c>
      <c r="E27" s="8" t="e">
        <f t="shared" ref="E27:E32" ca="1" si="16">EPM($B$5,$B$6,3,A27,"period_net_amount",$B$7)</f>
        <v>#NAME?</v>
      </c>
      <c r="F27" s="8" t="e">
        <f t="shared" ref="F27:F32" ca="1" si="17">EPM($B$5,$B$6,4,A27,"period_net_amount",$B$7)</f>
        <v>#NAME?</v>
      </c>
      <c r="G27" s="8" t="e">
        <f t="shared" ref="G27:G32" ca="1" si="18">EPM($B$5,$B$6,5,A27,"period_net_amount",$B$7)</f>
        <v>#NAME?</v>
      </c>
      <c r="H27" s="8" t="e">
        <f t="shared" ref="H27:H32" ca="1" si="19">EPM($B$5,$B$6,6,A27,"period_net_amount",$B$7)</f>
        <v>#NAME?</v>
      </c>
      <c r="I27" s="8" t="e">
        <f t="shared" ref="I27:I32" ca="1" si="20">EPM($B$5,$B$6,7,A27,"period_net_amount",$B$7)</f>
        <v>#NAME?</v>
      </c>
      <c r="J27" s="8" t="e">
        <f t="shared" ref="J27:J32" ca="1" si="21">EPM($B$5,$B$6,8,A27,"period_net_amount",$B$7)</f>
        <v>#NAME?</v>
      </c>
      <c r="K27" s="8" t="e">
        <f t="shared" ref="K27:K32" ca="1" si="22">EPM($B$5,$B$6,9,A27,"period_net_amount",$B$7)</f>
        <v>#NAME?</v>
      </c>
      <c r="L27" s="8" t="e">
        <f t="shared" ref="L27:L32" ca="1" si="23">EPM($B$5,$B$6,10,A27,"period_net_amount",$B$7)</f>
        <v>#NAME?</v>
      </c>
      <c r="M27" s="8" t="e">
        <f t="shared" ref="M27:M32" ca="1" si="24">EPM($B$5,$B$6,11,A27,"period_net_amount",$B$7)</f>
        <v>#NAME?</v>
      </c>
      <c r="N27" s="8" t="e">
        <f t="shared" ref="N27:N32" ca="1" si="25">EPM($B$5,$B$6,12,A27,"period_net_amount",$B$7)</f>
        <v>#NAME?</v>
      </c>
    </row>
    <row r="28" spans="1:15" x14ac:dyDescent="0.35">
      <c r="A28" s="7" t="s">
        <v>203</v>
      </c>
      <c r="B28" s="7" t="s">
        <v>204</v>
      </c>
      <c r="C28" s="8" t="e">
        <f t="shared" ca="1" si="14"/>
        <v>#NAME?</v>
      </c>
      <c r="D28" s="8" t="e">
        <f t="shared" ca="1" si="15"/>
        <v>#NAME?</v>
      </c>
      <c r="E28" s="8" t="e">
        <f t="shared" ca="1" si="16"/>
        <v>#NAME?</v>
      </c>
      <c r="F28" s="8" t="e">
        <f t="shared" ca="1" si="17"/>
        <v>#NAME?</v>
      </c>
      <c r="G28" s="8" t="e">
        <f t="shared" ca="1" si="18"/>
        <v>#NAME?</v>
      </c>
      <c r="H28" s="8" t="e">
        <f t="shared" ca="1" si="19"/>
        <v>#NAME?</v>
      </c>
      <c r="I28" s="8" t="e">
        <f t="shared" ca="1" si="20"/>
        <v>#NAME?</v>
      </c>
      <c r="J28" s="8" t="e">
        <f t="shared" ca="1" si="21"/>
        <v>#NAME?</v>
      </c>
      <c r="K28" s="8" t="e">
        <f t="shared" ca="1" si="22"/>
        <v>#NAME?</v>
      </c>
      <c r="L28" s="8" t="e">
        <f t="shared" ca="1" si="23"/>
        <v>#NAME?</v>
      </c>
      <c r="M28" s="8" t="e">
        <f t="shared" ca="1" si="24"/>
        <v>#NAME?</v>
      </c>
      <c r="N28" s="8" t="e">
        <f t="shared" ca="1" si="25"/>
        <v>#NAME?</v>
      </c>
    </row>
    <row r="29" spans="1:15" x14ac:dyDescent="0.35">
      <c r="A29" s="7" t="s">
        <v>206</v>
      </c>
      <c r="B29" s="7" t="s">
        <v>207</v>
      </c>
      <c r="C29" s="8" t="e">
        <f t="shared" ca="1" si="14"/>
        <v>#NAME?</v>
      </c>
      <c r="D29" s="8" t="e">
        <f t="shared" ca="1" si="15"/>
        <v>#NAME?</v>
      </c>
      <c r="E29" s="8" t="e">
        <f t="shared" ca="1" si="16"/>
        <v>#NAME?</v>
      </c>
      <c r="F29" s="8" t="e">
        <f t="shared" ca="1" si="17"/>
        <v>#NAME?</v>
      </c>
      <c r="G29" s="8" t="e">
        <f t="shared" ca="1" si="18"/>
        <v>#NAME?</v>
      </c>
      <c r="H29" s="8" t="e">
        <f t="shared" ca="1" si="19"/>
        <v>#NAME?</v>
      </c>
      <c r="I29" s="8" t="e">
        <f t="shared" ca="1" si="20"/>
        <v>#NAME?</v>
      </c>
      <c r="J29" s="8" t="e">
        <f t="shared" ca="1" si="21"/>
        <v>#NAME?</v>
      </c>
      <c r="K29" s="8" t="e">
        <f t="shared" ca="1" si="22"/>
        <v>#NAME?</v>
      </c>
      <c r="L29" s="8" t="e">
        <f t="shared" ca="1" si="23"/>
        <v>#NAME?</v>
      </c>
      <c r="M29" s="8" t="e">
        <f t="shared" ca="1" si="24"/>
        <v>#NAME?</v>
      </c>
      <c r="N29" s="8" t="e">
        <f t="shared" ca="1" si="25"/>
        <v>#NAME?</v>
      </c>
    </row>
    <row r="30" spans="1:15" x14ac:dyDescent="0.35">
      <c r="A30" s="7" t="s">
        <v>585</v>
      </c>
      <c r="B30" s="7" t="s">
        <v>586</v>
      </c>
      <c r="C30" s="8" t="e">
        <f t="shared" ca="1" si="14"/>
        <v>#NAME?</v>
      </c>
      <c r="D30" s="8" t="e">
        <f t="shared" ca="1" si="15"/>
        <v>#NAME?</v>
      </c>
      <c r="E30" s="8" t="e">
        <f t="shared" ca="1" si="16"/>
        <v>#NAME?</v>
      </c>
      <c r="F30" s="8" t="e">
        <f t="shared" ca="1" si="17"/>
        <v>#NAME?</v>
      </c>
      <c r="G30" s="8" t="e">
        <f t="shared" ca="1" si="18"/>
        <v>#NAME?</v>
      </c>
      <c r="H30" s="8" t="e">
        <f t="shared" ca="1" si="19"/>
        <v>#NAME?</v>
      </c>
      <c r="I30" s="8" t="e">
        <f t="shared" ca="1" si="20"/>
        <v>#NAME?</v>
      </c>
      <c r="J30" s="8" t="e">
        <f t="shared" ca="1" si="21"/>
        <v>#NAME?</v>
      </c>
      <c r="K30" s="8" t="e">
        <f t="shared" ca="1" si="22"/>
        <v>#NAME?</v>
      </c>
      <c r="L30" s="8" t="e">
        <f t="shared" ca="1" si="23"/>
        <v>#NAME?</v>
      </c>
      <c r="M30" s="8" t="e">
        <f t="shared" ca="1" si="24"/>
        <v>#NAME?</v>
      </c>
      <c r="N30" s="8" t="e">
        <f t="shared" ca="1" si="25"/>
        <v>#NAME?</v>
      </c>
    </row>
    <row r="31" spans="1:15" x14ac:dyDescent="0.35">
      <c r="A31" s="7" t="s">
        <v>59</v>
      </c>
      <c r="B31" s="7" t="s">
        <v>60</v>
      </c>
      <c r="C31" s="8" t="e">
        <f t="shared" ca="1" si="14"/>
        <v>#NAME?</v>
      </c>
      <c r="D31" s="8" t="e">
        <f t="shared" ca="1" si="15"/>
        <v>#NAME?</v>
      </c>
      <c r="E31" s="8" t="e">
        <f t="shared" ca="1" si="16"/>
        <v>#NAME?</v>
      </c>
      <c r="F31" s="8" t="e">
        <f t="shared" ca="1" si="17"/>
        <v>#NAME?</v>
      </c>
      <c r="G31" s="8" t="e">
        <f t="shared" ca="1" si="18"/>
        <v>#NAME?</v>
      </c>
      <c r="H31" s="8" t="e">
        <f t="shared" ca="1" si="19"/>
        <v>#NAME?</v>
      </c>
      <c r="I31" s="8" t="e">
        <f t="shared" ca="1" si="20"/>
        <v>#NAME?</v>
      </c>
      <c r="J31" s="8" t="e">
        <f t="shared" ca="1" si="21"/>
        <v>#NAME?</v>
      </c>
      <c r="K31" s="8" t="e">
        <f t="shared" ca="1" si="22"/>
        <v>#NAME?</v>
      </c>
      <c r="L31" s="8" t="e">
        <f t="shared" ca="1" si="23"/>
        <v>#NAME?</v>
      </c>
      <c r="M31" s="8" t="e">
        <f t="shared" ca="1" si="24"/>
        <v>#NAME?</v>
      </c>
      <c r="N31" s="8" t="e">
        <f t="shared" ca="1" si="25"/>
        <v>#NAME?</v>
      </c>
    </row>
    <row r="32" spans="1:15" x14ac:dyDescent="0.35">
      <c r="A32" s="7" t="s">
        <v>326</v>
      </c>
      <c r="B32" s="7" t="s">
        <v>706</v>
      </c>
      <c r="C32" s="8" t="e">
        <f t="shared" ca="1" si="14"/>
        <v>#NAME?</v>
      </c>
      <c r="D32" s="8" t="e">
        <f t="shared" ca="1" si="15"/>
        <v>#NAME?</v>
      </c>
      <c r="E32" s="8" t="e">
        <f t="shared" ca="1" si="16"/>
        <v>#NAME?</v>
      </c>
      <c r="F32" s="8" t="e">
        <f t="shared" ca="1" si="17"/>
        <v>#NAME?</v>
      </c>
      <c r="G32" s="8" t="e">
        <f t="shared" ca="1" si="18"/>
        <v>#NAME?</v>
      </c>
      <c r="H32" s="8" t="e">
        <f t="shared" ca="1" si="19"/>
        <v>#NAME?</v>
      </c>
      <c r="I32" s="8" t="e">
        <f t="shared" ca="1" si="20"/>
        <v>#NAME?</v>
      </c>
      <c r="J32" s="8" t="e">
        <f t="shared" ca="1" si="21"/>
        <v>#NAME?</v>
      </c>
      <c r="K32" s="8" t="e">
        <f t="shared" ca="1" si="22"/>
        <v>#NAME?</v>
      </c>
      <c r="L32" s="8" t="e">
        <f t="shared" ca="1" si="23"/>
        <v>#NAME?</v>
      </c>
      <c r="M32" s="8" t="e">
        <f t="shared" ca="1" si="24"/>
        <v>#NAME?</v>
      </c>
      <c r="N32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32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707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708</v>
      </c>
    </row>
    <row r="6" spans="1:15" x14ac:dyDescent="0.35">
      <c r="A6" s="2" t="s">
        <v>15</v>
      </c>
      <c r="B6" s="5">
        <v>2016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44</v>
      </c>
      <c r="B11" s="7" t="s">
        <v>45</v>
      </c>
      <c r="C11" s="8" t="e">
        <f t="shared" ref="C11:C22" ca="1" si="0">EPM($B$5,$B$6,1,A11,"period_net_amount",$B$7)</f>
        <v>#NAME?</v>
      </c>
      <c r="D11" s="8" t="e">
        <f t="shared" ref="D11:D22" ca="1" si="1">EPM($B$5,$B$6,2,A11,"period_net_amount",$B$7)</f>
        <v>#NAME?</v>
      </c>
      <c r="E11" s="8" t="e">
        <f t="shared" ref="E11:E22" ca="1" si="2">EPM($B$5,$B$6,3,A11,"period_net_amount",$B$7)</f>
        <v>#NAME?</v>
      </c>
      <c r="F11" s="8" t="e">
        <f t="shared" ref="F11:F22" ca="1" si="3">EPM($B$5,$B$6,4,A11,"period_net_amount",$B$7)</f>
        <v>#NAME?</v>
      </c>
      <c r="G11" s="8" t="e">
        <f t="shared" ref="G11:G22" ca="1" si="4">EPM($B$5,$B$6,5,A11,"period_net_amount",$B$7)</f>
        <v>#NAME?</v>
      </c>
      <c r="H11" s="8" t="e">
        <f t="shared" ref="H11:H22" ca="1" si="5">EPM($B$5,$B$6,6,A11,"period_net_amount",$B$7)</f>
        <v>#NAME?</v>
      </c>
      <c r="I11" s="8" t="e">
        <f t="shared" ref="I11:I22" ca="1" si="6">EPM($B$5,$B$6,7,A11,"period_net_amount",$B$7)</f>
        <v>#NAME?</v>
      </c>
      <c r="J11" s="8" t="e">
        <f t="shared" ref="J11:J22" ca="1" si="7">EPM($B$5,$B$6,8,A11,"period_net_amount",$B$7)</f>
        <v>#NAME?</v>
      </c>
      <c r="K11" s="8" t="e">
        <f t="shared" ref="K11:K22" ca="1" si="8">EPM($B$5,$B$6,9,A11,"period_net_amount",$B$7)</f>
        <v>#NAME?</v>
      </c>
      <c r="L11" s="8" t="e">
        <f t="shared" ref="L11:L22" ca="1" si="9">EPM($B$5,$B$6,10,A11,"period_net_amount",$B$7)</f>
        <v>#NAME?</v>
      </c>
      <c r="M11" s="8" t="e">
        <f t="shared" ref="M11:M22" ca="1" si="10">EPM($B$5,$B$6,11,A11,"period_net_amount",$B$7)</f>
        <v>#NAME?</v>
      </c>
      <c r="N11" s="8" t="e">
        <f t="shared" ref="N11:N22" ca="1" si="11">EPM($B$5,$B$6,12,A11,"period_net_amount",$B$7)</f>
        <v>#NAME?</v>
      </c>
      <c r="O11" s="9" t="e">
        <f t="shared" ref="O11:O22" ca="1" si="12">SUM(C11:N11)</f>
        <v>#NAME?</v>
      </c>
    </row>
    <row r="12" spans="1:15" x14ac:dyDescent="0.35">
      <c r="A12" s="7" t="s">
        <v>52</v>
      </c>
      <c r="B12" s="7" t="s">
        <v>49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300</v>
      </c>
      <c r="B13" s="7" t="s">
        <v>301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297</v>
      </c>
      <c r="B14" s="7" t="s">
        <v>298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709</v>
      </c>
      <c r="B15" s="7" t="s">
        <v>710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190</v>
      </c>
      <c r="B16" s="7" t="s">
        <v>249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313</v>
      </c>
      <c r="B17" s="7" t="s">
        <v>314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A18" s="7" t="s">
        <v>319</v>
      </c>
      <c r="B18" s="7" t="s">
        <v>320</v>
      </c>
      <c r="C18" s="8" t="e">
        <f t="shared" ca="1" si="0"/>
        <v>#NAME?</v>
      </c>
      <c r="D18" s="8" t="e">
        <f t="shared" ca="1" si="1"/>
        <v>#NAME?</v>
      </c>
      <c r="E18" s="8" t="e">
        <f t="shared" ca="1" si="2"/>
        <v>#NAME?</v>
      </c>
      <c r="F18" s="8" t="e">
        <f t="shared" ca="1" si="3"/>
        <v>#NAME?</v>
      </c>
      <c r="G18" s="8" t="e">
        <f t="shared" ca="1" si="4"/>
        <v>#NAME?</v>
      </c>
      <c r="H18" s="8" t="e">
        <f t="shared" ca="1" si="5"/>
        <v>#NAME?</v>
      </c>
      <c r="I18" s="8" t="e">
        <f t="shared" ca="1" si="6"/>
        <v>#NAME?</v>
      </c>
      <c r="J18" s="8" t="e">
        <f t="shared" ca="1" si="7"/>
        <v>#NAME?</v>
      </c>
      <c r="K18" s="8" t="e">
        <f t="shared" ca="1" si="8"/>
        <v>#NAME?</v>
      </c>
      <c r="L18" s="8" t="e">
        <f t="shared" ca="1" si="9"/>
        <v>#NAME?</v>
      </c>
      <c r="M18" s="8" t="e">
        <f t="shared" ca="1" si="10"/>
        <v>#NAME?</v>
      </c>
      <c r="N18" s="8" t="e">
        <f t="shared" ca="1" si="11"/>
        <v>#NAME?</v>
      </c>
      <c r="O18" s="9" t="e">
        <f t="shared" ca="1" si="12"/>
        <v>#NAME?</v>
      </c>
    </row>
    <row r="19" spans="1:15" x14ac:dyDescent="0.35">
      <c r="A19" s="7" t="s">
        <v>321</v>
      </c>
      <c r="B19" s="7" t="s">
        <v>322</v>
      </c>
      <c r="C19" s="8" t="e">
        <f t="shared" ca="1" si="0"/>
        <v>#NAME?</v>
      </c>
      <c r="D19" s="8" t="e">
        <f t="shared" ca="1" si="1"/>
        <v>#NAME?</v>
      </c>
      <c r="E19" s="8" t="e">
        <f t="shared" ca="1" si="2"/>
        <v>#NAME?</v>
      </c>
      <c r="F19" s="8" t="e">
        <f t="shared" ca="1" si="3"/>
        <v>#NAME?</v>
      </c>
      <c r="G19" s="8" t="e">
        <f t="shared" ca="1" si="4"/>
        <v>#NAME?</v>
      </c>
      <c r="H19" s="8" t="e">
        <f t="shared" ca="1" si="5"/>
        <v>#NAME?</v>
      </c>
      <c r="I19" s="8" t="e">
        <f t="shared" ca="1" si="6"/>
        <v>#NAME?</v>
      </c>
      <c r="J19" s="8" t="e">
        <f t="shared" ca="1" si="7"/>
        <v>#NAME?</v>
      </c>
      <c r="K19" s="8" t="e">
        <f t="shared" ca="1" si="8"/>
        <v>#NAME?</v>
      </c>
      <c r="L19" s="8" t="e">
        <f t="shared" ca="1" si="9"/>
        <v>#NAME?</v>
      </c>
      <c r="M19" s="8" t="e">
        <f t="shared" ca="1" si="10"/>
        <v>#NAME?</v>
      </c>
      <c r="N19" s="8" t="e">
        <f t="shared" ca="1" si="11"/>
        <v>#NAME?</v>
      </c>
      <c r="O19" s="9" t="e">
        <f t="shared" ca="1" si="12"/>
        <v>#NAME?</v>
      </c>
    </row>
    <row r="20" spans="1:15" x14ac:dyDescent="0.35">
      <c r="A20" s="7" t="s">
        <v>711</v>
      </c>
      <c r="B20" s="7" t="s">
        <v>712</v>
      </c>
      <c r="C20" s="8" t="e">
        <f t="shared" ca="1" si="0"/>
        <v>#NAME?</v>
      </c>
      <c r="D20" s="8" t="e">
        <f t="shared" ca="1" si="1"/>
        <v>#NAME?</v>
      </c>
      <c r="E20" s="8" t="e">
        <f t="shared" ca="1" si="2"/>
        <v>#NAME?</v>
      </c>
      <c r="F20" s="8" t="e">
        <f t="shared" ca="1" si="3"/>
        <v>#NAME?</v>
      </c>
      <c r="G20" s="8" t="e">
        <f t="shared" ca="1" si="4"/>
        <v>#NAME?</v>
      </c>
      <c r="H20" s="8" t="e">
        <f t="shared" ca="1" si="5"/>
        <v>#NAME?</v>
      </c>
      <c r="I20" s="8" t="e">
        <f t="shared" ca="1" si="6"/>
        <v>#NAME?</v>
      </c>
      <c r="J20" s="8" t="e">
        <f t="shared" ca="1" si="7"/>
        <v>#NAME?</v>
      </c>
      <c r="K20" s="8" t="e">
        <f t="shared" ca="1" si="8"/>
        <v>#NAME?</v>
      </c>
      <c r="L20" s="8" t="e">
        <f t="shared" ca="1" si="9"/>
        <v>#NAME?</v>
      </c>
      <c r="M20" s="8" t="e">
        <f t="shared" ca="1" si="10"/>
        <v>#NAME?</v>
      </c>
      <c r="N20" s="8" t="e">
        <f t="shared" ca="1" si="11"/>
        <v>#NAME?</v>
      </c>
      <c r="O20" s="9" t="e">
        <f t="shared" ca="1" si="12"/>
        <v>#NAME?</v>
      </c>
    </row>
    <row r="21" spans="1:15" x14ac:dyDescent="0.35">
      <c r="A21" s="7" t="s">
        <v>465</v>
      </c>
      <c r="B21" s="7" t="s">
        <v>593</v>
      </c>
      <c r="C21" s="8" t="e">
        <f t="shared" ca="1" si="0"/>
        <v>#NAME?</v>
      </c>
      <c r="D21" s="8" t="e">
        <f t="shared" ca="1" si="1"/>
        <v>#NAME?</v>
      </c>
      <c r="E21" s="8" t="e">
        <f t="shared" ca="1" si="2"/>
        <v>#NAME?</v>
      </c>
      <c r="F21" s="8" t="e">
        <f t="shared" ca="1" si="3"/>
        <v>#NAME?</v>
      </c>
      <c r="G21" s="8" t="e">
        <f t="shared" ca="1" si="4"/>
        <v>#NAME?</v>
      </c>
      <c r="H21" s="8" t="e">
        <f t="shared" ca="1" si="5"/>
        <v>#NAME?</v>
      </c>
      <c r="I21" s="8" t="e">
        <f t="shared" ca="1" si="6"/>
        <v>#NAME?</v>
      </c>
      <c r="J21" s="8" t="e">
        <f t="shared" ca="1" si="7"/>
        <v>#NAME?</v>
      </c>
      <c r="K21" s="8" t="e">
        <f t="shared" ca="1" si="8"/>
        <v>#NAME?</v>
      </c>
      <c r="L21" s="8" t="e">
        <f t="shared" ca="1" si="9"/>
        <v>#NAME?</v>
      </c>
      <c r="M21" s="8" t="e">
        <f t="shared" ca="1" si="10"/>
        <v>#NAME?</v>
      </c>
      <c r="N21" s="8" t="e">
        <f t="shared" ca="1" si="11"/>
        <v>#NAME?</v>
      </c>
      <c r="O21" s="9" t="e">
        <f t="shared" ca="1" si="12"/>
        <v>#NAME?</v>
      </c>
    </row>
    <row r="22" spans="1:15" x14ac:dyDescent="0.35">
      <c r="A22" s="7" t="s">
        <v>702</v>
      </c>
      <c r="B22" s="7" t="s">
        <v>703</v>
      </c>
      <c r="C22" s="8" t="e">
        <f t="shared" ca="1" si="0"/>
        <v>#NAME?</v>
      </c>
      <c r="D22" s="8" t="e">
        <f t="shared" ca="1" si="1"/>
        <v>#NAME?</v>
      </c>
      <c r="E22" s="8" t="e">
        <f t="shared" ca="1" si="2"/>
        <v>#NAME?</v>
      </c>
      <c r="F22" s="8" t="e">
        <f t="shared" ca="1" si="3"/>
        <v>#NAME?</v>
      </c>
      <c r="G22" s="8" t="e">
        <f t="shared" ca="1" si="4"/>
        <v>#NAME?</v>
      </c>
      <c r="H22" s="8" t="e">
        <f t="shared" ca="1" si="5"/>
        <v>#NAME?</v>
      </c>
      <c r="I22" s="8" t="e">
        <f t="shared" ca="1" si="6"/>
        <v>#NAME?</v>
      </c>
      <c r="J22" s="8" t="e">
        <f t="shared" ca="1" si="7"/>
        <v>#NAME?</v>
      </c>
      <c r="K22" s="8" t="e">
        <f t="shared" ca="1" si="8"/>
        <v>#NAME?</v>
      </c>
      <c r="L22" s="8" t="e">
        <f t="shared" ca="1" si="9"/>
        <v>#NAME?</v>
      </c>
      <c r="M22" s="8" t="e">
        <f t="shared" ca="1" si="10"/>
        <v>#NAME?</v>
      </c>
      <c r="N22" s="8" t="e">
        <f t="shared" ca="1" si="11"/>
        <v>#NAME?</v>
      </c>
      <c r="O22" s="9" t="e">
        <f t="shared" ca="1" si="12"/>
        <v>#NAME?</v>
      </c>
    </row>
    <row r="23" spans="1:15" x14ac:dyDescent="0.35">
      <c r="B23" s="10" t="s">
        <v>57</v>
      </c>
      <c r="C23" s="11" t="e">
        <f t="shared" ref="C23:O23" ca="1" si="13">SUM(C11:C22)</f>
        <v>#NAME?</v>
      </c>
      <c r="D23" s="11" t="e">
        <f t="shared" ca="1" si="13"/>
        <v>#NAME?</v>
      </c>
      <c r="E23" s="11" t="e">
        <f t="shared" ca="1" si="13"/>
        <v>#NAME?</v>
      </c>
      <c r="F23" s="11" t="e">
        <f t="shared" ca="1" si="13"/>
        <v>#NAME?</v>
      </c>
      <c r="G23" s="11" t="e">
        <f t="shared" ca="1" si="13"/>
        <v>#NAME?</v>
      </c>
      <c r="H23" s="11" t="e">
        <f t="shared" ca="1" si="13"/>
        <v>#NAME?</v>
      </c>
      <c r="I23" s="11" t="e">
        <f t="shared" ca="1" si="13"/>
        <v>#NAME?</v>
      </c>
      <c r="J23" s="11" t="e">
        <f t="shared" ca="1" si="13"/>
        <v>#NAME?</v>
      </c>
      <c r="K23" s="11" t="e">
        <f t="shared" ca="1" si="13"/>
        <v>#NAME?</v>
      </c>
      <c r="L23" s="11" t="e">
        <f t="shared" ca="1" si="13"/>
        <v>#NAME?</v>
      </c>
      <c r="M23" s="11" t="e">
        <f t="shared" ca="1" si="13"/>
        <v>#NAME?</v>
      </c>
      <c r="N23" s="11" t="e">
        <f t="shared" ca="1" si="13"/>
        <v>#NAME?</v>
      </c>
      <c r="O23" s="11" t="e">
        <f t="shared" ca="1" si="13"/>
        <v>#NAME?</v>
      </c>
    </row>
    <row r="25" spans="1:15" ht="15.5" x14ac:dyDescent="0.35">
      <c r="A25" s="4" t="s">
        <v>58</v>
      </c>
    </row>
    <row r="26" spans="1:15" x14ac:dyDescent="0.35">
      <c r="A26" s="6" t="s">
        <v>19</v>
      </c>
      <c r="B26" s="6" t="s">
        <v>20</v>
      </c>
      <c r="C26" s="6" t="s">
        <v>21</v>
      </c>
      <c r="D26" s="6" t="s">
        <v>22</v>
      </c>
      <c r="E26" s="6" t="s">
        <v>23</v>
      </c>
      <c r="F26" s="6" t="s">
        <v>24</v>
      </c>
      <c r="G26" s="6" t="s">
        <v>25</v>
      </c>
      <c r="H26" s="6" t="s">
        <v>26</v>
      </c>
      <c r="I26" s="6" t="s">
        <v>27</v>
      </c>
      <c r="J26" s="6" t="s">
        <v>28</v>
      </c>
      <c r="K26" s="6" t="s">
        <v>29</v>
      </c>
      <c r="L26" s="6" t="s">
        <v>30</v>
      </c>
      <c r="M26" s="6" t="s">
        <v>31</v>
      </c>
      <c r="N26" s="6" t="s">
        <v>32</v>
      </c>
    </row>
    <row r="27" spans="1:15" x14ac:dyDescent="0.35">
      <c r="A27" s="7" t="s">
        <v>232</v>
      </c>
      <c r="B27" s="7" t="s">
        <v>233</v>
      </c>
      <c r="C27" s="8" t="e">
        <f t="shared" ref="C27:C32" ca="1" si="14">EPM($B$5,$B$6,1,A27,"period_net_amount",$B$7)</f>
        <v>#NAME?</v>
      </c>
      <c r="D27" s="8" t="e">
        <f t="shared" ref="D27:D32" ca="1" si="15">EPM($B$5,$B$6,2,A27,"period_net_amount",$B$7)</f>
        <v>#NAME?</v>
      </c>
      <c r="E27" s="8" t="e">
        <f t="shared" ref="E27:E32" ca="1" si="16">EPM($B$5,$B$6,3,A27,"period_net_amount",$B$7)</f>
        <v>#NAME?</v>
      </c>
      <c r="F27" s="8" t="e">
        <f t="shared" ref="F27:F32" ca="1" si="17">EPM($B$5,$B$6,4,A27,"period_net_amount",$B$7)</f>
        <v>#NAME?</v>
      </c>
      <c r="G27" s="8" t="e">
        <f t="shared" ref="G27:G32" ca="1" si="18">EPM($B$5,$B$6,5,A27,"period_net_amount",$B$7)</f>
        <v>#NAME?</v>
      </c>
      <c r="H27" s="8" t="e">
        <f t="shared" ref="H27:H32" ca="1" si="19">EPM($B$5,$B$6,6,A27,"period_net_amount",$B$7)</f>
        <v>#NAME?</v>
      </c>
      <c r="I27" s="8" t="e">
        <f t="shared" ref="I27:I32" ca="1" si="20">EPM($B$5,$B$6,7,A27,"period_net_amount",$B$7)</f>
        <v>#NAME?</v>
      </c>
      <c r="J27" s="8" t="e">
        <f t="shared" ref="J27:J32" ca="1" si="21">EPM($B$5,$B$6,8,A27,"period_net_amount",$B$7)</f>
        <v>#NAME?</v>
      </c>
      <c r="K27" s="8" t="e">
        <f t="shared" ref="K27:K32" ca="1" si="22">EPM($B$5,$B$6,9,A27,"period_net_amount",$B$7)</f>
        <v>#NAME?</v>
      </c>
      <c r="L27" s="8" t="e">
        <f t="shared" ref="L27:L32" ca="1" si="23">EPM($B$5,$B$6,10,A27,"period_net_amount",$B$7)</f>
        <v>#NAME?</v>
      </c>
      <c r="M27" s="8" t="e">
        <f t="shared" ref="M27:M32" ca="1" si="24">EPM($B$5,$B$6,11,A27,"period_net_amount",$B$7)</f>
        <v>#NAME?</v>
      </c>
      <c r="N27" s="8" t="e">
        <f t="shared" ref="N27:N32" ca="1" si="25">EPM($B$5,$B$6,12,A27,"period_net_amount",$B$7)</f>
        <v>#NAME?</v>
      </c>
    </row>
    <row r="28" spans="1:15" x14ac:dyDescent="0.35">
      <c r="A28" s="7" t="s">
        <v>206</v>
      </c>
      <c r="B28" s="7" t="s">
        <v>207</v>
      </c>
      <c r="C28" s="8" t="e">
        <f t="shared" ca="1" si="14"/>
        <v>#NAME?</v>
      </c>
      <c r="D28" s="8" t="e">
        <f t="shared" ca="1" si="15"/>
        <v>#NAME?</v>
      </c>
      <c r="E28" s="8" t="e">
        <f t="shared" ca="1" si="16"/>
        <v>#NAME?</v>
      </c>
      <c r="F28" s="8" t="e">
        <f t="shared" ca="1" si="17"/>
        <v>#NAME?</v>
      </c>
      <c r="G28" s="8" t="e">
        <f t="shared" ca="1" si="18"/>
        <v>#NAME?</v>
      </c>
      <c r="H28" s="8" t="e">
        <f t="shared" ca="1" si="19"/>
        <v>#NAME?</v>
      </c>
      <c r="I28" s="8" t="e">
        <f t="shared" ca="1" si="20"/>
        <v>#NAME?</v>
      </c>
      <c r="J28" s="8" t="e">
        <f t="shared" ca="1" si="21"/>
        <v>#NAME?</v>
      </c>
      <c r="K28" s="8" t="e">
        <f t="shared" ca="1" si="22"/>
        <v>#NAME?</v>
      </c>
      <c r="L28" s="8" t="e">
        <f t="shared" ca="1" si="23"/>
        <v>#NAME?</v>
      </c>
      <c r="M28" s="8" t="e">
        <f t="shared" ca="1" si="24"/>
        <v>#NAME?</v>
      </c>
      <c r="N28" s="8" t="e">
        <f t="shared" ca="1" si="25"/>
        <v>#NAME?</v>
      </c>
    </row>
    <row r="29" spans="1:15" x14ac:dyDescent="0.35">
      <c r="A29" s="7" t="s">
        <v>61</v>
      </c>
      <c r="B29" s="7" t="s">
        <v>205</v>
      </c>
      <c r="C29" s="8" t="e">
        <f t="shared" ca="1" si="14"/>
        <v>#NAME?</v>
      </c>
      <c r="D29" s="8" t="e">
        <f t="shared" ca="1" si="15"/>
        <v>#NAME?</v>
      </c>
      <c r="E29" s="8" t="e">
        <f t="shared" ca="1" si="16"/>
        <v>#NAME?</v>
      </c>
      <c r="F29" s="8" t="e">
        <f t="shared" ca="1" si="17"/>
        <v>#NAME?</v>
      </c>
      <c r="G29" s="8" t="e">
        <f t="shared" ca="1" si="18"/>
        <v>#NAME?</v>
      </c>
      <c r="H29" s="8" t="e">
        <f t="shared" ca="1" si="19"/>
        <v>#NAME?</v>
      </c>
      <c r="I29" s="8" t="e">
        <f t="shared" ca="1" si="20"/>
        <v>#NAME?</v>
      </c>
      <c r="J29" s="8" t="e">
        <f t="shared" ca="1" si="21"/>
        <v>#NAME?</v>
      </c>
      <c r="K29" s="8" t="e">
        <f t="shared" ca="1" si="22"/>
        <v>#NAME?</v>
      </c>
      <c r="L29" s="8" t="e">
        <f t="shared" ca="1" si="23"/>
        <v>#NAME?</v>
      </c>
      <c r="M29" s="8" t="e">
        <f t="shared" ca="1" si="24"/>
        <v>#NAME?</v>
      </c>
      <c r="N29" s="8" t="e">
        <f t="shared" ca="1" si="25"/>
        <v>#NAME?</v>
      </c>
    </row>
    <row r="30" spans="1:15" x14ac:dyDescent="0.35">
      <c r="A30" s="7" t="s">
        <v>152</v>
      </c>
      <c r="B30" s="7" t="s">
        <v>308</v>
      </c>
      <c r="C30" s="8" t="e">
        <f t="shared" ca="1" si="14"/>
        <v>#NAME?</v>
      </c>
      <c r="D30" s="8" t="e">
        <f t="shared" ca="1" si="15"/>
        <v>#NAME?</v>
      </c>
      <c r="E30" s="8" t="e">
        <f t="shared" ca="1" si="16"/>
        <v>#NAME?</v>
      </c>
      <c r="F30" s="8" t="e">
        <f t="shared" ca="1" si="17"/>
        <v>#NAME?</v>
      </c>
      <c r="G30" s="8" t="e">
        <f t="shared" ca="1" si="18"/>
        <v>#NAME?</v>
      </c>
      <c r="H30" s="8" t="e">
        <f t="shared" ca="1" si="19"/>
        <v>#NAME?</v>
      </c>
      <c r="I30" s="8" t="e">
        <f t="shared" ca="1" si="20"/>
        <v>#NAME?</v>
      </c>
      <c r="J30" s="8" t="e">
        <f t="shared" ca="1" si="21"/>
        <v>#NAME?</v>
      </c>
      <c r="K30" s="8" t="e">
        <f t="shared" ca="1" si="22"/>
        <v>#NAME?</v>
      </c>
      <c r="L30" s="8" t="e">
        <f t="shared" ca="1" si="23"/>
        <v>#NAME?</v>
      </c>
      <c r="M30" s="8" t="e">
        <f t="shared" ca="1" si="24"/>
        <v>#NAME?</v>
      </c>
      <c r="N30" s="8" t="e">
        <f t="shared" ca="1" si="25"/>
        <v>#NAME?</v>
      </c>
    </row>
    <row r="31" spans="1:15" x14ac:dyDescent="0.35">
      <c r="A31" s="7" t="s">
        <v>150</v>
      </c>
      <c r="B31" s="7" t="s">
        <v>151</v>
      </c>
      <c r="C31" s="8" t="e">
        <f t="shared" ca="1" si="14"/>
        <v>#NAME?</v>
      </c>
      <c r="D31" s="8" t="e">
        <f t="shared" ca="1" si="15"/>
        <v>#NAME?</v>
      </c>
      <c r="E31" s="8" t="e">
        <f t="shared" ca="1" si="16"/>
        <v>#NAME?</v>
      </c>
      <c r="F31" s="8" t="e">
        <f t="shared" ca="1" si="17"/>
        <v>#NAME?</v>
      </c>
      <c r="G31" s="8" t="e">
        <f t="shared" ca="1" si="18"/>
        <v>#NAME?</v>
      </c>
      <c r="H31" s="8" t="e">
        <f t="shared" ca="1" si="19"/>
        <v>#NAME?</v>
      </c>
      <c r="I31" s="8" t="e">
        <f t="shared" ca="1" si="20"/>
        <v>#NAME?</v>
      </c>
      <c r="J31" s="8" t="e">
        <f t="shared" ca="1" si="21"/>
        <v>#NAME?</v>
      </c>
      <c r="K31" s="8" t="e">
        <f t="shared" ca="1" si="22"/>
        <v>#NAME?</v>
      </c>
      <c r="L31" s="8" t="e">
        <f t="shared" ca="1" si="23"/>
        <v>#NAME?</v>
      </c>
      <c r="M31" s="8" t="e">
        <f t="shared" ca="1" si="24"/>
        <v>#NAME?</v>
      </c>
      <c r="N31" s="8" t="e">
        <f t="shared" ca="1" si="25"/>
        <v>#NAME?</v>
      </c>
    </row>
    <row r="32" spans="1:15" x14ac:dyDescent="0.35">
      <c r="A32" s="7" t="s">
        <v>713</v>
      </c>
      <c r="B32" s="7" t="s">
        <v>714</v>
      </c>
      <c r="C32" s="8" t="e">
        <f t="shared" ca="1" si="14"/>
        <v>#NAME?</v>
      </c>
      <c r="D32" s="8" t="e">
        <f t="shared" ca="1" si="15"/>
        <v>#NAME?</v>
      </c>
      <c r="E32" s="8" t="e">
        <f t="shared" ca="1" si="16"/>
        <v>#NAME?</v>
      </c>
      <c r="F32" s="8" t="e">
        <f t="shared" ca="1" si="17"/>
        <v>#NAME?</v>
      </c>
      <c r="G32" s="8" t="e">
        <f t="shared" ca="1" si="18"/>
        <v>#NAME?</v>
      </c>
      <c r="H32" s="8" t="e">
        <f t="shared" ca="1" si="19"/>
        <v>#NAME?</v>
      </c>
      <c r="I32" s="8" t="e">
        <f t="shared" ca="1" si="20"/>
        <v>#NAME?</v>
      </c>
      <c r="J32" s="8" t="e">
        <f t="shared" ca="1" si="21"/>
        <v>#NAME?</v>
      </c>
      <c r="K32" s="8" t="e">
        <f t="shared" ca="1" si="22"/>
        <v>#NAME?</v>
      </c>
      <c r="L32" s="8" t="e">
        <f t="shared" ca="1" si="23"/>
        <v>#NAME?</v>
      </c>
      <c r="M32" s="8" t="e">
        <f t="shared" ca="1" si="24"/>
        <v>#NAME?</v>
      </c>
      <c r="N32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32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715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716</v>
      </c>
    </row>
    <row r="6" spans="1:15" x14ac:dyDescent="0.35">
      <c r="A6" s="2" t="s">
        <v>15</v>
      </c>
      <c r="B6" s="5">
        <v>2025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432</v>
      </c>
      <c r="B11" s="7" t="s">
        <v>692</v>
      </c>
      <c r="C11" s="8" t="e">
        <f t="shared" ref="C11:C22" ca="1" si="0">EPM($B$5,$B$6,1,A11,"period_net_amount",$B$7)</f>
        <v>#NAME?</v>
      </c>
      <c r="D11" s="8" t="e">
        <f t="shared" ref="D11:D22" ca="1" si="1">EPM($B$5,$B$6,2,A11,"period_net_amount",$B$7)</f>
        <v>#NAME?</v>
      </c>
      <c r="E11" s="8" t="e">
        <f t="shared" ref="E11:E22" ca="1" si="2">EPM($B$5,$B$6,3,A11,"period_net_amount",$B$7)</f>
        <v>#NAME?</v>
      </c>
      <c r="F11" s="8" t="e">
        <f t="shared" ref="F11:F22" ca="1" si="3">EPM($B$5,$B$6,4,A11,"period_net_amount",$B$7)</f>
        <v>#NAME?</v>
      </c>
      <c r="G11" s="8" t="e">
        <f t="shared" ref="G11:G22" ca="1" si="4">EPM($B$5,$B$6,5,A11,"period_net_amount",$B$7)</f>
        <v>#NAME?</v>
      </c>
      <c r="H11" s="8" t="e">
        <f t="shared" ref="H11:H22" ca="1" si="5">EPM($B$5,$B$6,6,A11,"period_net_amount",$B$7)</f>
        <v>#NAME?</v>
      </c>
      <c r="I11" s="8" t="e">
        <f t="shared" ref="I11:I22" ca="1" si="6">EPM($B$5,$B$6,7,A11,"period_net_amount",$B$7)</f>
        <v>#NAME?</v>
      </c>
      <c r="J11" s="8" t="e">
        <f t="shared" ref="J11:J22" ca="1" si="7">EPM($B$5,$B$6,8,A11,"period_net_amount",$B$7)</f>
        <v>#NAME?</v>
      </c>
      <c r="K11" s="8" t="e">
        <f t="shared" ref="K11:K22" ca="1" si="8">EPM($B$5,$B$6,9,A11,"period_net_amount",$B$7)</f>
        <v>#NAME?</v>
      </c>
      <c r="L11" s="8" t="e">
        <f t="shared" ref="L11:L22" ca="1" si="9">EPM($B$5,$B$6,10,A11,"period_net_amount",$B$7)</f>
        <v>#NAME?</v>
      </c>
      <c r="M11" s="8" t="e">
        <f t="shared" ref="M11:M22" ca="1" si="10">EPM($B$5,$B$6,11,A11,"period_net_amount",$B$7)</f>
        <v>#NAME?</v>
      </c>
      <c r="N11" s="8" t="e">
        <f t="shared" ref="N11:N22" ca="1" si="11">EPM($B$5,$B$6,12,A11,"period_net_amount",$B$7)</f>
        <v>#NAME?</v>
      </c>
      <c r="O11" s="9" t="e">
        <f t="shared" ref="O11:O22" ca="1" si="12">SUM(C11:N11)</f>
        <v>#NAME?</v>
      </c>
    </row>
    <row r="12" spans="1:15" x14ac:dyDescent="0.35">
      <c r="A12" s="7" t="s">
        <v>44</v>
      </c>
      <c r="B12" s="7" t="s">
        <v>45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461</v>
      </c>
      <c r="B13" s="7" t="s">
        <v>490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52</v>
      </c>
      <c r="B14" s="7" t="s">
        <v>49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144</v>
      </c>
      <c r="B15" s="7" t="s">
        <v>145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300</v>
      </c>
      <c r="B16" s="7" t="s">
        <v>301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717</v>
      </c>
      <c r="B17" s="7" t="s">
        <v>718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A18" s="7" t="s">
        <v>719</v>
      </c>
      <c r="B18" s="7" t="s">
        <v>720</v>
      </c>
      <c r="C18" s="8" t="e">
        <f t="shared" ca="1" si="0"/>
        <v>#NAME?</v>
      </c>
      <c r="D18" s="8" t="e">
        <f t="shared" ca="1" si="1"/>
        <v>#NAME?</v>
      </c>
      <c r="E18" s="8" t="e">
        <f t="shared" ca="1" si="2"/>
        <v>#NAME?</v>
      </c>
      <c r="F18" s="8" t="e">
        <f t="shared" ca="1" si="3"/>
        <v>#NAME?</v>
      </c>
      <c r="G18" s="8" t="e">
        <f t="shared" ca="1" si="4"/>
        <v>#NAME?</v>
      </c>
      <c r="H18" s="8" t="e">
        <f t="shared" ca="1" si="5"/>
        <v>#NAME?</v>
      </c>
      <c r="I18" s="8" t="e">
        <f t="shared" ca="1" si="6"/>
        <v>#NAME?</v>
      </c>
      <c r="J18" s="8" t="e">
        <f t="shared" ca="1" si="7"/>
        <v>#NAME?</v>
      </c>
      <c r="K18" s="8" t="e">
        <f t="shared" ca="1" si="8"/>
        <v>#NAME?</v>
      </c>
      <c r="L18" s="8" t="e">
        <f t="shared" ca="1" si="9"/>
        <v>#NAME?</v>
      </c>
      <c r="M18" s="8" t="e">
        <f t="shared" ca="1" si="10"/>
        <v>#NAME?</v>
      </c>
      <c r="N18" s="8" t="e">
        <f t="shared" ca="1" si="11"/>
        <v>#NAME?</v>
      </c>
      <c r="O18" s="9" t="e">
        <f t="shared" ca="1" si="12"/>
        <v>#NAME?</v>
      </c>
    </row>
    <row r="19" spans="1:15" x14ac:dyDescent="0.35">
      <c r="A19" s="7" t="s">
        <v>319</v>
      </c>
      <c r="B19" s="7" t="s">
        <v>320</v>
      </c>
      <c r="C19" s="8" t="e">
        <f t="shared" ca="1" si="0"/>
        <v>#NAME?</v>
      </c>
      <c r="D19" s="8" t="e">
        <f t="shared" ca="1" si="1"/>
        <v>#NAME?</v>
      </c>
      <c r="E19" s="8" t="e">
        <f t="shared" ca="1" si="2"/>
        <v>#NAME?</v>
      </c>
      <c r="F19" s="8" t="e">
        <f t="shared" ca="1" si="3"/>
        <v>#NAME?</v>
      </c>
      <c r="G19" s="8" t="e">
        <f t="shared" ca="1" si="4"/>
        <v>#NAME?</v>
      </c>
      <c r="H19" s="8" t="e">
        <f t="shared" ca="1" si="5"/>
        <v>#NAME?</v>
      </c>
      <c r="I19" s="8" t="e">
        <f t="shared" ca="1" si="6"/>
        <v>#NAME?</v>
      </c>
      <c r="J19" s="8" t="e">
        <f t="shared" ca="1" si="7"/>
        <v>#NAME?</v>
      </c>
      <c r="K19" s="8" t="e">
        <f t="shared" ca="1" si="8"/>
        <v>#NAME?</v>
      </c>
      <c r="L19" s="8" t="e">
        <f t="shared" ca="1" si="9"/>
        <v>#NAME?</v>
      </c>
      <c r="M19" s="8" t="e">
        <f t="shared" ca="1" si="10"/>
        <v>#NAME?</v>
      </c>
      <c r="N19" s="8" t="e">
        <f t="shared" ca="1" si="11"/>
        <v>#NAME?</v>
      </c>
      <c r="O19" s="9" t="e">
        <f t="shared" ca="1" si="12"/>
        <v>#NAME?</v>
      </c>
    </row>
    <row r="20" spans="1:15" x14ac:dyDescent="0.35">
      <c r="A20" s="7" t="s">
        <v>190</v>
      </c>
      <c r="B20" s="7" t="s">
        <v>191</v>
      </c>
      <c r="C20" s="8" t="e">
        <f t="shared" ca="1" si="0"/>
        <v>#NAME?</v>
      </c>
      <c r="D20" s="8" t="e">
        <f t="shared" ca="1" si="1"/>
        <v>#NAME?</v>
      </c>
      <c r="E20" s="8" t="e">
        <f t="shared" ca="1" si="2"/>
        <v>#NAME?</v>
      </c>
      <c r="F20" s="8" t="e">
        <f t="shared" ca="1" si="3"/>
        <v>#NAME?</v>
      </c>
      <c r="G20" s="8" t="e">
        <f t="shared" ca="1" si="4"/>
        <v>#NAME?</v>
      </c>
      <c r="H20" s="8" t="e">
        <f t="shared" ca="1" si="5"/>
        <v>#NAME?</v>
      </c>
      <c r="I20" s="8" t="e">
        <f t="shared" ca="1" si="6"/>
        <v>#NAME?</v>
      </c>
      <c r="J20" s="8" t="e">
        <f t="shared" ca="1" si="7"/>
        <v>#NAME?</v>
      </c>
      <c r="K20" s="8" t="e">
        <f t="shared" ca="1" si="8"/>
        <v>#NAME?</v>
      </c>
      <c r="L20" s="8" t="e">
        <f t="shared" ca="1" si="9"/>
        <v>#NAME?</v>
      </c>
      <c r="M20" s="8" t="e">
        <f t="shared" ca="1" si="10"/>
        <v>#NAME?</v>
      </c>
      <c r="N20" s="8" t="e">
        <f t="shared" ca="1" si="11"/>
        <v>#NAME?</v>
      </c>
      <c r="O20" s="9" t="e">
        <f t="shared" ca="1" si="12"/>
        <v>#NAME?</v>
      </c>
    </row>
    <row r="21" spans="1:15" x14ac:dyDescent="0.35">
      <c r="A21" s="7" t="s">
        <v>321</v>
      </c>
      <c r="B21" s="7" t="s">
        <v>322</v>
      </c>
      <c r="C21" s="8" t="e">
        <f t="shared" ca="1" si="0"/>
        <v>#NAME?</v>
      </c>
      <c r="D21" s="8" t="e">
        <f t="shared" ca="1" si="1"/>
        <v>#NAME?</v>
      </c>
      <c r="E21" s="8" t="e">
        <f t="shared" ca="1" si="2"/>
        <v>#NAME?</v>
      </c>
      <c r="F21" s="8" t="e">
        <f t="shared" ca="1" si="3"/>
        <v>#NAME?</v>
      </c>
      <c r="G21" s="8" t="e">
        <f t="shared" ca="1" si="4"/>
        <v>#NAME?</v>
      </c>
      <c r="H21" s="8" t="e">
        <f t="shared" ca="1" si="5"/>
        <v>#NAME?</v>
      </c>
      <c r="I21" s="8" t="e">
        <f t="shared" ca="1" si="6"/>
        <v>#NAME?</v>
      </c>
      <c r="J21" s="8" t="e">
        <f t="shared" ca="1" si="7"/>
        <v>#NAME?</v>
      </c>
      <c r="K21" s="8" t="e">
        <f t="shared" ca="1" si="8"/>
        <v>#NAME?</v>
      </c>
      <c r="L21" s="8" t="e">
        <f t="shared" ca="1" si="9"/>
        <v>#NAME?</v>
      </c>
      <c r="M21" s="8" t="e">
        <f t="shared" ca="1" si="10"/>
        <v>#NAME?</v>
      </c>
      <c r="N21" s="8" t="e">
        <f t="shared" ca="1" si="11"/>
        <v>#NAME?</v>
      </c>
      <c r="O21" s="9" t="e">
        <f t="shared" ca="1" si="12"/>
        <v>#NAME?</v>
      </c>
    </row>
    <row r="22" spans="1:15" x14ac:dyDescent="0.35">
      <c r="A22" s="7" t="s">
        <v>711</v>
      </c>
      <c r="B22" s="7" t="s">
        <v>712</v>
      </c>
      <c r="C22" s="8" t="e">
        <f t="shared" ca="1" si="0"/>
        <v>#NAME?</v>
      </c>
      <c r="D22" s="8" t="e">
        <f t="shared" ca="1" si="1"/>
        <v>#NAME?</v>
      </c>
      <c r="E22" s="8" t="e">
        <f t="shared" ca="1" si="2"/>
        <v>#NAME?</v>
      </c>
      <c r="F22" s="8" t="e">
        <f t="shared" ca="1" si="3"/>
        <v>#NAME?</v>
      </c>
      <c r="G22" s="8" t="e">
        <f t="shared" ca="1" si="4"/>
        <v>#NAME?</v>
      </c>
      <c r="H22" s="8" t="e">
        <f t="shared" ca="1" si="5"/>
        <v>#NAME?</v>
      </c>
      <c r="I22" s="8" t="e">
        <f t="shared" ca="1" si="6"/>
        <v>#NAME?</v>
      </c>
      <c r="J22" s="8" t="e">
        <f t="shared" ca="1" si="7"/>
        <v>#NAME?</v>
      </c>
      <c r="K22" s="8" t="e">
        <f t="shared" ca="1" si="8"/>
        <v>#NAME?</v>
      </c>
      <c r="L22" s="8" t="e">
        <f t="shared" ca="1" si="9"/>
        <v>#NAME?</v>
      </c>
      <c r="M22" s="8" t="e">
        <f t="shared" ca="1" si="10"/>
        <v>#NAME?</v>
      </c>
      <c r="N22" s="8" t="e">
        <f t="shared" ca="1" si="11"/>
        <v>#NAME?</v>
      </c>
      <c r="O22" s="9" t="e">
        <f t="shared" ca="1" si="12"/>
        <v>#NAME?</v>
      </c>
    </row>
    <row r="23" spans="1:15" x14ac:dyDescent="0.35">
      <c r="B23" s="10" t="s">
        <v>57</v>
      </c>
      <c r="C23" s="11" t="e">
        <f t="shared" ref="C23:O23" ca="1" si="13">SUM(C11:C22)</f>
        <v>#NAME?</v>
      </c>
      <c r="D23" s="11" t="e">
        <f t="shared" ca="1" si="13"/>
        <v>#NAME?</v>
      </c>
      <c r="E23" s="11" t="e">
        <f t="shared" ca="1" si="13"/>
        <v>#NAME?</v>
      </c>
      <c r="F23" s="11" t="e">
        <f t="shared" ca="1" si="13"/>
        <v>#NAME?</v>
      </c>
      <c r="G23" s="11" t="e">
        <f t="shared" ca="1" si="13"/>
        <v>#NAME?</v>
      </c>
      <c r="H23" s="11" t="e">
        <f t="shared" ca="1" si="13"/>
        <v>#NAME?</v>
      </c>
      <c r="I23" s="11" t="e">
        <f t="shared" ca="1" si="13"/>
        <v>#NAME?</v>
      </c>
      <c r="J23" s="11" t="e">
        <f t="shared" ca="1" si="13"/>
        <v>#NAME?</v>
      </c>
      <c r="K23" s="11" t="e">
        <f t="shared" ca="1" si="13"/>
        <v>#NAME?</v>
      </c>
      <c r="L23" s="11" t="e">
        <f t="shared" ca="1" si="13"/>
        <v>#NAME?</v>
      </c>
      <c r="M23" s="11" t="e">
        <f t="shared" ca="1" si="13"/>
        <v>#NAME?</v>
      </c>
      <c r="N23" s="11" t="e">
        <f t="shared" ca="1" si="13"/>
        <v>#NAME?</v>
      </c>
      <c r="O23" s="11" t="e">
        <f t="shared" ca="1" si="13"/>
        <v>#NAME?</v>
      </c>
    </row>
    <row r="25" spans="1:15" ht="15.5" x14ac:dyDescent="0.35">
      <c r="A25" s="4" t="s">
        <v>58</v>
      </c>
    </row>
    <row r="26" spans="1:15" x14ac:dyDescent="0.35">
      <c r="A26" s="6" t="s">
        <v>19</v>
      </c>
      <c r="B26" s="6" t="s">
        <v>20</v>
      </c>
      <c r="C26" s="6" t="s">
        <v>21</v>
      </c>
      <c r="D26" s="6" t="s">
        <v>22</v>
      </c>
      <c r="E26" s="6" t="s">
        <v>23</v>
      </c>
      <c r="F26" s="6" t="s">
        <v>24</v>
      </c>
      <c r="G26" s="6" t="s">
        <v>25</v>
      </c>
      <c r="H26" s="6" t="s">
        <v>26</v>
      </c>
      <c r="I26" s="6" t="s">
        <v>27</v>
      </c>
      <c r="J26" s="6" t="s">
        <v>28</v>
      </c>
      <c r="K26" s="6" t="s">
        <v>29</v>
      </c>
      <c r="L26" s="6" t="s">
        <v>30</v>
      </c>
      <c r="M26" s="6" t="s">
        <v>31</v>
      </c>
      <c r="N26" s="6" t="s">
        <v>32</v>
      </c>
    </row>
    <row r="27" spans="1:15" x14ac:dyDescent="0.35">
      <c r="A27" s="7" t="s">
        <v>232</v>
      </c>
      <c r="B27" s="7" t="s">
        <v>233</v>
      </c>
      <c r="C27" s="8" t="e">
        <f t="shared" ref="C27:C32" ca="1" si="14">EPM($B$5,$B$6,1,A27,"period_net_amount",$B$7)</f>
        <v>#NAME?</v>
      </c>
      <c r="D27" s="8" t="e">
        <f t="shared" ref="D27:D32" ca="1" si="15">EPM($B$5,$B$6,2,A27,"period_net_amount",$B$7)</f>
        <v>#NAME?</v>
      </c>
      <c r="E27" s="8" t="e">
        <f t="shared" ref="E27:E32" ca="1" si="16">EPM($B$5,$B$6,3,A27,"period_net_amount",$B$7)</f>
        <v>#NAME?</v>
      </c>
      <c r="F27" s="8" t="e">
        <f t="shared" ref="F27:F32" ca="1" si="17">EPM($B$5,$B$6,4,A27,"period_net_amount",$B$7)</f>
        <v>#NAME?</v>
      </c>
      <c r="G27" s="8" t="e">
        <f t="shared" ref="G27:G32" ca="1" si="18">EPM($B$5,$B$6,5,A27,"period_net_amount",$B$7)</f>
        <v>#NAME?</v>
      </c>
      <c r="H27" s="8" t="e">
        <f t="shared" ref="H27:H32" ca="1" si="19">EPM($B$5,$B$6,6,A27,"period_net_amount",$B$7)</f>
        <v>#NAME?</v>
      </c>
      <c r="I27" s="8" t="e">
        <f t="shared" ref="I27:I32" ca="1" si="20">EPM($B$5,$B$6,7,A27,"period_net_amount",$B$7)</f>
        <v>#NAME?</v>
      </c>
      <c r="J27" s="8" t="e">
        <f t="shared" ref="J27:J32" ca="1" si="21">EPM($B$5,$B$6,8,A27,"period_net_amount",$B$7)</f>
        <v>#NAME?</v>
      </c>
      <c r="K27" s="8" t="e">
        <f t="shared" ref="K27:K32" ca="1" si="22">EPM($B$5,$B$6,9,A27,"period_net_amount",$B$7)</f>
        <v>#NAME?</v>
      </c>
      <c r="L27" s="8" t="e">
        <f t="shared" ref="L27:L32" ca="1" si="23">EPM($B$5,$B$6,10,A27,"period_net_amount",$B$7)</f>
        <v>#NAME?</v>
      </c>
      <c r="M27" s="8" t="e">
        <f t="shared" ref="M27:M32" ca="1" si="24">EPM($B$5,$B$6,11,A27,"period_net_amount",$B$7)</f>
        <v>#NAME?</v>
      </c>
      <c r="N27" s="8" t="e">
        <f t="shared" ref="N27:N32" ca="1" si="25">EPM($B$5,$B$6,12,A27,"period_net_amount",$B$7)</f>
        <v>#NAME?</v>
      </c>
    </row>
    <row r="28" spans="1:15" x14ac:dyDescent="0.35">
      <c r="A28" s="7" t="s">
        <v>61</v>
      </c>
      <c r="B28" s="7" t="s">
        <v>721</v>
      </c>
      <c r="C28" s="8" t="e">
        <f t="shared" ca="1" si="14"/>
        <v>#NAME?</v>
      </c>
      <c r="D28" s="8" t="e">
        <f t="shared" ca="1" si="15"/>
        <v>#NAME?</v>
      </c>
      <c r="E28" s="8" t="e">
        <f t="shared" ca="1" si="16"/>
        <v>#NAME?</v>
      </c>
      <c r="F28" s="8" t="e">
        <f t="shared" ca="1" si="17"/>
        <v>#NAME?</v>
      </c>
      <c r="G28" s="8" t="e">
        <f t="shared" ca="1" si="18"/>
        <v>#NAME?</v>
      </c>
      <c r="H28" s="8" t="e">
        <f t="shared" ca="1" si="19"/>
        <v>#NAME?</v>
      </c>
      <c r="I28" s="8" t="e">
        <f t="shared" ca="1" si="20"/>
        <v>#NAME?</v>
      </c>
      <c r="J28" s="8" t="e">
        <f t="shared" ca="1" si="21"/>
        <v>#NAME?</v>
      </c>
      <c r="K28" s="8" t="e">
        <f t="shared" ca="1" si="22"/>
        <v>#NAME?</v>
      </c>
      <c r="L28" s="8" t="e">
        <f t="shared" ca="1" si="23"/>
        <v>#NAME?</v>
      </c>
      <c r="M28" s="8" t="e">
        <f t="shared" ca="1" si="24"/>
        <v>#NAME?</v>
      </c>
      <c r="N28" s="8" t="e">
        <f t="shared" ca="1" si="25"/>
        <v>#NAME?</v>
      </c>
    </row>
    <row r="29" spans="1:15" x14ac:dyDescent="0.35">
      <c r="A29" s="7" t="s">
        <v>326</v>
      </c>
      <c r="B29" s="7" t="s">
        <v>327</v>
      </c>
      <c r="C29" s="8" t="e">
        <f t="shared" ca="1" si="14"/>
        <v>#NAME?</v>
      </c>
      <c r="D29" s="8" t="e">
        <f t="shared" ca="1" si="15"/>
        <v>#NAME?</v>
      </c>
      <c r="E29" s="8" t="e">
        <f t="shared" ca="1" si="16"/>
        <v>#NAME?</v>
      </c>
      <c r="F29" s="8" t="e">
        <f t="shared" ca="1" si="17"/>
        <v>#NAME?</v>
      </c>
      <c r="G29" s="8" t="e">
        <f t="shared" ca="1" si="18"/>
        <v>#NAME?</v>
      </c>
      <c r="H29" s="8" t="e">
        <f t="shared" ca="1" si="19"/>
        <v>#NAME?</v>
      </c>
      <c r="I29" s="8" t="e">
        <f t="shared" ca="1" si="20"/>
        <v>#NAME?</v>
      </c>
      <c r="J29" s="8" t="e">
        <f t="shared" ca="1" si="21"/>
        <v>#NAME?</v>
      </c>
      <c r="K29" s="8" t="e">
        <f t="shared" ca="1" si="22"/>
        <v>#NAME?</v>
      </c>
      <c r="L29" s="8" t="e">
        <f t="shared" ca="1" si="23"/>
        <v>#NAME?</v>
      </c>
      <c r="M29" s="8" t="e">
        <f t="shared" ca="1" si="24"/>
        <v>#NAME?</v>
      </c>
      <c r="N29" s="8" t="e">
        <f t="shared" ca="1" si="25"/>
        <v>#NAME?</v>
      </c>
    </row>
    <row r="30" spans="1:15" x14ac:dyDescent="0.35">
      <c r="A30" s="7" t="s">
        <v>152</v>
      </c>
      <c r="B30" s="7" t="s">
        <v>308</v>
      </c>
      <c r="C30" s="8" t="e">
        <f t="shared" ca="1" si="14"/>
        <v>#NAME?</v>
      </c>
      <c r="D30" s="8" t="e">
        <f t="shared" ca="1" si="15"/>
        <v>#NAME?</v>
      </c>
      <c r="E30" s="8" t="e">
        <f t="shared" ca="1" si="16"/>
        <v>#NAME?</v>
      </c>
      <c r="F30" s="8" t="e">
        <f t="shared" ca="1" si="17"/>
        <v>#NAME?</v>
      </c>
      <c r="G30" s="8" t="e">
        <f t="shared" ca="1" si="18"/>
        <v>#NAME?</v>
      </c>
      <c r="H30" s="8" t="e">
        <f t="shared" ca="1" si="19"/>
        <v>#NAME?</v>
      </c>
      <c r="I30" s="8" t="e">
        <f t="shared" ca="1" si="20"/>
        <v>#NAME?</v>
      </c>
      <c r="J30" s="8" t="e">
        <f t="shared" ca="1" si="21"/>
        <v>#NAME?</v>
      </c>
      <c r="K30" s="8" t="e">
        <f t="shared" ca="1" si="22"/>
        <v>#NAME?</v>
      </c>
      <c r="L30" s="8" t="e">
        <f t="shared" ca="1" si="23"/>
        <v>#NAME?</v>
      </c>
      <c r="M30" s="8" t="e">
        <f t="shared" ca="1" si="24"/>
        <v>#NAME?</v>
      </c>
      <c r="N30" s="8" t="e">
        <f t="shared" ca="1" si="25"/>
        <v>#NAME?</v>
      </c>
    </row>
    <row r="31" spans="1:15" x14ac:dyDescent="0.35">
      <c r="A31" s="7" t="s">
        <v>203</v>
      </c>
      <c r="B31" s="7" t="s">
        <v>204</v>
      </c>
      <c r="C31" s="8" t="e">
        <f t="shared" ca="1" si="14"/>
        <v>#NAME?</v>
      </c>
      <c r="D31" s="8" t="e">
        <f t="shared" ca="1" si="15"/>
        <v>#NAME?</v>
      </c>
      <c r="E31" s="8" t="e">
        <f t="shared" ca="1" si="16"/>
        <v>#NAME?</v>
      </c>
      <c r="F31" s="8" t="e">
        <f t="shared" ca="1" si="17"/>
        <v>#NAME?</v>
      </c>
      <c r="G31" s="8" t="e">
        <f t="shared" ca="1" si="18"/>
        <v>#NAME?</v>
      </c>
      <c r="H31" s="8" t="e">
        <f t="shared" ca="1" si="19"/>
        <v>#NAME?</v>
      </c>
      <c r="I31" s="8" t="e">
        <f t="shared" ca="1" si="20"/>
        <v>#NAME?</v>
      </c>
      <c r="J31" s="8" t="e">
        <f t="shared" ca="1" si="21"/>
        <v>#NAME?</v>
      </c>
      <c r="K31" s="8" t="e">
        <f t="shared" ca="1" si="22"/>
        <v>#NAME?</v>
      </c>
      <c r="L31" s="8" t="e">
        <f t="shared" ca="1" si="23"/>
        <v>#NAME?</v>
      </c>
      <c r="M31" s="8" t="e">
        <f t="shared" ca="1" si="24"/>
        <v>#NAME?</v>
      </c>
      <c r="N31" s="8" t="e">
        <f t="shared" ca="1" si="25"/>
        <v>#NAME?</v>
      </c>
    </row>
    <row r="32" spans="1:15" x14ac:dyDescent="0.35">
      <c r="A32" s="7" t="s">
        <v>59</v>
      </c>
      <c r="B32" s="7" t="s">
        <v>60</v>
      </c>
      <c r="C32" s="8" t="e">
        <f t="shared" ca="1" si="14"/>
        <v>#NAME?</v>
      </c>
      <c r="D32" s="8" t="e">
        <f t="shared" ca="1" si="15"/>
        <v>#NAME?</v>
      </c>
      <c r="E32" s="8" t="e">
        <f t="shared" ca="1" si="16"/>
        <v>#NAME?</v>
      </c>
      <c r="F32" s="8" t="e">
        <f t="shared" ca="1" si="17"/>
        <v>#NAME?</v>
      </c>
      <c r="G32" s="8" t="e">
        <f t="shared" ca="1" si="18"/>
        <v>#NAME?</v>
      </c>
      <c r="H32" s="8" t="e">
        <f t="shared" ca="1" si="19"/>
        <v>#NAME?</v>
      </c>
      <c r="I32" s="8" t="e">
        <f t="shared" ca="1" si="20"/>
        <v>#NAME?</v>
      </c>
      <c r="J32" s="8" t="e">
        <f t="shared" ca="1" si="21"/>
        <v>#NAME?</v>
      </c>
      <c r="K32" s="8" t="e">
        <f t="shared" ca="1" si="22"/>
        <v>#NAME?</v>
      </c>
      <c r="L32" s="8" t="e">
        <f t="shared" ca="1" si="23"/>
        <v>#NAME?</v>
      </c>
      <c r="M32" s="8" t="e">
        <f t="shared" ca="1" si="24"/>
        <v>#NAME?</v>
      </c>
      <c r="N32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32"/>
  <sheetViews>
    <sheetView workbookViewId="0"/>
  </sheetViews>
  <sheetFormatPr defaultRowHeight="14.5" x14ac:dyDescent="0.35"/>
  <cols>
    <col min="1" max="1" width="14" customWidth="1"/>
    <col min="2" max="2" width="35" customWidth="1"/>
    <col min="3" max="15" width="15" customWidth="1"/>
  </cols>
  <sheetData>
    <row r="1" spans="1:15" ht="18.5" x14ac:dyDescent="0.45">
      <c r="A1" s="12" t="s">
        <v>722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 x14ac:dyDescent="0.35">
      <c r="A2" s="3" t="s">
        <v>11</v>
      </c>
    </row>
    <row r="4" spans="1:15" ht="15.5" x14ac:dyDescent="0.35">
      <c r="A4" s="4" t="s">
        <v>12</v>
      </c>
    </row>
    <row r="5" spans="1:15" x14ac:dyDescent="0.35">
      <c r="A5" s="2" t="s">
        <v>13</v>
      </c>
      <c r="B5" s="5" t="s">
        <v>723</v>
      </c>
    </row>
    <row r="6" spans="1:15" x14ac:dyDescent="0.35">
      <c r="A6" s="2" t="s">
        <v>15</v>
      </c>
      <c r="B6" s="5">
        <v>2016</v>
      </c>
    </row>
    <row r="7" spans="1:15" x14ac:dyDescent="0.35">
      <c r="A7" s="2" t="s">
        <v>16</v>
      </c>
      <c r="B7" s="5" t="s">
        <v>17</v>
      </c>
    </row>
    <row r="9" spans="1:15" ht="15.5" x14ac:dyDescent="0.35">
      <c r="A9" s="4" t="s">
        <v>18</v>
      </c>
    </row>
    <row r="10" spans="1:15" x14ac:dyDescent="0.35">
      <c r="A10" s="6" t="s">
        <v>19</v>
      </c>
      <c r="B10" s="6" t="s">
        <v>20</v>
      </c>
      <c r="C10" s="6" t="s">
        <v>21</v>
      </c>
      <c r="D10" s="6" t="s">
        <v>22</v>
      </c>
      <c r="E10" s="6" t="s">
        <v>23</v>
      </c>
      <c r="F10" s="6" t="s">
        <v>24</v>
      </c>
      <c r="G10" s="6" t="s">
        <v>25</v>
      </c>
      <c r="H10" s="6" t="s">
        <v>26</v>
      </c>
      <c r="I10" s="6" t="s">
        <v>27</v>
      </c>
      <c r="J10" s="6" t="s">
        <v>28</v>
      </c>
      <c r="K10" s="6" t="s">
        <v>29</v>
      </c>
      <c r="L10" s="6" t="s">
        <v>30</v>
      </c>
      <c r="M10" s="6" t="s">
        <v>31</v>
      </c>
      <c r="N10" s="6" t="s">
        <v>32</v>
      </c>
      <c r="O10" s="6" t="s">
        <v>33</v>
      </c>
    </row>
    <row r="11" spans="1:15" x14ac:dyDescent="0.35">
      <c r="A11" s="7" t="s">
        <v>724</v>
      </c>
      <c r="B11" s="7" t="s">
        <v>725</v>
      </c>
      <c r="C11" s="8" t="e">
        <f t="shared" ref="C11:C22" ca="1" si="0">EPM($B$5,$B$6,1,A11,"period_net_amount",$B$7)</f>
        <v>#NAME?</v>
      </c>
      <c r="D11" s="8" t="e">
        <f t="shared" ref="D11:D22" ca="1" si="1">EPM($B$5,$B$6,2,A11,"period_net_amount",$B$7)</f>
        <v>#NAME?</v>
      </c>
      <c r="E11" s="8" t="e">
        <f t="shared" ref="E11:E22" ca="1" si="2">EPM($B$5,$B$6,3,A11,"period_net_amount",$B$7)</f>
        <v>#NAME?</v>
      </c>
      <c r="F11" s="8" t="e">
        <f t="shared" ref="F11:F22" ca="1" si="3">EPM($B$5,$B$6,4,A11,"period_net_amount",$B$7)</f>
        <v>#NAME?</v>
      </c>
      <c r="G11" s="8" t="e">
        <f t="shared" ref="G11:G22" ca="1" si="4">EPM($B$5,$B$6,5,A11,"period_net_amount",$B$7)</f>
        <v>#NAME?</v>
      </c>
      <c r="H11" s="8" t="e">
        <f t="shared" ref="H11:H22" ca="1" si="5">EPM($B$5,$B$6,6,A11,"period_net_amount",$B$7)</f>
        <v>#NAME?</v>
      </c>
      <c r="I11" s="8" t="e">
        <f t="shared" ref="I11:I22" ca="1" si="6">EPM($B$5,$B$6,7,A11,"period_net_amount",$B$7)</f>
        <v>#NAME?</v>
      </c>
      <c r="J11" s="8" t="e">
        <f t="shared" ref="J11:J22" ca="1" si="7">EPM($B$5,$B$6,8,A11,"period_net_amount",$B$7)</f>
        <v>#NAME?</v>
      </c>
      <c r="K11" s="8" t="e">
        <f t="shared" ref="K11:K22" ca="1" si="8">EPM($B$5,$B$6,9,A11,"period_net_amount",$B$7)</f>
        <v>#NAME?</v>
      </c>
      <c r="L11" s="8" t="e">
        <f t="shared" ref="L11:L22" ca="1" si="9">EPM($B$5,$B$6,10,A11,"period_net_amount",$B$7)</f>
        <v>#NAME?</v>
      </c>
      <c r="M11" s="8" t="e">
        <f t="shared" ref="M11:M22" ca="1" si="10">EPM($B$5,$B$6,11,A11,"period_net_amount",$B$7)</f>
        <v>#NAME?</v>
      </c>
      <c r="N11" s="8" t="e">
        <f t="shared" ref="N11:N22" ca="1" si="11">EPM($B$5,$B$6,12,A11,"period_net_amount",$B$7)</f>
        <v>#NAME?</v>
      </c>
      <c r="O11" s="9" t="e">
        <f t="shared" ref="O11:O22" ca="1" si="12">SUM(C11:N11)</f>
        <v>#NAME?</v>
      </c>
    </row>
    <row r="12" spans="1:15" x14ac:dyDescent="0.35">
      <c r="A12" s="7" t="s">
        <v>36</v>
      </c>
      <c r="B12" s="7" t="s">
        <v>318</v>
      </c>
      <c r="C12" s="8" t="e">
        <f t="shared" ca="1" si="0"/>
        <v>#NAME?</v>
      </c>
      <c r="D12" s="8" t="e">
        <f t="shared" ca="1" si="1"/>
        <v>#NAME?</v>
      </c>
      <c r="E12" s="8" t="e">
        <f t="shared" ca="1" si="2"/>
        <v>#NAME?</v>
      </c>
      <c r="F12" s="8" t="e">
        <f t="shared" ca="1" si="3"/>
        <v>#NAME?</v>
      </c>
      <c r="G12" s="8" t="e">
        <f t="shared" ca="1" si="4"/>
        <v>#NAME?</v>
      </c>
      <c r="H12" s="8" t="e">
        <f t="shared" ca="1" si="5"/>
        <v>#NAME?</v>
      </c>
      <c r="I12" s="8" t="e">
        <f t="shared" ca="1" si="6"/>
        <v>#NAME?</v>
      </c>
      <c r="J12" s="8" t="e">
        <f t="shared" ca="1" si="7"/>
        <v>#NAME?</v>
      </c>
      <c r="K12" s="8" t="e">
        <f t="shared" ca="1" si="8"/>
        <v>#NAME?</v>
      </c>
      <c r="L12" s="8" t="e">
        <f t="shared" ca="1" si="9"/>
        <v>#NAME?</v>
      </c>
      <c r="M12" s="8" t="e">
        <f t="shared" ca="1" si="10"/>
        <v>#NAME?</v>
      </c>
      <c r="N12" s="8" t="e">
        <f t="shared" ca="1" si="11"/>
        <v>#NAME?</v>
      </c>
      <c r="O12" s="9" t="e">
        <f t="shared" ca="1" si="12"/>
        <v>#NAME?</v>
      </c>
    </row>
    <row r="13" spans="1:15" x14ac:dyDescent="0.35">
      <c r="A13" s="7" t="s">
        <v>295</v>
      </c>
      <c r="B13" s="7" t="s">
        <v>401</v>
      </c>
      <c r="C13" s="8" t="e">
        <f t="shared" ca="1" si="0"/>
        <v>#NAME?</v>
      </c>
      <c r="D13" s="8" t="e">
        <f t="shared" ca="1" si="1"/>
        <v>#NAME?</v>
      </c>
      <c r="E13" s="8" t="e">
        <f t="shared" ca="1" si="2"/>
        <v>#NAME?</v>
      </c>
      <c r="F13" s="8" t="e">
        <f t="shared" ca="1" si="3"/>
        <v>#NAME?</v>
      </c>
      <c r="G13" s="8" t="e">
        <f t="shared" ca="1" si="4"/>
        <v>#NAME?</v>
      </c>
      <c r="H13" s="8" t="e">
        <f t="shared" ca="1" si="5"/>
        <v>#NAME?</v>
      </c>
      <c r="I13" s="8" t="e">
        <f t="shared" ca="1" si="6"/>
        <v>#NAME?</v>
      </c>
      <c r="J13" s="8" t="e">
        <f t="shared" ca="1" si="7"/>
        <v>#NAME?</v>
      </c>
      <c r="K13" s="8" t="e">
        <f t="shared" ca="1" si="8"/>
        <v>#NAME?</v>
      </c>
      <c r="L13" s="8" t="e">
        <f t="shared" ca="1" si="9"/>
        <v>#NAME?</v>
      </c>
      <c r="M13" s="8" t="e">
        <f t="shared" ca="1" si="10"/>
        <v>#NAME?</v>
      </c>
      <c r="N13" s="8" t="e">
        <f t="shared" ca="1" si="11"/>
        <v>#NAME?</v>
      </c>
      <c r="O13" s="9" t="e">
        <f t="shared" ca="1" si="12"/>
        <v>#NAME?</v>
      </c>
    </row>
    <row r="14" spans="1:15" x14ac:dyDescent="0.35">
      <c r="A14" s="7" t="s">
        <v>242</v>
      </c>
      <c r="B14" s="7" t="s">
        <v>299</v>
      </c>
      <c r="C14" s="8" t="e">
        <f t="shared" ca="1" si="0"/>
        <v>#NAME?</v>
      </c>
      <c r="D14" s="8" t="e">
        <f t="shared" ca="1" si="1"/>
        <v>#NAME?</v>
      </c>
      <c r="E14" s="8" t="e">
        <f t="shared" ca="1" si="2"/>
        <v>#NAME?</v>
      </c>
      <c r="F14" s="8" t="e">
        <f t="shared" ca="1" si="3"/>
        <v>#NAME?</v>
      </c>
      <c r="G14" s="8" t="e">
        <f t="shared" ca="1" si="4"/>
        <v>#NAME?</v>
      </c>
      <c r="H14" s="8" t="e">
        <f t="shared" ca="1" si="5"/>
        <v>#NAME?</v>
      </c>
      <c r="I14" s="8" t="e">
        <f t="shared" ca="1" si="6"/>
        <v>#NAME?</v>
      </c>
      <c r="J14" s="8" t="e">
        <f t="shared" ca="1" si="7"/>
        <v>#NAME?</v>
      </c>
      <c r="K14" s="8" t="e">
        <f t="shared" ca="1" si="8"/>
        <v>#NAME?</v>
      </c>
      <c r="L14" s="8" t="e">
        <f t="shared" ca="1" si="9"/>
        <v>#NAME?</v>
      </c>
      <c r="M14" s="8" t="e">
        <f t="shared" ca="1" si="10"/>
        <v>#NAME?</v>
      </c>
      <c r="N14" s="8" t="e">
        <f t="shared" ca="1" si="11"/>
        <v>#NAME?</v>
      </c>
      <c r="O14" s="9" t="e">
        <f t="shared" ca="1" si="12"/>
        <v>#NAME?</v>
      </c>
    </row>
    <row r="15" spans="1:15" x14ac:dyDescent="0.35">
      <c r="A15" s="7" t="s">
        <v>44</v>
      </c>
      <c r="B15" s="7" t="s">
        <v>45</v>
      </c>
      <c r="C15" s="8" t="e">
        <f t="shared" ca="1" si="0"/>
        <v>#NAME?</v>
      </c>
      <c r="D15" s="8" t="e">
        <f t="shared" ca="1" si="1"/>
        <v>#NAME?</v>
      </c>
      <c r="E15" s="8" t="e">
        <f t="shared" ca="1" si="2"/>
        <v>#NAME?</v>
      </c>
      <c r="F15" s="8" t="e">
        <f t="shared" ca="1" si="3"/>
        <v>#NAME?</v>
      </c>
      <c r="G15" s="8" t="e">
        <f t="shared" ca="1" si="4"/>
        <v>#NAME?</v>
      </c>
      <c r="H15" s="8" t="e">
        <f t="shared" ca="1" si="5"/>
        <v>#NAME?</v>
      </c>
      <c r="I15" s="8" t="e">
        <f t="shared" ca="1" si="6"/>
        <v>#NAME?</v>
      </c>
      <c r="J15" s="8" t="e">
        <f t="shared" ca="1" si="7"/>
        <v>#NAME?</v>
      </c>
      <c r="K15" s="8" t="e">
        <f t="shared" ca="1" si="8"/>
        <v>#NAME?</v>
      </c>
      <c r="L15" s="8" t="e">
        <f t="shared" ca="1" si="9"/>
        <v>#NAME?</v>
      </c>
      <c r="M15" s="8" t="e">
        <f t="shared" ca="1" si="10"/>
        <v>#NAME?</v>
      </c>
      <c r="N15" s="8" t="e">
        <f t="shared" ca="1" si="11"/>
        <v>#NAME?</v>
      </c>
      <c r="O15" s="9" t="e">
        <f t="shared" ca="1" si="12"/>
        <v>#NAME?</v>
      </c>
    </row>
    <row r="16" spans="1:15" x14ac:dyDescent="0.35">
      <c r="A16" s="7" t="s">
        <v>410</v>
      </c>
      <c r="B16" s="7" t="s">
        <v>411</v>
      </c>
      <c r="C16" s="8" t="e">
        <f t="shared" ca="1" si="0"/>
        <v>#NAME?</v>
      </c>
      <c r="D16" s="8" t="e">
        <f t="shared" ca="1" si="1"/>
        <v>#NAME?</v>
      </c>
      <c r="E16" s="8" t="e">
        <f t="shared" ca="1" si="2"/>
        <v>#NAME?</v>
      </c>
      <c r="F16" s="8" t="e">
        <f t="shared" ca="1" si="3"/>
        <v>#NAME?</v>
      </c>
      <c r="G16" s="8" t="e">
        <f t="shared" ca="1" si="4"/>
        <v>#NAME?</v>
      </c>
      <c r="H16" s="8" t="e">
        <f t="shared" ca="1" si="5"/>
        <v>#NAME?</v>
      </c>
      <c r="I16" s="8" t="e">
        <f t="shared" ca="1" si="6"/>
        <v>#NAME?</v>
      </c>
      <c r="J16" s="8" t="e">
        <f t="shared" ca="1" si="7"/>
        <v>#NAME?</v>
      </c>
      <c r="K16" s="8" t="e">
        <f t="shared" ca="1" si="8"/>
        <v>#NAME?</v>
      </c>
      <c r="L16" s="8" t="e">
        <f t="shared" ca="1" si="9"/>
        <v>#NAME?</v>
      </c>
      <c r="M16" s="8" t="e">
        <f t="shared" ca="1" si="10"/>
        <v>#NAME?</v>
      </c>
      <c r="N16" s="8" t="e">
        <f t="shared" ca="1" si="11"/>
        <v>#NAME?</v>
      </c>
      <c r="O16" s="9" t="e">
        <f t="shared" ca="1" si="12"/>
        <v>#NAME?</v>
      </c>
    </row>
    <row r="17" spans="1:15" x14ac:dyDescent="0.35">
      <c r="A17" s="7" t="s">
        <v>406</v>
      </c>
      <c r="B17" s="7" t="s">
        <v>407</v>
      </c>
      <c r="C17" s="8" t="e">
        <f t="shared" ca="1" si="0"/>
        <v>#NAME?</v>
      </c>
      <c r="D17" s="8" t="e">
        <f t="shared" ca="1" si="1"/>
        <v>#NAME?</v>
      </c>
      <c r="E17" s="8" t="e">
        <f t="shared" ca="1" si="2"/>
        <v>#NAME?</v>
      </c>
      <c r="F17" s="8" t="e">
        <f t="shared" ca="1" si="3"/>
        <v>#NAME?</v>
      </c>
      <c r="G17" s="8" t="e">
        <f t="shared" ca="1" si="4"/>
        <v>#NAME?</v>
      </c>
      <c r="H17" s="8" t="e">
        <f t="shared" ca="1" si="5"/>
        <v>#NAME?</v>
      </c>
      <c r="I17" s="8" t="e">
        <f t="shared" ca="1" si="6"/>
        <v>#NAME?</v>
      </c>
      <c r="J17" s="8" t="e">
        <f t="shared" ca="1" si="7"/>
        <v>#NAME?</v>
      </c>
      <c r="K17" s="8" t="e">
        <f t="shared" ca="1" si="8"/>
        <v>#NAME?</v>
      </c>
      <c r="L17" s="8" t="e">
        <f t="shared" ca="1" si="9"/>
        <v>#NAME?</v>
      </c>
      <c r="M17" s="8" t="e">
        <f t="shared" ca="1" si="10"/>
        <v>#NAME?</v>
      </c>
      <c r="N17" s="8" t="e">
        <f t="shared" ca="1" si="11"/>
        <v>#NAME?</v>
      </c>
      <c r="O17" s="9" t="e">
        <f t="shared" ca="1" si="12"/>
        <v>#NAME?</v>
      </c>
    </row>
    <row r="18" spans="1:15" x14ac:dyDescent="0.35">
      <c r="A18" s="7" t="s">
        <v>244</v>
      </c>
      <c r="B18" s="7" t="s">
        <v>245</v>
      </c>
      <c r="C18" s="8" t="e">
        <f t="shared" ca="1" si="0"/>
        <v>#NAME?</v>
      </c>
      <c r="D18" s="8" t="e">
        <f t="shared" ca="1" si="1"/>
        <v>#NAME?</v>
      </c>
      <c r="E18" s="8" t="e">
        <f t="shared" ca="1" si="2"/>
        <v>#NAME?</v>
      </c>
      <c r="F18" s="8" t="e">
        <f t="shared" ca="1" si="3"/>
        <v>#NAME?</v>
      </c>
      <c r="G18" s="8" t="e">
        <f t="shared" ca="1" si="4"/>
        <v>#NAME?</v>
      </c>
      <c r="H18" s="8" t="e">
        <f t="shared" ca="1" si="5"/>
        <v>#NAME?</v>
      </c>
      <c r="I18" s="8" t="e">
        <f t="shared" ca="1" si="6"/>
        <v>#NAME?</v>
      </c>
      <c r="J18" s="8" t="e">
        <f t="shared" ca="1" si="7"/>
        <v>#NAME?</v>
      </c>
      <c r="K18" s="8" t="e">
        <f t="shared" ca="1" si="8"/>
        <v>#NAME?</v>
      </c>
      <c r="L18" s="8" t="e">
        <f t="shared" ca="1" si="9"/>
        <v>#NAME?</v>
      </c>
      <c r="M18" s="8" t="e">
        <f t="shared" ca="1" si="10"/>
        <v>#NAME?</v>
      </c>
      <c r="N18" s="8" t="e">
        <f t="shared" ca="1" si="11"/>
        <v>#NAME?</v>
      </c>
      <c r="O18" s="9" t="e">
        <f t="shared" ca="1" si="12"/>
        <v>#NAME?</v>
      </c>
    </row>
    <row r="19" spans="1:15" x14ac:dyDescent="0.35">
      <c r="A19" s="7" t="s">
        <v>304</v>
      </c>
      <c r="B19" s="7" t="s">
        <v>408</v>
      </c>
      <c r="C19" s="8" t="e">
        <f t="shared" ca="1" si="0"/>
        <v>#NAME?</v>
      </c>
      <c r="D19" s="8" t="e">
        <f t="shared" ca="1" si="1"/>
        <v>#NAME?</v>
      </c>
      <c r="E19" s="8" t="e">
        <f t="shared" ca="1" si="2"/>
        <v>#NAME?</v>
      </c>
      <c r="F19" s="8" t="e">
        <f t="shared" ca="1" si="3"/>
        <v>#NAME?</v>
      </c>
      <c r="G19" s="8" t="e">
        <f t="shared" ca="1" si="4"/>
        <v>#NAME?</v>
      </c>
      <c r="H19" s="8" t="e">
        <f t="shared" ca="1" si="5"/>
        <v>#NAME?</v>
      </c>
      <c r="I19" s="8" t="e">
        <f t="shared" ca="1" si="6"/>
        <v>#NAME?</v>
      </c>
      <c r="J19" s="8" t="e">
        <f t="shared" ca="1" si="7"/>
        <v>#NAME?</v>
      </c>
      <c r="K19" s="8" t="e">
        <f t="shared" ca="1" si="8"/>
        <v>#NAME?</v>
      </c>
      <c r="L19" s="8" t="e">
        <f t="shared" ca="1" si="9"/>
        <v>#NAME?</v>
      </c>
      <c r="M19" s="8" t="e">
        <f t="shared" ca="1" si="10"/>
        <v>#NAME?</v>
      </c>
      <c r="N19" s="8" t="e">
        <f t="shared" ca="1" si="11"/>
        <v>#NAME?</v>
      </c>
      <c r="O19" s="9" t="e">
        <f t="shared" ca="1" si="12"/>
        <v>#NAME?</v>
      </c>
    </row>
    <row r="20" spans="1:15" x14ac:dyDescent="0.35">
      <c r="A20" s="7" t="s">
        <v>297</v>
      </c>
      <c r="B20" s="7" t="s">
        <v>298</v>
      </c>
      <c r="C20" s="8" t="e">
        <f t="shared" ca="1" si="0"/>
        <v>#NAME?</v>
      </c>
      <c r="D20" s="8" t="e">
        <f t="shared" ca="1" si="1"/>
        <v>#NAME?</v>
      </c>
      <c r="E20" s="8" t="e">
        <f t="shared" ca="1" si="2"/>
        <v>#NAME?</v>
      </c>
      <c r="F20" s="8" t="e">
        <f t="shared" ca="1" si="3"/>
        <v>#NAME?</v>
      </c>
      <c r="G20" s="8" t="e">
        <f t="shared" ca="1" si="4"/>
        <v>#NAME?</v>
      </c>
      <c r="H20" s="8" t="e">
        <f t="shared" ca="1" si="5"/>
        <v>#NAME?</v>
      </c>
      <c r="I20" s="8" t="e">
        <f t="shared" ca="1" si="6"/>
        <v>#NAME?</v>
      </c>
      <c r="J20" s="8" t="e">
        <f t="shared" ca="1" si="7"/>
        <v>#NAME?</v>
      </c>
      <c r="K20" s="8" t="e">
        <f t="shared" ca="1" si="8"/>
        <v>#NAME?</v>
      </c>
      <c r="L20" s="8" t="e">
        <f t="shared" ca="1" si="9"/>
        <v>#NAME?</v>
      </c>
      <c r="M20" s="8" t="e">
        <f t="shared" ca="1" si="10"/>
        <v>#NAME?</v>
      </c>
      <c r="N20" s="8" t="e">
        <f t="shared" ca="1" si="11"/>
        <v>#NAME?</v>
      </c>
      <c r="O20" s="9" t="e">
        <f t="shared" ca="1" si="12"/>
        <v>#NAME?</v>
      </c>
    </row>
    <row r="21" spans="1:15" x14ac:dyDescent="0.35">
      <c r="A21" s="7" t="s">
        <v>726</v>
      </c>
      <c r="B21" s="7" t="s">
        <v>727</v>
      </c>
      <c r="C21" s="8" t="e">
        <f t="shared" ca="1" si="0"/>
        <v>#NAME?</v>
      </c>
      <c r="D21" s="8" t="e">
        <f t="shared" ca="1" si="1"/>
        <v>#NAME?</v>
      </c>
      <c r="E21" s="8" t="e">
        <f t="shared" ca="1" si="2"/>
        <v>#NAME?</v>
      </c>
      <c r="F21" s="8" t="e">
        <f t="shared" ca="1" si="3"/>
        <v>#NAME?</v>
      </c>
      <c r="G21" s="8" t="e">
        <f t="shared" ca="1" si="4"/>
        <v>#NAME?</v>
      </c>
      <c r="H21" s="8" t="e">
        <f t="shared" ca="1" si="5"/>
        <v>#NAME?</v>
      </c>
      <c r="I21" s="8" t="e">
        <f t="shared" ca="1" si="6"/>
        <v>#NAME?</v>
      </c>
      <c r="J21" s="8" t="e">
        <f t="shared" ca="1" si="7"/>
        <v>#NAME?</v>
      </c>
      <c r="K21" s="8" t="e">
        <f t="shared" ca="1" si="8"/>
        <v>#NAME?</v>
      </c>
      <c r="L21" s="8" t="e">
        <f t="shared" ca="1" si="9"/>
        <v>#NAME?</v>
      </c>
      <c r="M21" s="8" t="e">
        <f t="shared" ca="1" si="10"/>
        <v>#NAME?</v>
      </c>
      <c r="N21" s="8" t="e">
        <f t="shared" ca="1" si="11"/>
        <v>#NAME?</v>
      </c>
      <c r="O21" s="9" t="e">
        <f t="shared" ca="1" si="12"/>
        <v>#NAME?</v>
      </c>
    </row>
    <row r="22" spans="1:15" x14ac:dyDescent="0.35">
      <c r="A22" s="7" t="s">
        <v>484</v>
      </c>
      <c r="B22" s="7" t="s">
        <v>728</v>
      </c>
      <c r="C22" s="8" t="e">
        <f t="shared" ca="1" si="0"/>
        <v>#NAME?</v>
      </c>
      <c r="D22" s="8" t="e">
        <f t="shared" ca="1" si="1"/>
        <v>#NAME?</v>
      </c>
      <c r="E22" s="8" t="e">
        <f t="shared" ca="1" si="2"/>
        <v>#NAME?</v>
      </c>
      <c r="F22" s="8" t="e">
        <f t="shared" ca="1" si="3"/>
        <v>#NAME?</v>
      </c>
      <c r="G22" s="8" t="e">
        <f t="shared" ca="1" si="4"/>
        <v>#NAME?</v>
      </c>
      <c r="H22" s="8" t="e">
        <f t="shared" ca="1" si="5"/>
        <v>#NAME?</v>
      </c>
      <c r="I22" s="8" t="e">
        <f t="shared" ca="1" si="6"/>
        <v>#NAME?</v>
      </c>
      <c r="J22" s="8" t="e">
        <f t="shared" ca="1" si="7"/>
        <v>#NAME?</v>
      </c>
      <c r="K22" s="8" t="e">
        <f t="shared" ca="1" si="8"/>
        <v>#NAME?</v>
      </c>
      <c r="L22" s="8" t="e">
        <f t="shared" ca="1" si="9"/>
        <v>#NAME?</v>
      </c>
      <c r="M22" s="8" t="e">
        <f t="shared" ca="1" si="10"/>
        <v>#NAME?</v>
      </c>
      <c r="N22" s="8" t="e">
        <f t="shared" ca="1" si="11"/>
        <v>#NAME?</v>
      </c>
      <c r="O22" s="9" t="e">
        <f t="shared" ca="1" si="12"/>
        <v>#NAME?</v>
      </c>
    </row>
    <row r="23" spans="1:15" x14ac:dyDescent="0.35">
      <c r="B23" s="10" t="s">
        <v>57</v>
      </c>
      <c r="C23" s="11" t="e">
        <f t="shared" ref="C23:O23" ca="1" si="13">SUM(C11:C22)</f>
        <v>#NAME?</v>
      </c>
      <c r="D23" s="11" t="e">
        <f t="shared" ca="1" si="13"/>
        <v>#NAME?</v>
      </c>
      <c r="E23" s="11" t="e">
        <f t="shared" ca="1" si="13"/>
        <v>#NAME?</v>
      </c>
      <c r="F23" s="11" t="e">
        <f t="shared" ca="1" si="13"/>
        <v>#NAME?</v>
      </c>
      <c r="G23" s="11" t="e">
        <f t="shared" ca="1" si="13"/>
        <v>#NAME?</v>
      </c>
      <c r="H23" s="11" t="e">
        <f t="shared" ca="1" si="13"/>
        <v>#NAME?</v>
      </c>
      <c r="I23" s="11" t="e">
        <f t="shared" ca="1" si="13"/>
        <v>#NAME?</v>
      </c>
      <c r="J23" s="11" t="e">
        <f t="shared" ca="1" si="13"/>
        <v>#NAME?</v>
      </c>
      <c r="K23" s="11" t="e">
        <f t="shared" ca="1" si="13"/>
        <v>#NAME?</v>
      </c>
      <c r="L23" s="11" t="e">
        <f t="shared" ca="1" si="13"/>
        <v>#NAME?</v>
      </c>
      <c r="M23" s="11" t="e">
        <f t="shared" ca="1" si="13"/>
        <v>#NAME?</v>
      </c>
      <c r="N23" s="11" t="e">
        <f t="shared" ca="1" si="13"/>
        <v>#NAME?</v>
      </c>
      <c r="O23" s="11" t="e">
        <f t="shared" ca="1" si="13"/>
        <v>#NAME?</v>
      </c>
    </row>
    <row r="25" spans="1:15" ht="15.5" x14ac:dyDescent="0.35">
      <c r="A25" s="4" t="s">
        <v>58</v>
      </c>
    </row>
    <row r="26" spans="1:15" x14ac:dyDescent="0.35">
      <c r="A26" s="6" t="s">
        <v>19</v>
      </c>
      <c r="B26" s="6" t="s">
        <v>20</v>
      </c>
      <c r="C26" s="6" t="s">
        <v>21</v>
      </c>
      <c r="D26" s="6" t="s">
        <v>22</v>
      </c>
      <c r="E26" s="6" t="s">
        <v>23</v>
      </c>
      <c r="F26" s="6" t="s">
        <v>24</v>
      </c>
      <c r="G26" s="6" t="s">
        <v>25</v>
      </c>
      <c r="H26" s="6" t="s">
        <v>26</v>
      </c>
      <c r="I26" s="6" t="s">
        <v>27</v>
      </c>
      <c r="J26" s="6" t="s">
        <v>28</v>
      </c>
      <c r="K26" s="6" t="s">
        <v>29</v>
      </c>
      <c r="L26" s="6" t="s">
        <v>30</v>
      </c>
      <c r="M26" s="6" t="s">
        <v>31</v>
      </c>
      <c r="N26" s="6" t="s">
        <v>32</v>
      </c>
    </row>
    <row r="27" spans="1:15" x14ac:dyDescent="0.35">
      <c r="A27" s="7" t="s">
        <v>150</v>
      </c>
      <c r="B27" s="7" t="s">
        <v>151</v>
      </c>
      <c r="C27" s="8" t="e">
        <f t="shared" ref="C27:C32" ca="1" si="14">EPM($B$5,$B$6,1,A27,"period_net_amount",$B$7)</f>
        <v>#NAME?</v>
      </c>
      <c r="D27" s="8" t="e">
        <f t="shared" ref="D27:D32" ca="1" si="15">EPM($B$5,$B$6,2,A27,"period_net_amount",$B$7)</f>
        <v>#NAME?</v>
      </c>
      <c r="E27" s="8" t="e">
        <f t="shared" ref="E27:E32" ca="1" si="16">EPM($B$5,$B$6,3,A27,"period_net_amount",$B$7)</f>
        <v>#NAME?</v>
      </c>
      <c r="F27" s="8" t="e">
        <f t="shared" ref="F27:F32" ca="1" si="17">EPM($B$5,$B$6,4,A27,"period_net_amount",$B$7)</f>
        <v>#NAME?</v>
      </c>
      <c r="G27" s="8" t="e">
        <f t="shared" ref="G27:G32" ca="1" si="18">EPM($B$5,$B$6,5,A27,"period_net_amount",$B$7)</f>
        <v>#NAME?</v>
      </c>
      <c r="H27" s="8" t="e">
        <f t="shared" ref="H27:H32" ca="1" si="19">EPM($B$5,$B$6,6,A27,"period_net_amount",$B$7)</f>
        <v>#NAME?</v>
      </c>
      <c r="I27" s="8" t="e">
        <f t="shared" ref="I27:I32" ca="1" si="20">EPM($B$5,$B$6,7,A27,"period_net_amount",$B$7)</f>
        <v>#NAME?</v>
      </c>
      <c r="J27" s="8" t="e">
        <f t="shared" ref="J27:J32" ca="1" si="21">EPM($B$5,$B$6,8,A27,"period_net_amount",$B$7)</f>
        <v>#NAME?</v>
      </c>
      <c r="K27" s="8" t="e">
        <f t="shared" ref="K27:K32" ca="1" si="22">EPM($B$5,$B$6,9,A27,"period_net_amount",$B$7)</f>
        <v>#NAME?</v>
      </c>
      <c r="L27" s="8" t="e">
        <f t="shared" ref="L27:L32" ca="1" si="23">EPM($B$5,$B$6,10,A27,"period_net_amount",$B$7)</f>
        <v>#NAME?</v>
      </c>
      <c r="M27" s="8" t="e">
        <f t="shared" ref="M27:M32" ca="1" si="24">EPM($B$5,$B$6,11,A27,"period_net_amount",$B$7)</f>
        <v>#NAME?</v>
      </c>
      <c r="N27" s="8" t="e">
        <f t="shared" ref="N27:N32" ca="1" si="25">EPM($B$5,$B$6,12,A27,"period_net_amount",$B$7)</f>
        <v>#NAME?</v>
      </c>
    </row>
    <row r="28" spans="1:15" x14ac:dyDescent="0.35">
      <c r="A28" s="7" t="s">
        <v>232</v>
      </c>
      <c r="B28" s="7" t="s">
        <v>425</v>
      </c>
      <c r="C28" s="8" t="e">
        <f t="shared" ca="1" si="14"/>
        <v>#NAME?</v>
      </c>
      <c r="D28" s="8" t="e">
        <f t="shared" ca="1" si="15"/>
        <v>#NAME?</v>
      </c>
      <c r="E28" s="8" t="e">
        <f t="shared" ca="1" si="16"/>
        <v>#NAME?</v>
      </c>
      <c r="F28" s="8" t="e">
        <f t="shared" ca="1" si="17"/>
        <v>#NAME?</v>
      </c>
      <c r="G28" s="8" t="e">
        <f t="shared" ca="1" si="18"/>
        <v>#NAME?</v>
      </c>
      <c r="H28" s="8" t="e">
        <f t="shared" ca="1" si="19"/>
        <v>#NAME?</v>
      </c>
      <c r="I28" s="8" t="e">
        <f t="shared" ca="1" si="20"/>
        <v>#NAME?</v>
      </c>
      <c r="J28" s="8" t="e">
        <f t="shared" ca="1" si="21"/>
        <v>#NAME?</v>
      </c>
      <c r="K28" s="8" t="e">
        <f t="shared" ca="1" si="22"/>
        <v>#NAME?</v>
      </c>
      <c r="L28" s="8" t="e">
        <f t="shared" ca="1" si="23"/>
        <v>#NAME?</v>
      </c>
      <c r="M28" s="8" t="e">
        <f t="shared" ca="1" si="24"/>
        <v>#NAME?</v>
      </c>
      <c r="N28" s="8" t="e">
        <f t="shared" ca="1" si="25"/>
        <v>#NAME?</v>
      </c>
    </row>
    <row r="29" spans="1:15" x14ac:dyDescent="0.35">
      <c r="A29" s="7" t="s">
        <v>152</v>
      </c>
      <c r="B29" s="7" t="s">
        <v>153</v>
      </c>
      <c r="C29" s="8" t="e">
        <f t="shared" ca="1" si="14"/>
        <v>#NAME?</v>
      </c>
      <c r="D29" s="8" t="e">
        <f t="shared" ca="1" si="15"/>
        <v>#NAME?</v>
      </c>
      <c r="E29" s="8" t="e">
        <f t="shared" ca="1" si="16"/>
        <v>#NAME?</v>
      </c>
      <c r="F29" s="8" t="e">
        <f t="shared" ca="1" si="17"/>
        <v>#NAME?</v>
      </c>
      <c r="G29" s="8" t="e">
        <f t="shared" ca="1" si="18"/>
        <v>#NAME?</v>
      </c>
      <c r="H29" s="8" t="e">
        <f t="shared" ca="1" si="19"/>
        <v>#NAME?</v>
      </c>
      <c r="I29" s="8" t="e">
        <f t="shared" ca="1" si="20"/>
        <v>#NAME?</v>
      </c>
      <c r="J29" s="8" t="e">
        <f t="shared" ca="1" si="21"/>
        <v>#NAME?</v>
      </c>
      <c r="K29" s="8" t="e">
        <f t="shared" ca="1" si="22"/>
        <v>#NAME?</v>
      </c>
      <c r="L29" s="8" t="e">
        <f t="shared" ca="1" si="23"/>
        <v>#NAME?</v>
      </c>
      <c r="M29" s="8" t="e">
        <f t="shared" ca="1" si="24"/>
        <v>#NAME?</v>
      </c>
      <c r="N29" s="8" t="e">
        <f t="shared" ca="1" si="25"/>
        <v>#NAME?</v>
      </c>
    </row>
    <row r="30" spans="1:15" x14ac:dyDescent="0.35">
      <c r="A30" s="7" t="s">
        <v>713</v>
      </c>
      <c r="B30" s="7" t="s">
        <v>714</v>
      </c>
      <c r="C30" s="8" t="e">
        <f t="shared" ca="1" si="14"/>
        <v>#NAME?</v>
      </c>
      <c r="D30" s="8" t="e">
        <f t="shared" ca="1" si="15"/>
        <v>#NAME?</v>
      </c>
      <c r="E30" s="8" t="e">
        <f t="shared" ca="1" si="16"/>
        <v>#NAME?</v>
      </c>
      <c r="F30" s="8" t="e">
        <f t="shared" ca="1" si="17"/>
        <v>#NAME?</v>
      </c>
      <c r="G30" s="8" t="e">
        <f t="shared" ca="1" si="18"/>
        <v>#NAME?</v>
      </c>
      <c r="H30" s="8" t="e">
        <f t="shared" ca="1" si="19"/>
        <v>#NAME?</v>
      </c>
      <c r="I30" s="8" t="e">
        <f t="shared" ca="1" si="20"/>
        <v>#NAME?</v>
      </c>
      <c r="J30" s="8" t="e">
        <f t="shared" ca="1" si="21"/>
        <v>#NAME?</v>
      </c>
      <c r="K30" s="8" t="e">
        <f t="shared" ca="1" si="22"/>
        <v>#NAME?</v>
      </c>
      <c r="L30" s="8" t="e">
        <f t="shared" ca="1" si="23"/>
        <v>#NAME?</v>
      </c>
      <c r="M30" s="8" t="e">
        <f t="shared" ca="1" si="24"/>
        <v>#NAME?</v>
      </c>
      <c r="N30" s="8" t="e">
        <f t="shared" ca="1" si="25"/>
        <v>#NAME?</v>
      </c>
    </row>
    <row r="31" spans="1:15" x14ac:dyDescent="0.35">
      <c r="A31" s="7" t="s">
        <v>729</v>
      </c>
      <c r="B31" s="7" t="s">
        <v>730</v>
      </c>
      <c r="C31" s="8" t="e">
        <f t="shared" ca="1" si="14"/>
        <v>#NAME?</v>
      </c>
      <c r="D31" s="8" t="e">
        <f t="shared" ca="1" si="15"/>
        <v>#NAME?</v>
      </c>
      <c r="E31" s="8" t="e">
        <f t="shared" ca="1" si="16"/>
        <v>#NAME?</v>
      </c>
      <c r="F31" s="8" t="e">
        <f t="shared" ca="1" si="17"/>
        <v>#NAME?</v>
      </c>
      <c r="G31" s="8" t="e">
        <f t="shared" ca="1" si="18"/>
        <v>#NAME?</v>
      </c>
      <c r="H31" s="8" t="e">
        <f t="shared" ca="1" si="19"/>
        <v>#NAME?</v>
      </c>
      <c r="I31" s="8" t="e">
        <f t="shared" ca="1" si="20"/>
        <v>#NAME?</v>
      </c>
      <c r="J31" s="8" t="e">
        <f t="shared" ca="1" si="21"/>
        <v>#NAME?</v>
      </c>
      <c r="K31" s="8" t="e">
        <f t="shared" ca="1" si="22"/>
        <v>#NAME?</v>
      </c>
      <c r="L31" s="8" t="e">
        <f t="shared" ca="1" si="23"/>
        <v>#NAME?</v>
      </c>
      <c r="M31" s="8" t="e">
        <f t="shared" ca="1" si="24"/>
        <v>#NAME?</v>
      </c>
      <c r="N31" s="8" t="e">
        <f t="shared" ca="1" si="25"/>
        <v>#NAME?</v>
      </c>
    </row>
    <row r="32" spans="1:15" x14ac:dyDescent="0.35">
      <c r="A32" s="7" t="s">
        <v>256</v>
      </c>
      <c r="B32" s="7" t="s">
        <v>436</v>
      </c>
      <c r="C32" s="8" t="e">
        <f t="shared" ca="1" si="14"/>
        <v>#NAME?</v>
      </c>
      <c r="D32" s="8" t="e">
        <f t="shared" ca="1" si="15"/>
        <v>#NAME?</v>
      </c>
      <c r="E32" s="8" t="e">
        <f t="shared" ca="1" si="16"/>
        <v>#NAME?</v>
      </c>
      <c r="F32" s="8" t="e">
        <f t="shared" ca="1" si="17"/>
        <v>#NAME?</v>
      </c>
      <c r="G32" s="8" t="e">
        <f t="shared" ca="1" si="18"/>
        <v>#NAME?</v>
      </c>
      <c r="H32" s="8" t="e">
        <f t="shared" ca="1" si="19"/>
        <v>#NAME?</v>
      </c>
      <c r="I32" s="8" t="e">
        <f t="shared" ca="1" si="20"/>
        <v>#NAME?</v>
      </c>
      <c r="J32" s="8" t="e">
        <f t="shared" ca="1" si="21"/>
        <v>#NAME?</v>
      </c>
      <c r="K32" s="8" t="e">
        <f t="shared" ca="1" si="22"/>
        <v>#NAME?</v>
      </c>
      <c r="L32" s="8" t="e">
        <f t="shared" ca="1" si="23"/>
        <v>#NAME?</v>
      </c>
      <c r="M32" s="8" t="e">
        <f t="shared" ca="1" si="24"/>
        <v>#NAME?</v>
      </c>
      <c r="N32" s="8" t="e">
        <f t="shared" ca="1" si="25"/>
        <v>#NAME?</v>
      </c>
    </row>
  </sheetData>
  <mergeCells count="1">
    <mergeCell ref="A1:O1"/>
  </mergeCells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5fae8262-b78e-4366-8929-a5d6aac95320}" enabled="1" method="Standard" siteId="{cf36141c-ddd7-45a7-b073-111f66d0b30c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36</vt:i4>
      </vt:variant>
    </vt:vector>
  </HeadingPairs>
  <TitlesOfParts>
    <vt:vector size="36" baseType="lpstr">
      <vt:lpstr>Setup</vt:lpstr>
      <vt:lpstr>AFSN</vt:lpstr>
      <vt:lpstr>BEL</vt:lpstr>
      <vt:lpstr>BRMF</vt:lpstr>
      <vt:lpstr>BSW7</vt:lpstr>
      <vt:lpstr>CBD</vt:lpstr>
      <vt:lpstr>CCG</vt:lpstr>
      <vt:lpstr>CN01</vt:lpstr>
      <vt:lpstr>CNET</vt:lpstr>
      <vt:lpstr>CNMF</vt:lpstr>
      <vt:lpstr>CONS</vt:lpstr>
      <vt:lpstr>DEMF</vt:lpstr>
      <vt:lpstr>ERF1</vt:lpstr>
      <vt:lpstr>FRRT</vt:lpstr>
      <vt:lpstr>FRSI</vt:lpstr>
      <vt:lpstr>GBSI</vt:lpstr>
      <vt:lpstr>GLCO</vt:lpstr>
      <vt:lpstr>GLMF</vt:lpstr>
      <vt:lpstr>GLRT</vt:lpstr>
      <vt:lpstr>INMF</vt:lpstr>
      <vt:lpstr>ITCO</vt:lpstr>
      <vt:lpstr>JPMF</vt:lpstr>
      <vt:lpstr>LRP</vt:lpstr>
      <vt:lpstr>MXMF</vt:lpstr>
      <vt:lpstr>MYMF</vt:lpstr>
      <vt:lpstr>NHVG</vt:lpstr>
      <vt:lpstr>RPG</vt:lpstr>
      <vt:lpstr>RUMF</vt:lpstr>
      <vt:lpstr>TDBF</vt:lpstr>
      <vt:lpstr>THMF</vt:lpstr>
      <vt:lpstr>TLE</vt:lpstr>
      <vt:lpstr>USMF</vt:lpstr>
      <vt:lpstr>USP2</vt:lpstr>
      <vt:lpstr>USPI</vt:lpstr>
      <vt:lpstr>USRT</vt:lpstr>
      <vt:lpstr>USSI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Deepak Pai</cp:lastModifiedBy>
  <dcterms:created xsi:type="dcterms:W3CDTF">2026-06-07T08:33:23Z</dcterms:created>
  <dcterms:modified xsi:type="dcterms:W3CDTF">2026-06-08T06:53:46Z</dcterms:modified>
</cp:coreProperties>
</file>