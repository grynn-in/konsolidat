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USMF 2024" sheetId="1" state="visible" r:id="rId1"/>
    <sheet xmlns:r="http://schemas.openxmlformats.org/officeDocument/2006/relationships" name="BS USMF 2024" sheetId="2" state="visible" r:id="rId2"/>
    <sheet xmlns:r="http://schemas.openxmlformats.org/officeDocument/2006/relationships" name="CF USMF 2024" sheetId="3" state="visible" r:id="rId3"/>
    <sheet xmlns:r="http://schemas.openxmlformats.org/officeDocument/2006/relationships" name="P&amp;L USMF 2025" sheetId="4" state="visible" r:id="rId4"/>
    <sheet xmlns:r="http://schemas.openxmlformats.org/officeDocument/2006/relationships" name="BS USMF 2025" sheetId="5" state="visible" r:id="rId5"/>
    <sheet xmlns:r="http://schemas.openxmlformats.org/officeDocument/2006/relationships" name="CF USMF 2025" sheetId="6" state="visible" r:id="rId6"/>
    <sheet xmlns:r="http://schemas.openxmlformats.org/officeDocument/2006/relationships" name="P&amp;L DEMF 2024" sheetId="7" state="visible" r:id="rId7"/>
    <sheet xmlns:r="http://schemas.openxmlformats.org/officeDocument/2006/relationships" name="BS DEMF 2024" sheetId="8" state="visible" r:id="rId8"/>
    <sheet xmlns:r="http://schemas.openxmlformats.org/officeDocument/2006/relationships" name="CF DEMF 2024" sheetId="9" state="visible" r:id="rId9"/>
    <sheet xmlns:r="http://schemas.openxmlformats.org/officeDocument/2006/relationships" name="P&amp;L DEMF 2025" sheetId="10" state="visible" r:id="rId10"/>
    <sheet xmlns:r="http://schemas.openxmlformats.org/officeDocument/2006/relationships" name="BS DEMF 2025" sheetId="11" state="visible" r:id="rId11"/>
    <sheet xmlns:r="http://schemas.openxmlformats.org/officeDocument/2006/relationships" name="CF DEMF 2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"/>
      <b val="1"/>
      <color rgb="00FFFFFF"/>
      <sz val="14"/>
    </font>
    <font>
      <name val="Aptos"/>
      <b val="1"/>
      <color rgb="001F3864"/>
      <sz val="10"/>
    </font>
    <font>
      <name val="Aptos"/>
      <b val="1"/>
      <sz val="10"/>
    </font>
    <font>
      <name val="Aptos"/>
      <b val="1"/>
      <color rgb="00FFFFFF"/>
      <sz val="10"/>
    </font>
    <font>
      <name val="Aptos"/>
      <sz val="10"/>
    </font>
    <font>
      <name val="Aptos"/>
      <b val="1"/>
      <color rgb="001F3864"/>
      <sz val="11"/>
    </font>
    <font>
      <name val="Aptos"/>
      <b val="1"/>
      <color rgb="001D4E2E"/>
      <sz val="10"/>
    </font>
    <font>
      <name val="Aptos"/>
      <b val="1"/>
      <color rgb="001D4E2E"/>
      <sz val="11"/>
    </font>
    <font>
      <name val="Aptos"/>
      <b val="1"/>
      <color rgb="00C00000"/>
      <sz val="11"/>
    </font>
    <font>
      <name val="Aptos"/>
      <b val="1"/>
      <color rgb="001B4D5C"/>
      <sz val="10"/>
    </font>
    <font>
      <name val="Aptos"/>
      <i val="1"/>
      <color rgb="00666666"/>
      <sz val="9"/>
    </font>
    <font>
      <name val="Aptos"/>
      <b val="1"/>
      <color rgb="001B4D5C"/>
      <sz val="11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1D4E2E"/>
        <bgColor rgb="001D4E2E"/>
      </patternFill>
    </fill>
    <fill>
      <patternFill patternType="solid">
        <fgColor rgb="002E7D46"/>
        <bgColor rgb="002E7D46"/>
      </patternFill>
    </fill>
    <fill>
      <patternFill patternType="solid">
        <fgColor rgb="00D6EFD6"/>
        <bgColor rgb="00D6EFD6"/>
      </patternFill>
    </fill>
    <fill>
      <patternFill patternType="solid">
        <fgColor rgb="001B4D5C"/>
        <bgColor rgb="001B4D5C"/>
      </patternFill>
    </fill>
    <fill>
      <patternFill patternType="solid">
        <fgColor rgb="002A7A8C"/>
        <bgColor rgb="002A7A8C"/>
      </patternFill>
    </fill>
    <fill>
      <patternFill patternType="solid">
        <fgColor rgb="00D0ECF0"/>
        <bgColor rgb="00D0ECF0"/>
      </patternFill>
    </fill>
  </fills>
  <borders count="4">
    <border>
      <left/>
      <right/>
      <top/>
      <bottom/>
      <diagonal/>
    </border>
    <border>
      <bottom style="thin">
        <color rgb="00B0B0B0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indent="2"/>
    </xf>
    <xf numFmtId="3" fontId="5" fillId="4" borderId="1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indent="2"/>
    </xf>
    <xf numFmtId="3" fontId="5" fillId="0" borderId="1" pivotButton="0" quotePrefix="0" xfId="0"/>
    <xf numFmtId="0" fontId="0" fillId="5" borderId="0" pivotButton="0" quotePrefix="0" xfId="0"/>
    <xf numFmtId="0" fontId="3" fillId="5" borderId="0" pivotButton="0" quotePrefix="0" xfId="0"/>
    <xf numFmtId="3" fontId="3" fillId="5" borderId="2" pivotButton="0" quotePrefix="0" xfId="0"/>
    <xf numFmtId="0" fontId="6" fillId="5" borderId="0" pivotButton="0" quotePrefix="0" xfId="0"/>
    <xf numFmtId="3" fontId="6" fillId="5" borderId="2" pivotButton="0" quotePrefix="0" xfId="0"/>
    <xf numFmtId="3" fontId="6" fillId="5" borderId="3" pivotButton="0" quotePrefix="0" xfId="0"/>
    <xf numFmtId="0" fontId="1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7" fillId="0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horizontal="center"/>
    </xf>
    <xf numFmtId="0" fontId="0" fillId="8" borderId="0" pivotButton="0" quotePrefix="0" xfId="0"/>
    <xf numFmtId="0" fontId="3" fillId="8" borderId="0" pivotButton="0" quotePrefix="0" xfId="0"/>
    <xf numFmtId="3" fontId="3" fillId="8" borderId="2" pivotButton="0" quotePrefix="0" xfId="0"/>
    <xf numFmtId="0" fontId="8" fillId="8" borderId="0" pivotButton="0" quotePrefix="0" xfId="0"/>
    <xf numFmtId="3" fontId="8" fillId="8" borderId="3" pivotButton="0" quotePrefix="0" xfId="0"/>
    <xf numFmtId="3" fontId="9" fillId="8" borderId="3" pivotButton="0" quotePrefix="0" xfId="0"/>
    <xf numFmtId="0" fontId="1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0" fillId="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horizontal="center"/>
    </xf>
    <xf numFmtId="0" fontId="11" fillId="0" borderId="0" pivotButton="0" quotePrefix="0" xfId="0"/>
    <xf numFmtId="0" fontId="0" fillId="11" borderId="0" pivotButton="0" quotePrefix="0" xfId="0"/>
    <xf numFmtId="0" fontId="3" fillId="11" borderId="0" pivotButton="0" quotePrefix="0" xfId="0"/>
    <xf numFmtId="3" fontId="3" fillId="11" borderId="2" pivotButton="0" quotePrefix="0" xfId="0"/>
    <xf numFmtId="0" fontId="12" fillId="11" borderId="0" pivotButton="0" quotePrefix="0" xfId="0"/>
    <xf numFmtId="3" fontId="12" fillId="11" borderId="2" pivotButton="0" quotePrefix="0" xfId="0"/>
    <xf numFmtId="3" fontId="12" fillId="11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Profit &amp; Loss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3">
      <c r="A3" s="3" t="inlineStr">
        <is>
          <t>Entity</t>
        </is>
      </c>
      <c r="B3" s="4" t="inlineStr">
        <is>
          <t>USMF</t>
        </is>
      </c>
      <c r="D3" s="3" t="inlineStr">
        <is>
          <t>Measure</t>
        </is>
      </c>
      <c r="E3" s="4" t="inlineStr">
        <is>
          <t>period_net_amount</t>
        </is>
      </c>
    </row>
    <row r="4">
      <c r="A4" s="3" t="inlineStr">
        <is>
          <t>Year</t>
        </is>
      </c>
      <c r="B4" s="4" t="n">
        <v>2024</v>
      </c>
    </row>
    <row r="6">
      <c r="A6" s="5" t="inlineStr">
        <is>
          <t>Account</t>
        </is>
      </c>
      <c r="B6" s="5" t="inlineStr">
        <is>
          <t>Description</t>
        </is>
      </c>
      <c r="C6" s="6" t="inlineStr">
        <is>
          <t>Jan</t>
        </is>
      </c>
      <c r="D6" s="6" t="inlineStr">
        <is>
          <t>Feb</t>
        </is>
      </c>
      <c r="E6" s="6" t="inlineStr">
        <is>
          <t>Mar</t>
        </is>
      </c>
      <c r="F6" s="6" t="inlineStr">
        <is>
          <t>Q1</t>
        </is>
      </c>
      <c r="G6" s="6" t="inlineStr">
        <is>
          <t>Apr</t>
        </is>
      </c>
      <c r="H6" s="6" t="inlineStr">
        <is>
          <t>May</t>
        </is>
      </c>
      <c r="I6" s="6" t="inlineStr">
        <is>
          <t>Jun</t>
        </is>
      </c>
      <c r="J6" s="6" t="inlineStr">
        <is>
          <t>Q2</t>
        </is>
      </c>
      <c r="K6" s="6" t="inlineStr">
        <is>
          <t>Jul</t>
        </is>
      </c>
      <c r="L6" s="6" t="inlineStr">
        <is>
          <t>Aug</t>
        </is>
      </c>
      <c r="M6" s="6" t="inlineStr">
        <is>
          <t>Sep</t>
        </is>
      </c>
      <c r="N6" s="6" t="inlineStr">
        <is>
          <t>Q3</t>
        </is>
      </c>
      <c r="O6" s="6" t="inlineStr">
        <is>
          <t>Oct</t>
        </is>
      </c>
      <c r="P6" s="6" t="inlineStr">
        <is>
          <t>Nov</t>
        </is>
      </c>
      <c r="Q6" s="6" t="inlineStr">
        <is>
          <t>Dec</t>
        </is>
      </c>
      <c r="R6" s="6" t="inlineStr">
        <is>
          <t>Q4</t>
        </is>
      </c>
      <c r="S6" s="6" t="inlineStr">
        <is>
          <t>H1</t>
        </is>
      </c>
      <c r="T6" s="6" t="inlineStr">
        <is>
          <t>H2</t>
        </is>
      </c>
      <c r="U6" s="6" t="inlineStr">
        <is>
          <t>Full Year</t>
        </is>
      </c>
    </row>
    <row r="7">
      <c r="B7" s="3" t="inlineStr">
        <is>
          <t>Revenue</t>
        </is>
      </c>
    </row>
    <row r="8">
      <c r="A8" s="7" t="inlineStr">
        <is>
          <t>401100</t>
        </is>
      </c>
      <c r="B8" s="8" t="inlineStr">
        <is>
          <t>Product Sales</t>
        </is>
      </c>
      <c r="C8" s="9">
        <f>-EPM($B$3,$B$4,1,$A8,"period_net_amount")</f>
        <v/>
      </c>
      <c r="D8" s="9">
        <f>-EPM($B$3,$B$4,2,$A8,"period_net_amount")</f>
        <v/>
      </c>
      <c r="E8" s="9">
        <f>-EPM($B$3,$B$4,3,$A8,"period_net_amount")</f>
        <v/>
      </c>
      <c r="F8" s="9">
        <f>-EPM($B$3,$B$4,"Q1",$A8,"period_net_amount")</f>
        <v/>
      </c>
      <c r="G8" s="9">
        <f>-EPM($B$3,$B$4,4,$A8,"period_net_amount")</f>
        <v/>
      </c>
      <c r="H8" s="9">
        <f>-EPM($B$3,$B$4,5,$A8,"period_net_amount")</f>
        <v/>
      </c>
      <c r="I8" s="9">
        <f>-EPM($B$3,$B$4,6,$A8,"period_net_amount")</f>
        <v/>
      </c>
      <c r="J8" s="9">
        <f>-EPM($B$3,$B$4,"Q2",$A8,"period_net_amount")</f>
        <v/>
      </c>
      <c r="K8" s="9">
        <f>-EPM($B$3,$B$4,7,$A8,"period_net_amount")</f>
        <v/>
      </c>
      <c r="L8" s="9">
        <f>-EPM($B$3,$B$4,8,$A8,"period_net_amount")</f>
        <v/>
      </c>
      <c r="M8" s="9">
        <f>-EPM($B$3,$B$4,9,$A8,"period_net_amount")</f>
        <v/>
      </c>
      <c r="N8" s="9">
        <f>-EPM($B$3,$B$4,"Q3",$A8,"period_net_amount")</f>
        <v/>
      </c>
      <c r="O8" s="9">
        <f>-EPM($B$3,$B$4,10,$A8,"period_net_amount")</f>
        <v/>
      </c>
      <c r="P8" s="9">
        <f>-EPM($B$3,$B$4,11,$A8,"period_net_amount")</f>
        <v/>
      </c>
      <c r="Q8" s="9">
        <f>-EPM($B$3,$B$4,12,$A8,"period_net_amount")</f>
        <v/>
      </c>
      <c r="R8" s="9">
        <f>-EPM($B$3,$B$4,"Q4",$A8,"period_net_amount")</f>
        <v/>
      </c>
      <c r="S8" s="9">
        <f>-EPM($B$3,$B$4,"H1",$A8,"period_net_amount")</f>
        <v/>
      </c>
      <c r="T8" s="9">
        <f>-EPM($B$3,$B$4,"H2",$A8,"period_net_amount")</f>
        <v/>
      </c>
      <c r="U8" s="9">
        <f>-EPM($B$3,$B$4,"FY",$A8,"period_net_amount")</f>
        <v/>
      </c>
    </row>
    <row r="9">
      <c r="A9" s="10" t="inlineStr">
        <is>
          <t>401200</t>
        </is>
      </c>
      <c r="B9" s="11" t="inlineStr">
        <is>
          <t>Service Revenue</t>
        </is>
      </c>
      <c r="C9" s="12">
        <f>-EPM($B$3,$B$4,1,$A9,"period_net_amount")</f>
        <v/>
      </c>
      <c r="D9" s="12">
        <f>-EPM($B$3,$B$4,2,$A9,"period_net_amount")</f>
        <v/>
      </c>
      <c r="E9" s="12">
        <f>-EPM($B$3,$B$4,3,$A9,"period_net_amount")</f>
        <v/>
      </c>
      <c r="F9" s="12">
        <f>-EPM($B$3,$B$4,"Q1",$A9,"period_net_amount")</f>
        <v/>
      </c>
      <c r="G9" s="12">
        <f>-EPM($B$3,$B$4,4,$A9,"period_net_amount")</f>
        <v/>
      </c>
      <c r="H9" s="12">
        <f>-EPM($B$3,$B$4,5,$A9,"period_net_amount")</f>
        <v/>
      </c>
      <c r="I9" s="12">
        <f>-EPM($B$3,$B$4,6,$A9,"period_net_amount")</f>
        <v/>
      </c>
      <c r="J9" s="12">
        <f>-EPM($B$3,$B$4,"Q2",$A9,"period_net_amount")</f>
        <v/>
      </c>
      <c r="K9" s="12">
        <f>-EPM($B$3,$B$4,7,$A9,"period_net_amount")</f>
        <v/>
      </c>
      <c r="L9" s="12">
        <f>-EPM($B$3,$B$4,8,$A9,"period_net_amount")</f>
        <v/>
      </c>
      <c r="M9" s="12">
        <f>-EPM($B$3,$B$4,9,$A9,"period_net_amount")</f>
        <v/>
      </c>
      <c r="N9" s="12">
        <f>-EPM($B$3,$B$4,"Q3",$A9,"period_net_amount")</f>
        <v/>
      </c>
      <c r="O9" s="12">
        <f>-EPM($B$3,$B$4,10,$A9,"period_net_amount")</f>
        <v/>
      </c>
      <c r="P9" s="12">
        <f>-EPM($B$3,$B$4,11,$A9,"period_net_amount")</f>
        <v/>
      </c>
      <c r="Q9" s="12">
        <f>-EPM($B$3,$B$4,12,$A9,"period_net_amount")</f>
        <v/>
      </c>
      <c r="R9" s="12">
        <f>-EPM($B$3,$B$4,"Q4",$A9,"period_net_amount")</f>
        <v/>
      </c>
      <c r="S9" s="12">
        <f>-EPM($B$3,$B$4,"H1",$A9,"period_net_amount")</f>
        <v/>
      </c>
      <c r="T9" s="12">
        <f>-EPM($B$3,$B$4,"H2",$A9,"period_net_amount")</f>
        <v/>
      </c>
      <c r="U9" s="12">
        <f>-EPM($B$3,$B$4,"FY",$A9,"period_net_amount")</f>
        <v/>
      </c>
    </row>
    <row r="10">
      <c r="A10" s="7" t="inlineStr">
        <is>
          <t>401300</t>
        </is>
      </c>
      <c r="B10" s="8" t="inlineStr">
        <is>
          <t>Other Revenue</t>
        </is>
      </c>
      <c r="C10" s="9">
        <f>-EPM($B$3,$B$4,1,$A10,"period_net_amount")</f>
        <v/>
      </c>
      <c r="D10" s="9">
        <f>-EPM($B$3,$B$4,2,$A10,"period_net_amount")</f>
        <v/>
      </c>
      <c r="E10" s="9">
        <f>-EPM($B$3,$B$4,3,$A10,"period_net_amount")</f>
        <v/>
      </c>
      <c r="F10" s="9">
        <f>-EPM($B$3,$B$4,"Q1",$A10,"period_net_amount")</f>
        <v/>
      </c>
      <c r="G10" s="9">
        <f>-EPM($B$3,$B$4,4,$A10,"period_net_amount")</f>
        <v/>
      </c>
      <c r="H10" s="9">
        <f>-EPM($B$3,$B$4,5,$A10,"period_net_amount")</f>
        <v/>
      </c>
      <c r="I10" s="9">
        <f>-EPM($B$3,$B$4,6,$A10,"period_net_amount")</f>
        <v/>
      </c>
      <c r="J10" s="9">
        <f>-EPM($B$3,$B$4,"Q2",$A10,"period_net_amount")</f>
        <v/>
      </c>
      <c r="K10" s="9">
        <f>-EPM($B$3,$B$4,7,$A10,"period_net_amount")</f>
        <v/>
      </c>
      <c r="L10" s="9">
        <f>-EPM($B$3,$B$4,8,$A10,"period_net_amount")</f>
        <v/>
      </c>
      <c r="M10" s="9">
        <f>-EPM($B$3,$B$4,9,$A10,"period_net_amount")</f>
        <v/>
      </c>
      <c r="N10" s="9">
        <f>-EPM($B$3,$B$4,"Q3",$A10,"period_net_amount")</f>
        <v/>
      </c>
      <c r="O10" s="9">
        <f>-EPM($B$3,$B$4,10,$A10,"period_net_amount")</f>
        <v/>
      </c>
      <c r="P10" s="9">
        <f>-EPM($B$3,$B$4,11,$A10,"period_net_amount")</f>
        <v/>
      </c>
      <c r="Q10" s="9">
        <f>-EPM($B$3,$B$4,12,$A10,"period_net_amount")</f>
        <v/>
      </c>
      <c r="R10" s="9">
        <f>-EPM($B$3,$B$4,"Q4",$A10,"period_net_amount")</f>
        <v/>
      </c>
      <c r="S10" s="9">
        <f>-EPM($B$3,$B$4,"H1",$A10,"period_net_amount")</f>
        <v/>
      </c>
      <c r="T10" s="9">
        <f>-EPM($B$3,$B$4,"H2",$A10,"period_net_amount")</f>
        <v/>
      </c>
      <c r="U10" s="9">
        <f>-EPM($B$3,$B$4,"FY",$A10,"period_net_amount")</f>
        <v/>
      </c>
    </row>
    <row r="11">
      <c r="A11" s="10" t="inlineStr">
        <is>
          <t>401400</t>
        </is>
      </c>
      <c r="B11" s="11" t="inlineStr">
        <is>
          <t>Accrued Sales</t>
        </is>
      </c>
      <c r="C11" s="12">
        <f>-EPM($B$3,$B$4,1,$A11,"period_net_amount")</f>
        <v/>
      </c>
      <c r="D11" s="12">
        <f>-EPM($B$3,$B$4,2,$A11,"period_net_amount")</f>
        <v/>
      </c>
      <c r="E11" s="12">
        <f>-EPM($B$3,$B$4,3,$A11,"period_net_amount")</f>
        <v/>
      </c>
      <c r="F11" s="12">
        <f>-EPM($B$3,$B$4,"Q1",$A11,"period_net_amount")</f>
        <v/>
      </c>
      <c r="G11" s="12">
        <f>-EPM($B$3,$B$4,4,$A11,"period_net_amount")</f>
        <v/>
      </c>
      <c r="H11" s="12">
        <f>-EPM($B$3,$B$4,5,$A11,"period_net_amount")</f>
        <v/>
      </c>
      <c r="I11" s="12">
        <f>-EPM($B$3,$B$4,6,$A11,"period_net_amount")</f>
        <v/>
      </c>
      <c r="J11" s="12">
        <f>-EPM($B$3,$B$4,"Q2",$A11,"period_net_amount")</f>
        <v/>
      </c>
      <c r="K11" s="12">
        <f>-EPM($B$3,$B$4,7,$A11,"period_net_amount")</f>
        <v/>
      </c>
      <c r="L11" s="12">
        <f>-EPM($B$3,$B$4,8,$A11,"period_net_amount")</f>
        <v/>
      </c>
      <c r="M11" s="12">
        <f>-EPM($B$3,$B$4,9,$A11,"period_net_amount")</f>
        <v/>
      </c>
      <c r="N11" s="12">
        <f>-EPM($B$3,$B$4,"Q3",$A11,"period_net_amount")</f>
        <v/>
      </c>
      <c r="O11" s="12">
        <f>-EPM($B$3,$B$4,10,$A11,"period_net_amount")</f>
        <v/>
      </c>
      <c r="P11" s="12">
        <f>-EPM($B$3,$B$4,11,$A11,"period_net_amount")</f>
        <v/>
      </c>
      <c r="Q11" s="12">
        <f>-EPM($B$3,$B$4,12,$A11,"period_net_amount")</f>
        <v/>
      </c>
      <c r="R11" s="12">
        <f>-EPM($B$3,$B$4,"Q4",$A11,"period_net_amount")</f>
        <v/>
      </c>
      <c r="S11" s="12">
        <f>-EPM($B$3,$B$4,"H1",$A11,"period_net_amount")</f>
        <v/>
      </c>
      <c r="T11" s="12">
        <f>-EPM($B$3,$B$4,"H2",$A11,"period_net_amount")</f>
        <v/>
      </c>
      <c r="U11" s="12">
        <f>-EPM($B$3,$B$4,"FY",$A11,"period_net_amount")</f>
        <v/>
      </c>
    </row>
    <row r="12">
      <c r="A12" s="7" t="inlineStr">
        <is>
          <t>402300</t>
        </is>
      </c>
      <c r="B12" s="8" t="inlineStr">
        <is>
          <t>Intercompany Sales</t>
        </is>
      </c>
      <c r="C12" s="9">
        <f>-EPM($B$3,$B$4,1,$A12,"period_net_amount")</f>
        <v/>
      </c>
      <c r="D12" s="9">
        <f>-EPM($B$3,$B$4,2,$A12,"period_net_amount")</f>
        <v/>
      </c>
      <c r="E12" s="9">
        <f>-EPM($B$3,$B$4,3,$A12,"period_net_amount")</f>
        <v/>
      </c>
      <c r="F12" s="9">
        <f>-EPM($B$3,$B$4,"Q1",$A12,"period_net_amount")</f>
        <v/>
      </c>
      <c r="G12" s="9">
        <f>-EPM($B$3,$B$4,4,$A12,"period_net_amount")</f>
        <v/>
      </c>
      <c r="H12" s="9">
        <f>-EPM($B$3,$B$4,5,$A12,"period_net_amount")</f>
        <v/>
      </c>
      <c r="I12" s="9">
        <f>-EPM($B$3,$B$4,6,$A12,"period_net_amount")</f>
        <v/>
      </c>
      <c r="J12" s="9">
        <f>-EPM($B$3,$B$4,"Q2",$A12,"period_net_amount")</f>
        <v/>
      </c>
      <c r="K12" s="9">
        <f>-EPM($B$3,$B$4,7,$A12,"period_net_amount")</f>
        <v/>
      </c>
      <c r="L12" s="9">
        <f>-EPM($B$3,$B$4,8,$A12,"period_net_amount")</f>
        <v/>
      </c>
      <c r="M12" s="9">
        <f>-EPM($B$3,$B$4,9,$A12,"period_net_amount")</f>
        <v/>
      </c>
      <c r="N12" s="9">
        <f>-EPM($B$3,$B$4,"Q3",$A12,"period_net_amount")</f>
        <v/>
      </c>
      <c r="O12" s="9">
        <f>-EPM($B$3,$B$4,10,$A12,"period_net_amount")</f>
        <v/>
      </c>
      <c r="P12" s="9">
        <f>-EPM($B$3,$B$4,11,$A12,"period_net_amount")</f>
        <v/>
      </c>
      <c r="Q12" s="9">
        <f>-EPM($B$3,$B$4,12,$A12,"period_net_amount")</f>
        <v/>
      </c>
      <c r="R12" s="9">
        <f>-EPM($B$3,$B$4,"Q4",$A12,"period_net_amount")</f>
        <v/>
      </c>
      <c r="S12" s="9">
        <f>-EPM($B$3,$B$4,"H1",$A12,"period_net_amount")</f>
        <v/>
      </c>
      <c r="T12" s="9">
        <f>-EPM($B$3,$B$4,"H2",$A12,"period_net_amount")</f>
        <v/>
      </c>
      <c r="U12" s="9">
        <f>-EPM($B$3,$B$4,"FY",$A12,"period_net_amount")</f>
        <v/>
      </c>
    </row>
    <row r="13">
      <c r="A13" s="10" t="inlineStr">
        <is>
          <t>403150</t>
        </is>
      </c>
      <c r="B13" s="11" t="inlineStr">
        <is>
          <t>Miscellaneous Charges</t>
        </is>
      </c>
      <c r="C13" s="12">
        <f>-EPM($B$3,$B$4,1,$A13,"period_net_amount")</f>
        <v/>
      </c>
      <c r="D13" s="12">
        <f>-EPM($B$3,$B$4,2,$A13,"period_net_amount")</f>
        <v/>
      </c>
      <c r="E13" s="12">
        <f>-EPM($B$3,$B$4,3,$A13,"period_net_amount")</f>
        <v/>
      </c>
      <c r="F13" s="12">
        <f>-EPM($B$3,$B$4,"Q1",$A13,"period_net_amount")</f>
        <v/>
      </c>
      <c r="G13" s="12">
        <f>-EPM($B$3,$B$4,4,$A13,"period_net_amount")</f>
        <v/>
      </c>
      <c r="H13" s="12">
        <f>-EPM($B$3,$B$4,5,$A13,"period_net_amount")</f>
        <v/>
      </c>
      <c r="I13" s="12">
        <f>-EPM($B$3,$B$4,6,$A13,"period_net_amount")</f>
        <v/>
      </c>
      <c r="J13" s="12">
        <f>-EPM($B$3,$B$4,"Q2",$A13,"period_net_amount")</f>
        <v/>
      </c>
      <c r="K13" s="12">
        <f>-EPM($B$3,$B$4,7,$A13,"period_net_amount")</f>
        <v/>
      </c>
      <c r="L13" s="12">
        <f>-EPM($B$3,$B$4,8,$A13,"period_net_amount")</f>
        <v/>
      </c>
      <c r="M13" s="12">
        <f>-EPM($B$3,$B$4,9,$A13,"period_net_amount")</f>
        <v/>
      </c>
      <c r="N13" s="12">
        <f>-EPM($B$3,$B$4,"Q3",$A13,"period_net_amount")</f>
        <v/>
      </c>
      <c r="O13" s="12">
        <f>-EPM($B$3,$B$4,10,$A13,"period_net_amount")</f>
        <v/>
      </c>
      <c r="P13" s="12">
        <f>-EPM($B$3,$B$4,11,$A13,"period_net_amount")</f>
        <v/>
      </c>
      <c r="Q13" s="12">
        <f>-EPM($B$3,$B$4,12,$A13,"period_net_amount")</f>
        <v/>
      </c>
      <c r="R13" s="12">
        <f>-EPM($B$3,$B$4,"Q4",$A13,"period_net_amount")</f>
        <v/>
      </c>
      <c r="S13" s="12">
        <f>-EPM($B$3,$B$4,"H1",$A13,"period_net_amount")</f>
        <v/>
      </c>
      <c r="T13" s="12">
        <f>-EPM($B$3,$B$4,"H2",$A13,"period_net_amount")</f>
        <v/>
      </c>
      <c r="U13" s="12">
        <f>-EPM($B$3,$B$4,"FY",$A13,"period_net_amount")</f>
        <v/>
      </c>
    </row>
    <row r="14">
      <c r="A14" s="7" t="inlineStr">
        <is>
          <t>403300</t>
        </is>
      </c>
      <c r="B14" s="8" t="inlineStr">
        <is>
          <t>Customer Cash Discounts</t>
        </is>
      </c>
      <c r="C14" s="9">
        <f>-EPM($B$3,$B$4,1,$A14,"period_net_amount")</f>
        <v/>
      </c>
      <c r="D14" s="9">
        <f>-EPM($B$3,$B$4,2,$A14,"period_net_amount")</f>
        <v/>
      </c>
      <c r="E14" s="9">
        <f>-EPM($B$3,$B$4,3,$A14,"period_net_amount")</f>
        <v/>
      </c>
      <c r="F14" s="9">
        <f>-EPM($B$3,$B$4,"Q1",$A14,"period_net_amount")</f>
        <v/>
      </c>
      <c r="G14" s="9">
        <f>-EPM($B$3,$B$4,4,$A14,"period_net_amount")</f>
        <v/>
      </c>
      <c r="H14" s="9">
        <f>-EPM($B$3,$B$4,5,$A14,"period_net_amount")</f>
        <v/>
      </c>
      <c r="I14" s="9">
        <f>-EPM($B$3,$B$4,6,$A14,"period_net_amount")</f>
        <v/>
      </c>
      <c r="J14" s="9">
        <f>-EPM($B$3,$B$4,"Q2",$A14,"period_net_amount")</f>
        <v/>
      </c>
      <c r="K14" s="9">
        <f>-EPM($B$3,$B$4,7,$A14,"period_net_amount")</f>
        <v/>
      </c>
      <c r="L14" s="9">
        <f>-EPM($B$3,$B$4,8,$A14,"period_net_amount")</f>
        <v/>
      </c>
      <c r="M14" s="9">
        <f>-EPM($B$3,$B$4,9,$A14,"period_net_amount")</f>
        <v/>
      </c>
      <c r="N14" s="9">
        <f>-EPM($B$3,$B$4,"Q3",$A14,"period_net_amount")</f>
        <v/>
      </c>
      <c r="O14" s="9">
        <f>-EPM($B$3,$B$4,10,$A14,"period_net_amount")</f>
        <v/>
      </c>
      <c r="P14" s="9">
        <f>-EPM($B$3,$B$4,11,$A14,"period_net_amount")</f>
        <v/>
      </c>
      <c r="Q14" s="9">
        <f>-EPM($B$3,$B$4,12,$A14,"period_net_amount")</f>
        <v/>
      </c>
      <c r="R14" s="9">
        <f>-EPM($B$3,$B$4,"Q4",$A14,"period_net_amount")</f>
        <v/>
      </c>
      <c r="S14" s="9">
        <f>-EPM($B$3,$B$4,"H1",$A14,"period_net_amount")</f>
        <v/>
      </c>
      <c r="T14" s="9">
        <f>-EPM($B$3,$B$4,"H2",$A14,"period_net_amount")</f>
        <v/>
      </c>
      <c r="U14" s="9">
        <f>-EPM($B$3,$B$4,"FY",$A14,"period_net_amount")</f>
        <v/>
      </c>
    </row>
    <row r="15">
      <c r="A15" s="10" t="inlineStr">
        <is>
          <t>411100</t>
        </is>
      </c>
      <c r="B15" s="11" t="inlineStr">
        <is>
          <t>Revenue - Labor</t>
        </is>
      </c>
      <c r="C15" s="12">
        <f>-EPM($B$3,$B$4,1,$A15,"period_net_amount")</f>
        <v/>
      </c>
      <c r="D15" s="12">
        <f>-EPM($B$3,$B$4,2,$A15,"period_net_amount")</f>
        <v/>
      </c>
      <c r="E15" s="12">
        <f>-EPM($B$3,$B$4,3,$A15,"period_net_amount")</f>
        <v/>
      </c>
      <c r="F15" s="12">
        <f>-EPM($B$3,$B$4,"Q1",$A15,"period_net_amount")</f>
        <v/>
      </c>
      <c r="G15" s="12">
        <f>-EPM($B$3,$B$4,4,$A15,"period_net_amount")</f>
        <v/>
      </c>
      <c r="H15" s="12">
        <f>-EPM($B$3,$B$4,5,$A15,"period_net_amount")</f>
        <v/>
      </c>
      <c r="I15" s="12">
        <f>-EPM($B$3,$B$4,6,$A15,"period_net_amount")</f>
        <v/>
      </c>
      <c r="J15" s="12">
        <f>-EPM($B$3,$B$4,"Q2",$A15,"period_net_amount")</f>
        <v/>
      </c>
      <c r="K15" s="12">
        <f>-EPM($B$3,$B$4,7,$A15,"period_net_amount")</f>
        <v/>
      </c>
      <c r="L15" s="12">
        <f>-EPM($B$3,$B$4,8,$A15,"period_net_amount")</f>
        <v/>
      </c>
      <c r="M15" s="12">
        <f>-EPM($B$3,$B$4,9,$A15,"period_net_amount")</f>
        <v/>
      </c>
      <c r="N15" s="12">
        <f>-EPM($B$3,$B$4,"Q3",$A15,"period_net_amount")</f>
        <v/>
      </c>
      <c r="O15" s="12">
        <f>-EPM($B$3,$B$4,10,$A15,"period_net_amount")</f>
        <v/>
      </c>
      <c r="P15" s="12">
        <f>-EPM($B$3,$B$4,11,$A15,"period_net_amount")</f>
        <v/>
      </c>
      <c r="Q15" s="12">
        <f>-EPM($B$3,$B$4,12,$A15,"period_net_amount")</f>
        <v/>
      </c>
      <c r="R15" s="12">
        <f>-EPM($B$3,$B$4,"Q4",$A15,"period_net_amount")</f>
        <v/>
      </c>
      <c r="S15" s="12">
        <f>-EPM($B$3,$B$4,"H1",$A15,"period_net_amount")</f>
        <v/>
      </c>
      <c r="T15" s="12">
        <f>-EPM($B$3,$B$4,"H2",$A15,"period_net_amount")</f>
        <v/>
      </c>
      <c r="U15" s="12">
        <f>-EPM($B$3,$B$4,"FY",$A15,"period_net_amount")</f>
        <v/>
      </c>
    </row>
    <row r="16">
      <c r="A16" s="7" t="inlineStr">
        <is>
          <t>411400</t>
        </is>
      </c>
      <c r="B16" s="8" t="inlineStr">
        <is>
          <t>Revenue - Fees</t>
        </is>
      </c>
      <c r="C16" s="9">
        <f>-EPM($B$3,$B$4,1,$A16,"period_net_amount")</f>
        <v/>
      </c>
      <c r="D16" s="9">
        <f>-EPM($B$3,$B$4,2,$A16,"period_net_amount")</f>
        <v/>
      </c>
      <c r="E16" s="9">
        <f>-EPM($B$3,$B$4,3,$A16,"period_net_amount")</f>
        <v/>
      </c>
      <c r="F16" s="9">
        <f>-EPM($B$3,$B$4,"Q1",$A16,"period_net_amount")</f>
        <v/>
      </c>
      <c r="G16" s="9">
        <f>-EPM($B$3,$B$4,4,$A16,"period_net_amount")</f>
        <v/>
      </c>
      <c r="H16" s="9">
        <f>-EPM($B$3,$B$4,5,$A16,"period_net_amount")</f>
        <v/>
      </c>
      <c r="I16" s="9">
        <f>-EPM($B$3,$B$4,6,$A16,"period_net_amount")</f>
        <v/>
      </c>
      <c r="J16" s="9">
        <f>-EPM($B$3,$B$4,"Q2",$A16,"period_net_amount")</f>
        <v/>
      </c>
      <c r="K16" s="9">
        <f>-EPM($B$3,$B$4,7,$A16,"period_net_amount")</f>
        <v/>
      </c>
      <c r="L16" s="9">
        <f>-EPM($B$3,$B$4,8,$A16,"period_net_amount")</f>
        <v/>
      </c>
      <c r="M16" s="9">
        <f>-EPM($B$3,$B$4,9,$A16,"period_net_amount")</f>
        <v/>
      </c>
      <c r="N16" s="9">
        <f>-EPM($B$3,$B$4,"Q3",$A16,"period_net_amount")</f>
        <v/>
      </c>
      <c r="O16" s="9">
        <f>-EPM($B$3,$B$4,10,$A16,"period_net_amount")</f>
        <v/>
      </c>
      <c r="P16" s="9">
        <f>-EPM($B$3,$B$4,11,$A16,"period_net_amount")</f>
        <v/>
      </c>
      <c r="Q16" s="9">
        <f>-EPM($B$3,$B$4,12,$A16,"period_net_amount")</f>
        <v/>
      </c>
      <c r="R16" s="9">
        <f>-EPM($B$3,$B$4,"Q4",$A16,"period_net_amount")</f>
        <v/>
      </c>
      <c r="S16" s="9">
        <f>-EPM($B$3,$B$4,"H1",$A16,"period_net_amount")</f>
        <v/>
      </c>
      <c r="T16" s="9">
        <f>-EPM($B$3,$B$4,"H2",$A16,"period_net_amount")</f>
        <v/>
      </c>
      <c r="U16" s="9">
        <f>-EPM($B$3,$B$4,"FY",$A16,"period_net_amount")</f>
        <v/>
      </c>
    </row>
    <row r="17">
      <c r="A17" s="10" t="inlineStr">
        <is>
          <t>420200</t>
        </is>
      </c>
      <c r="B17" s="11" t="inlineStr">
        <is>
          <t>Accrued Revenue</t>
        </is>
      </c>
      <c r="C17" s="12">
        <f>-EPM($B$3,$B$4,1,$A17,"period_net_amount")</f>
        <v/>
      </c>
      <c r="D17" s="12">
        <f>-EPM($B$3,$B$4,2,$A17,"period_net_amount")</f>
        <v/>
      </c>
      <c r="E17" s="12">
        <f>-EPM($B$3,$B$4,3,$A17,"period_net_amount")</f>
        <v/>
      </c>
      <c r="F17" s="12">
        <f>-EPM($B$3,$B$4,"Q1",$A17,"period_net_amount")</f>
        <v/>
      </c>
      <c r="G17" s="12">
        <f>-EPM($B$3,$B$4,4,$A17,"period_net_amount")</f>
        <v/>
      </c>
      <c r="H17" s="12">
        <f>-EPM($B$3,$B$4,5,$A17,"period_net_amount")</f>
        <v/>
      </c>
      <c r="I17" s="12">
        <f>-EPM($B$3,$B$4,6,$A17,"period_net_amount")</f>
        <v/>
      </c>
      <c r="J17" s="12">
        <f>-EPM($B$3,$B$4,"Q2",$A17,"period_net_amount")</f>
        <v/>
      </c>
      <c r="K17" s="12">
        <f>-EPM($B$3,$B$4,7,$A17,"period_net_amount")</f>
        <v/>
      </c>
      <c r="L17" s="12">
        <f>-EPM($B$3,$B$4,8,$A17,"period_net_amount")</f>
        <v/>
      </c>
      <c r="M17" s="12">
        <f>-EPM($B$3,$B$4,9,$A17,"period_net_amount")</f>
        <v/>
      </c>
      <c r="N17" s="12">
        <f>-EPM($B$3,$B$4,"Q3",$A17,"period_net_amount")</f>
        <v/>
      </c>
      <c r="O17" s="12">
        <f>-EPM($B$3,$B$4,10,$A17,"period_net_amount")</f>
        <v/>
      </c>
      <c r="P17" s="12">
        <f>-EPM($B$3,$B$4,11,$A17,"period_net_amount")</f>
        <v/>
      </c>
      <c r="Q17" s="12">
        <f>-EPM($B$3,$B$4,12,$A17,"period_net_amount")</f>
        <v/>
      </c>
      <c r="R17" s="12">
        <f>-EPM($B$3,$B$4,"Q4",$A17,"period_net_amount")</f>
        <v/>
      </c>
      <c r="S17" s="12">
        <f>-EPM($B$3,$B$4,"H1",$A17,"period_net_amount")</f>
        <v/>
      </c>
      <c r="T17" s="12">
        <f>-EPM($B$3,$B$4,"H2",$A17,"period_net_amount")</f>
        <v/>
      </c>
      <c r="U17" s="12">
        <f>-EPM($B$3,$B$4,"FY",$A17,"period_net_amount")</f>
        <v/>
      </c>
    </row>
    <row r="18">
      <c r="A18" s="13" t="n"/>
      <c r="B18" s="14" t="inlineStr">
        <is>
          <t>Total Revenue</t>
        </is>
      </c>
      <c r="C18" s="15">
        <f>C8+C9+C10+C11+C12+C13+C14+C15+C16+C17</f>
        <v/>
      </c>
      <c r="D18" s="15">
        <f>D8+D9+D10+D11+D12+D13+D14+D15+D16+D17</f>
        <v/>
      </c>
      <c r="E18" s="15">
        <f>E8+E9+E10+E11+E12+E13+E14+E15+E16+E17</f>
        <v/>
      </c>
      <c r="F18" s="15">
        <f>F8+F9+F10+F11+F12+F13+F14+F15+F16+F17</f>
        <v/>
      </c>
      <c r="G18" s="15">
        <f>G8+G9+G10+G11+G12+G13+G14+G15+G16+G17</f>
        <v/>
      </c>
      <c r="H18" s="15">
        <f>H8+H9+H10+H11+H12+H13+H14+H15+H16+H17</f>
        <v/>
      </c>
      <c r="I18" s="15">
        <f>I8+I9+I10+I11+I12+I13+I14+I15+I16+I17</f>
        <v/>
      </c>
      <c r="J18" s="15">
        <f>J8+J9+J10+J11+J12+J13+J14+J15+J16+J17</f>
        <v/>
      </c>
      <c r="K18" s="15">
        <f>K8+K9+K10+K11+K12+K13+K14+K15+K16+K17</f>
        <v/>
      </c>
      <c r="L18" s="15">
        <f>L8+L9+L10+L11+L12+L13+L14+L15+L16+L17</f>
        <v/>
      </c>
      <c r="M18" s="15">
        <f>M8+M9+M10+M11+M12+M13+M14+M15+M16+M17</f>
        <v/>
      </c>
      <c r="N18" s="15">
        <f>N8+N9+N10+N11+N12+N13+N14+N15+N16+N17</f>
        <v/>
      </c>
      <c r="O18" s="15">
        <f>O8+O9+O10+O11+O12+O13+O14+O15+O16+O17</f>
        <v/>
      </c>
      <c r="P18" s="15">
        <f>P8+P9+P10+P11+P12+P13+P14+P15+P16+P17</f>
        <v/>
      </c>
      <c r="Q18" s="15">
        <f>Q8+Q9+Q10+Q11+Q12+Q13+Q14+Q15+Q16+Q17</f>
        <v/>
      </c>
      <c r="R18" s="15">
        <f>R8+R9+R10+R11+R12+R13+R14+R15+R16+R17</f>
        <v/>
      </c>
      <c r="S18" s="15">
        <f>S8+S9+S10+S11+S12+S13+S14+S15+S16+S17</f>
        <v/>
      </c>
      <c r="T18" s="15">
        <f>T8+T9+T10+T11+T12+T13+T14+T15+T16+T17</f>
        <v/>
      </c>
      <c r="U18" s="15">
        <f>U8+U9+U10+U11+U12+U13+U14+U15+U16+U17</f>
        <v/>
      </c>
    </row>
    <row r="20">
      <c r="B20" s="3" t="inlineStr">
        <is>
          <t>Cost of Goods Sold</t>
        </is>
      </c>
    </row>
    <row r="21">
      <c r="A21" s="7" t="inlineStr">
        <is>
          <t>500100</t>
        </is>
      </c>
      <c r="B21" s="8" t="inlineStr">
        <is>
          <t>COGS - Finished Goods</t>
        </is>
      </c>
      <c r="C21" s="9">
        <f>-EPM($B$3,$B$4,1,$A21,"period_net_amount")</f>
        <v/>
      </c>
      <c r="D21" s="9">
        <f>-EPM($B$3,$B$4,2,$A21,"period_net_amount")</f>
        <v/>
      </c>
      <c r="E21" s="9">
        <f>-EPM($B$3,$B$4,3,$A21,"period_net_amount")</f>
        <v/>
      </c>
      <c r="F21" s="9">
        <f>-EPM($B$3,$B$4,"Q1",$A21,"period_net_amount")</f>
        <v/>
      </c>
      <c r="G21" s="9">
        <f>-EPM($B$3,$B$4,4,$A21,"period_net_amount")</f>
        <v/>
      </c>
      <c r="H21" s="9">
        <f>-EPM($B$3,$B$4,5,$A21,"period_net_amount")</f>
        <v/>
      </c>
      <c r="I21" s="9">
        <f>-EPM($B$3,$B$4,6,$A21,"period_net_amount")</f>
        <v/>
      </c>
      <c r="J21" s="9">
        <f>-EPM($B$3,$B$4,"Q2",$A21,"period_net_amount")</f>
        <v/>
      </c>
      <c r="K21" s="9">
        <f>-EPM($B$3,$B$4,7,$A21,"period_net_amount")</f>
        <v/>
      </c>
      <c r="L21" s="9">
        <f>-EPM($B$3,$B$4,8,$A21,"period_net_amount")</f>
        <v/>
      </c>
      <c r="M21" s="9">
        <f>-EPM($B$3,$B$4,9,$A21,"period_net_amount")</f>
        <v/>
      </c>
      <c r="N21" s="9">
        <f>-EPM($B$3,$B$4,"Q3",$A21,"period_net_amount")</f>
        <v/>
      </c>
      <c r="O21" s="9">
        <f>-EPM($B$3,$B$4,10,$A21,"period_net_amount")</f>
        <v/>
      </c>
      <c r="P21" s="9">
        <f>-EPM($B$3,$B$4,11,$A21,"period_net_amount")</f>
        <v/>
      </c>
      <c r="Q21" s="9">
        <f>-EPM($B$3,$B$4,12,$A21,"period_net_amount")</f>
        <v/>
      </c>
      <c r="R21" s="9">
        <f>-EPM($B$3,$B$4,"Q4",$A21,"period_net_amount")</f>
        <v/>
      </c>
      <c r="S21" s="9">
        <f>-EPM($B$3,$B$4,"H1",$A21,"period_net_amount")</f>
        <v/>
      </c>
      <c r="T21" s="9">
        <f>-EPM($B$3,$B$4,"H2",$A21,"period_net_amount")</f>
        <v/>
      </c>
      <c r="U21" s="9">
        <f>-EPM($B$3,$B$4,"FY",$A21,"period_net_amount")</f>
        <v/>
      </c>
    </row>
    <row r="22">
      <c r="A22" s="10" t="inlineStr">
        <is>
          <t>500150</t>
        </is>
      </c>
      <c r="B22" s="11" t="inlineStr">
        <is>
          <t>Deferred COGS</t>
        </is>
      </c>
      <c r="C22" s="12">
        <f>-EPM($B$3,$B$4,1,$A22,"period_net_amount")</f>
        <v/>
      </c>
      <c r="D22" s="12">
        <f>-EPM($B$3,$B$4,2,$A22,"period_net_amount")</f>
        <v/>
      </c>
      <c r="E22" s="12">
        <f>-EPM($B$3,$B$4,3,$A22,"period_net_amount")</f>
        <v/>
      </c>
      <c r="F22" s="12">
        <f>-EPM($B$3,$B$4,"Q1",$A22,"period_net_amount")</f>
        <v/>
      </c>
      <c r="G22" s="12">
        <f>-EPM($B$3,$B$4,4,$A22,"period_net_amount")</f>
        <v/>
      </c>
      <c r="H22" s="12">
        <f>-EPM($B$3,$B$4,5,$A22,"period_net_amount")</f>
        <v/>
      </c>
      <c r="I22" s="12">
        <f>-EPM($B$3,$B$4,6,$A22,"period_net_amount")</f>
        <v/>
      </c>
      <c r="J22" s="12">
        <f>-EPM($B$3,$B$4,"Q2",$A22,"period_net_amount")</f>
        <v/>
      </c>
      <c r="K22" s="12">
        <f>-EPM($B$3,$B$4,7,$A22,"period_net_amount")</f>
        <v/>
      </c>
      <c r="L22" s="12">
        <f>-EPM($B$3,$B$4,8,$A22,"period_net_amount")</f>
        <v/>
      </c>
      <c r="M22" s="12">
        <f>-EPM($B$3,$B$4,9,$A22,"period_net_amount")</f>
        <v/>
      </c>
      <c r="N22" s="12">
        <f>-EPM($B$3,$B$4,"Q3",$A22,"period_net_amount")</f>
        <v/>
      </c>
      <c r="O22" s="12">
        <f>-EPM($B$3,$B$4,10,$A22,"period_net_amount")</f>
        <v/>
      </c>
      <c r="P22" s="12">
        <f>-EPM($B$3,$B$4,11,$A22,"period_net_amount")</f>
        <v/>
      </c>
      <c r="Q22" s="12">
        <f>-EPM($B$3,$B$4,12,$A22,"period_net_amount")</f>
        <v/>
      </c>
      <c r="R22" s="12">
        <f>-EPM($B$3,$B$4,"Q4",$A22,"period_net_amount")</f>
        <v/>
      </c>
      <c r="S22" s="12">
        <f>-EPM($B$3,$B$4,"H1",$A22,"period_net_amount")</f>
        <v/>
      </c>
      <c r="T22" s="12">
        <f>-EPM($B$3,$B$4,"H2",$A22,"period_net_amount")</f>
        <v/>
      </c>
      <c r="U22" s="12">
        <f>-EPM($B$3,$B$4,"FY",$A22,"period_net_amount")</f>
        <v/>
      </c>
    </row>
    <row r="23">
      <c r="A23" s="7" t="inlineStr">
        <is>
          <t>510310</t>
        </is>
      </c>
      <c r="B23" s="8" t="inlineStr">
        <is>
          <t>Purchase Price Variance</t>
        </is>
      </c>
      <c r="C23" s="9">
        <f>-EPM($B$3,$B$4,1,$A23,"period_net_amount")</f>
        <v/>
      </c>
      <c r="D23" s="9">
        <f>-EPM($B$3,$B$4,2,$A23,"period_net_amount")</f>
        <v/>
      </c>
      <c r="E23" s="9">
        <f>-EPM($B$3,$B$4,3,$A23,"period_net_amount")</f>
        <v/>
      </c>
      <c r="F23" s="9">
        <f>-EPM($B$3,$B$4,"Q1",$A23,"period_net_amount")</f>
        <v/>
      </c>
      <c r="G23" s="9">
        <f>-EPM($B$3,$B$4,4,$A23,"period_net_amount")</f>
        <v/>
      </c>
      <c r="H23" s="9">
        <f>-EPM($B$3,$B$4,5,$A23,"period_net_amount")</f>
        <v/>
      </c>
      <c r="I23" s="9">
        <f>-EPM($B$3,$B$4,6,$A23,"period_net_amount")</f>
        <v/>
      </c>
      <c r="J23" s="9">
        <f>-EPM($B$3,$B$4,"Q2",$A23,"period_net_amount")</f>
        <v/>
      </c>
      <c r="K23" s="9">
        <f>-EPM($B$3,$B$4,7,$A23,"period_net_amount")</f>
        <v/>
      </c>
      <c r="L23" s="9">
        <f>-EPM($B$3,$B$4,8,$A23,"period_net_amount")</f>
        <v/>
      </c>
      <c r="M23" s="9">
        <f>-EPM($B$3,$B$4,9,$A23,"period_net_amount")</f>
        <v/>
      </c>
      <c r="N23" s="9">
        <f>-EPM($B$3,$B$4,"Q3",$A23,"period_net_amount")</f>
        <v/>
      </c>
      <c r="O23" s="9">
        <f>-EPM($B$3,$B$4,10,$A23,"period_net_amount")</f>
        <v/>
      </c>
      <c r="P23" s="9">
        <f>-EPM($B$3,$B$4,11,$A23,"period_net_amount")</f>
        <v/>
      </c>
      <c r="Q23" s="9">
        <f>-EPM($B$3,$B$4,12,$A23,"period_net_amount")</f>
        <v/>
      </c>
      <c r="R23" s="9">
        <f>-EPM($B$3,$B$4,"Q4",$A23,"period_net_amount")</f>
        <v/>
      </c>
      <c r="S23" s="9">
        <f>-EPM($B$3,$B$4,"H1",$A23,"period_net_amount")</f>
        <v/>
      </c>
      <c r="T23" s="9">
        <f>-EPM($B$3,$B$4,"H2",$A23,"period_net_amount")</f>
        <v/>
      </c>
      <c r="U23" s="9">
        <f>-EPM($B$3,$B$4,"FY",$A23,"period_net_amount")</f>
        <v/>
      </c>
    </row>
    <row r="24">
      <c r="A24" s="10" t="inlineStr">
        <is>
          <t>510500</t>
        </is>
      </c>
      <c r="B24" s="11" t="inlineStr">
        <is>
          <t>Inventory Profit/Loss</t>
        </is>
      </c>
      <c r="C24" s="12">
        <f>-EPM($B$3,$B$4,1,$A24,"period_net_amount")</f>
        <v/>
      </c>
      <c r="D24" s="12">
        <f>-EPM($B$3,$B$4,2,$A24,"period_net_amount")</f>
        <v/>
      </c>
      <c r="E24" s="12">
        <f>-EPM($B$3,$B$4,3,$A24,"period_net_amount")</f>
        <v/>
      </c>
      <c r="F24" s="12">
        <f>-EPM($B$3,$B$4,"Q1",$A24,"period_net_amount")</f>
        <v/>
      </c>
      <c r="G24" s="12">
        <f>-EPM($B$3,$B$4,4,$A24,"period_net_amount")</f>
        <v/>
      </c>
      <c r="H24" s="12">
        <f>-EPM($B$3,$B$4,5,$A24,"period_net_amount")</f>
        <v/>
      </c>
      <c r="I24" s="12">
        <f>-EPM($B$3,$B$4,6,$A24,"period_net_amount")</f>
        <v/>
      </c>
      <c r="J24" s="12">
        <f>-EPM($B$3,$B$4,"Q2",$A24,"period_net_amount")</f>
        <v/>
      </c>
      <c r="K24" s="12">
        <f>-EPM($B$3,$B$4,7,$A24,"period_net_amount")</f>
        <v/>
      </c>
      <c r="L24" s="12">
        <f>-EPM($B$3,$B$4,8,$A24,"period_net_amount")</f>
        <v/>
      </c>
      <c r="M24" s="12">
        <f>-EPM($B$3,$B$4,9,$A24,"period_net_amount")</f>
        <v/>
      </c>
      <c r="N24" s="12">
        <f>-EPM($B$3,$B$4,"Q3",$A24,"period_net_amount")</f>
        <v/>
      </c>
      <c r="O24" s="12">
        <f>-EPM($B$3,$B$4,10,$A24,"period_net_amount")</f>
        <v/>
      </c>
      <c r="P24" s="12">
        <f>-EPM($B$3,$B$4,11,$A24,"period_net_amount")</f>
        <v/>
      </c>
      <c r="Q24" s="12">
        <f>-EPM($B$3,$B$4,12,$A24,"period_net_amount")</f>
        <v/>
      </c>
      <c r="R24" s="12">
        <f>-EPM($B$3,$B$4,"Q4",$A24,"period_net_amount")</f>
        <v/>
      </c>
      <c r="S24" s="12">
        <f>-EPM($B$3,$B$4,"H1",$A24,"period_net_amount")</f>
        <v/>
      </c>
      <c r="T24" s="12">
        <f>-EPM($B$3,$B$4,"H2",$A24,"period_net_amount")</f>
        <v/>
      </c>
      <c r="U24" s="12">
        <f>-EPM($B$3,$B$4,"FY",$A24,"period_net_amount")</f>
        <v/>
      </c>
    </row>
    <row r="25">
      <c r="A25" s="7" t="inlineStr">
        <is>
          <t>510520</t>
        </is>
      </c>
      <c r="B25" s="8" t="inlineStr">
        <is>
          <t>Inventory Adjustment</t>
        </is>
      </c>
      <c r="C25" s="9">
        <f>-EPM($B$3,$B$4,1,$A25,"period_net_amount")</f>
        <v/>
      </c>
      <c r="D25" s="9">
        <f>-EPM($B$3,$B$4,2,$A25,"period_net_amount")</f>
        <v/>
      </c>
      <c r="E25" s="9">
        <f>-EPM($B$3,$B$4,3,$A25,"period_net_amount")</f>
        <v/>
      </c>
      <c r="F25" s="9">
        <f>-EPM($B$3,$B$4,"Q1",$A25,"period_net_amount")</f>
        <v/>
      </c>
      <c r="G25" s="9">
        <f>-EPM($B$3,$B$4,4,$A25,"period_net_amount")</f>
        <v/>
      </c>
      <c r="H25" s="9">
        <f>-EPM($B$3,$B$4,5,$A25,"period_net_amount")</f>
        <v/>
      </c>
      <c r="I25" s="9">
        <f>-EPM($B$3,$B$4,6,$A25,"period_net_amount")</f>
        <v/>
      </c>
      <c r="J25" s="9">
        <f>-EPM($B$3,$B$4,"Q2",$A25,"period_net_amount")</f>
        <v/>
      </c>
      <c r="K25" s="9">
        <f>-EPM($B$3,$B$4,7,$A25,"period_net_amount")</f>
        <v/>
      </c>
      <c r="L25" s="9">
        <f>-EPM($B$3,$B$4,8,$A25,"period_net_amount")</f>
        <v/>
      </c>
      <c r="M25" s="9">
        <f>-EPM($B$3,$B$4,9,$A25,"period_net_amount")</f>
        <v/>
      </c>
      <c r="N25" s="9">
        <f>-EPM($B$3,$B$4,"Q3",$A25,"period_net_amount")</f>
        <v/>
      </c>
      <c r="O25" s="9">
        <f>-EPM($B$3,$B$4,10,$A25,"period_net_amount")</f>
        <v/>
      </c>
      <c r="P25" s="9">
        <f>-EPM($B$3,$B$4,11,$A25,"period_net_amount")</f>
        <v/>
      </c>
      <c r="Q25" s="9">
        <f>-EPM($B$3,$B$4,12,$A25,"period_net_amount")</f>
        <v/>
      </c>
      <c r="R25" s="9">
        <f>-EPM($B$3,$B$4,"Q4",$A25,"period_net_amount")</f>
        <v/>
      </c>
      <c r="S25" s="9">
        <f>-EPM($B$3,$B$4,"H1",$A25,"period_net_amount")</f>
        <v/>
      </c>
      <c r="T25" s="9">
        <f>-EPM($B$3,$B$4,"H2",$A25,"period_net_amount")</f>
        <v/>
      </c>
      <c r="U25" s="9">
        <f>-EPM($B$3,$B$4,"FY",$A25,"period_net_amount")</f>
        <v/>
      </c>
    </row>
    <row r="26">
      <c r="A26" s="10" t="inlineStr">
        <is>
          <t>540100</t>
        </is>
      </c>
      <c r="B26" s="11" t="inlineStr">
        <is>
          <t>Cost of Project - Labor</t>
        </is>
      </c>
      <c r="C26" s="12">
        <f>-EPM($B$3,$B$4,1,$A26,"period_net_amount")</f>
        <v/>
      </c>
      <c r="D26" s="12">
        <f>-EPM($B$3,$B$4,2,$A26,"period_net_amount")</f>
        <v/>
      </c>
      <c r="E26" s="12">
        <f>-EPM($B$3,$B$4,3,$A26,"period_net_amount")</f>
        <v/>
      </c>
      <c r="F26" s="12">
        <f>-EPM($B$3,$B$4,"Q1",$A26,"period_net_amount")</f>
        <v/>
      </c>
      <c r="G26" s="12">
        <f>-EPM($B$3,$B$4,4,$A26,"period_net_amount")</f>
        <v/>
      </c>
      <c r="H26" s="12">
        <f>-EPM($B$3,$B$4,5,$A26,"period_net_amount")</f>
        <v/>
      </c>
      <c r="I26" s="12">
        <f>-EPM($B$3,$B$4,6,$A26,"period_net_amount")</f>
        <v/>
      </c>
      <c r="J26" s="12">
        <f>-EPM($B$3,$B$4,"Q2",$A26,"period_net_amount")</f>
        <v/>
      </c>
      <c r="K26" s="12">
        <f>-EPM($B$3,$B$4,7,$A26,"period_net_amount")</f>
        <v/>
      </c>
      <c r="L26" s="12">
        <f>-EPM($B$3,$B$4,8,$A26,"period_net_amount")</f>
        <v/>
      </c>
      <c r="M26" s="12">
        <f>-EPM($B$3,$B$4,9,$A26,"period_net_amount")</f>
        <v/>
      </c>
      <c r="N26" s="12">
        <f>-EPM($B$3,$B$4,"Q3",$A26,"period_net_amount")</f>
        <v/>
      </c>
      <c r="O26" s="12">
        <f>-EPM($B$3,$B$4,10,$A26,"period_net_amount")</f>
        <v/>
      </c>
      <c r="P26" s="12">
        <f>-EPM($B$3,$B$4,11,$A26,"period_net_amount")</f>
        <v/>
      </c>
      <c r="Q26" s="12">
        <f>-EPM($B$3,$B$4,12,$A26,"period_net_amount")</f>
        <v/>
      </c>
      <c r="R26" s="12">
        <f>-EPM($B$3,$B$4,"Q4",$A26,"period_net_amount")</f>
        <v/>
      </c>
      <c r="S26" s="12">
        <f>-EPM($B$3,$B$4,"H1",$A26,"period_net_amount")</f>
        <v/>
      </c>
      <c r="T26" s="12">
        <f>-EPM($B$3,$B$4,"H2",$A26,"period_net_amount")</f>
        <v/>
      </c>
      <c r="U26" s="12">
        <f>-EPM($B$3,$B$4,"FY",$A26,"period_net_amount")</f>
        <v/>
      </c>
    </row>
    <row r="27">
      <c r="A27" s="7" t="inlineStr">
        <is>
          <t>540110</t>
        </is>
      </c>
      <c r="B27" s="8" t="inlineStr">
        <is>
          <t>Cost of Project - Products</t>
        </is>
      </c>
      <c r="C27" s="9">
        <f>-EPM($B$3,$B$4,1,$A27,"period_net_amount")</f>
        <v/>
      </c>
      <c r="D27" s="9">
        <f>-EPM($B$3,$B$4,2,$A27,"period_net_amount")</f>
        <v/>
      </c>
      <c r="E27" s="9">
        <f>-EPM($B$3,$B$4,3,$A27,"period_net_amount")</f>
        <v/>
      </c>
      <c r="F27" s="9">
        <f>-EPM($B$3,$B$4,"Q1",$A27,"period_net_amount")</f>
        <v/>
      </c>
      <c r="G27" s="9">
        <f>-EPM($B$3,$B$4,4,$A27,"period_net_amount")</f>
        <v/>
      </c>
      <c r="H27" s="9">
        <f>-EPM($B$3,$B$4,5,$A27,"period_net_amount")</f>
        <v/>
      </c>
      <c r="I27" s="9">
        <f>-EPM($B$3,$B$4,6,$A27,"period_net_amount")</f>
        <v/>
      </c>
      <c r="J27" s="9">
        <f>-EPM($B$3,$B$4,"Q2",$A27,"period_net_amount")</f>
        <v/>
      </c>
      <c r="K27" s="9">
        <f>-EPM($B$3,$B$4,7,$A27,"period_net_amount")</f>
        <v/>
      </c>
      <c r="L27" s="9">
        <f>-EPM($B$3,$B$4,8,$A27,"period_net_amount")</f>
        <v/>
      </c>
      <c r="M27" s="9">
        <f>-EPM($B$3,$B$4,9,$A27,"period_net_amount")</f>
        <v/>
      </c>
      <c r="N27" s="9">
        <f>-EPM($B$3,$B$4,"Q3",$A27,"period_net_amount")</f>
        <v/>
      </c>
      <c r="O27" s="9">
        <f>-EPM($B$3,$B$4,10,$A27,"period_net_amount")</f>
        <v/>
      </c>
      <c r="P27" s="9">
        <f>-EPM($B$3,$B$4,11,$A27,"period_net_amount")</f>
        <v/>
      </c>
      <c r="Q27" s="9">
        <f>-EPM($B$3,$B$4,12,$A27,"period_net_amount")</f>
        <v/>
      </c>
      <c r="R27" s="9">
        <f>-EPM($B$3,$B$4,"Q4",$A27,"period_net_amount")</f>
        <v/>
      </c>
      <c r="S27" s="9">
        <f>-EPM($B$3,$B$4,"H1",$A27,"period_net_amount")</f>
        <v/>
      </c>
      <c r="T27" s="9">
        <f>-EPM($B$3,$B$4,"H2",$A27,"period_net_amount")</f>
        <v/>
      </c>
      <c r="U27" s="9">
        <f>-EPM($B$3,$B$4,"FY",$A27,"period_net_amount")</f>
        <v/>
      </c>
    </row>
    <row r="28">
      <c r="A28" s="10" t="inlineStr">
        <is>
          <t>6112015</t>
        </is>
      </c>
      <c r="B28" s="11" t="inlineStr">
        <is>
          <t>COGS - Materials &amp; Services</t>
        </is>
      </c>
      <c r="C28" s="12">
        <f>-EPM($B$3,$B$4,1,$A28,"period_net_amount")</f>
        <v/>
      </c>
      <c r="D28" s="12">
        <f>-EPM($B$3,$B$4,2,$A28,"period_net_amount")</f>
        <v/>
      </c>
      <c r="E28" s="12">
        <f>-EPM($B$3,$B$4,3,$A28,"period_net_amount")</f>
        <v/>
      </c>
      <c r="F28" s="12">
        <f>-EPM($B$3,$B$4,"Q1",$A28,"period_net_amount")</f>
        <v/>
      </c>
      <c r="G28" s="12">
        <f>-EPM($B$3,$B$4,4,$A28,"period_net_amount")</f>
        <v/>
      </c>
      <c r="H28" s="12">
        <f>-EPM($B$3,$B$4,5,$A28,"period_net_amount")</f>
        <v/>
      </c>
      <c r="I28" s="12">
        <f>-EPM($B$3,$B$4,6,$A28,"period_net_amount")</f>
        <v/>
      </c>
      <c r="J28" s="12">
        <f>-EPM($B$3,$B$4,"Q2",$A28,"period_net_amount")</f>
        <v/>
      </c>
      <c r="K28" s="12">
        <f>-EPM($B$3,$B$4,7,$A28,"period_net_amount")</f>
        <v/>
      </c>
      <c r="L28" s="12">
        <f>-EPM($B$3,$B$4,8,$A28,"period_net_amount")</f>
        <v/>
      </c>
      <c r="M28" s="12">
        <f>-EPM($B$3,$B$4,9,$A28,"period_net_amount")</f>
        <v/>
      </c>
      <c r="N28" s="12">
        <f>-EPM($B$3,$B$4,"Q3",$A28,"period_net_amount")</f>
        <v/>
      </c>
      <c r="O28" s="12">
        <f>-EPM($B$3,$B$4,10,$A28,"period_net_amount")</f>
        <v/>
      </c>
      <c r="P28" s="12">
        <f>-EPM($B$3,$B$4,11,$A28,"period_net_amount")</f>
        <v/>
      </c>
      <c r="Q28" s="12">
        <f>-EPM($B$3,$B$4,12,$A28,"period_net_amount")</f>
        <v/>
      </c>
      <c r="R28" s="12">
        <f>-EPM($B$3,$B$4,"Q4",$A28,"period_net_amount")</f>
        <v/>
      </c>
      <c r="S28" s="12">
        <f>-EPM($B$3,$B$4,"H1",$A28,"period_net_amount")</f>
        <v/>
      </c>
      <c r="T28" s="12">
        <f>-EPM($B$3,$B$4,"H2",$A28,"period_net_amount")</f>
        <v/>
      </c>
      <c r="U28" s="12">
        <f>-EPM($B$3,$B$4,"FY",$A28,"period_net_amount")</f>
        <v/>
      </c>
    </row>
    <row r="29">
      <c r="A29" s="13" t="n"/>
      <c r="B29" s="14" t="inlineStr">
        <is>
          <t>Total COGS</t>
        </is>
      </c>
      <c r="C29" s="15">
        <f>C21+C22+C23+C24+C25+C26+C27+C28</f>
        <v/>
      </c>
      <c r="D29" s="15">
        <f>D21+D22+D23+D24+D25+D26+D27+D28</f>
        <v/>
      </c>
      <c r="E29" s="15">
        <f>E21+E22+E23+E24+E25+E26+E27+E28</f>
        <v/>
      </c>
      <c r="F29" s="15">
        <f>F21+F22+F23+F24+F25+F26+F27+F28</f>
        <v/>
      </c>
      <c r="G29" s="15">
        <f>G21+G22+G23+G24+G25+G26+G27+G28</f>
        <v/>
      </c>
      <c r="H29" s="15">
        <f>H21+H22+H23+H24+H25+H26+H27+H28</f>
        <v/>
      </c>
      <c r="I29" s="15">
        <f>I21+I22+I23+I24+I25+I26+I27+I28</f>
        <v/>
      </c>
      <c r="J29" s="15">
        <f>J21+J22+J23+J24+J25+J26+J27+J28</f>
        <v/>
      </c>
      <c r="K29" s="15">
        <f>K21+K22+K23+K24+K25+K26+K27+K28</f>
        <v/>
      </c>
      <c r="L29" s="15">
        <f>L21+L22+L23+L24+L25+L26+L27+L28</f>
        <v/>
      </c>
      <c r="M29" s="15">
        <f>M21+M22+M23+M24+M25+M26+M27+M28</f>
        <v/>
      </c>
      <c r="N29" s="15">
        <f>N21+N22+N23+N24+N25+N26+N27+N28</f>
        <v/>
      </c>
      <c r="O29" s="15">
        <f>O21+O22+O23+O24+O25+O26+O27+O28</f>
        <v/>
      </c>
      <c r="P29" s="15">
        <f>P21+P22+P23+P24+P25+P26+P27+P28</f>
        <v/>
      </c>
      <c r="Q29" s="15">
        <f>Q21+Q22+Q23+Q24+Q25+Q26+Q27+Q28</f>
        <v/>
      </c>
      <c r="R29" s="15">
        <f>R21+R22+R23+R24+R25+R26+R27+R28</f>
        <v/>
      </c>
      <c r="S29" s="15">
        <f>S21+S22+S23+S24+S25+S26+S27+S28</f>
        <v/>
      </c>
      <c r="T29" s="15">
        <f>T21+T22+T23+T24+T25+T26+T27+T28</f>
        <v/>
      </c>
      <c r="U29" s="15">
        <f>U21+U22+U23+U24+U25+U26+U27+U28</f>
        <v/>
      </c>
    </row>
    <row r="31">
      <c r="A31" s="13" t="n"/>
      <c r="B31" s="16" t="inlineStr">
        <is>
          <t>Gross Profit</t>
        </is>
      </c>
      <c r="C31" s="17">
        <f>C18+C29</f>
        <v/>
      </c>
      <c r="D31" s="17">
        <f>D18+D29</f>
        <v/>
      </c>
      <c r="E31" s="17">
        <f>E18+E29</f>
        <v/>
      </c>
      <c r="F31" s="17">
        <f>F18+F29</f>
        <v/>
      </c>
      <c r="G31" s="17">
        <f>G18+G29</f>
        <v/>
      </c>
      <c r="H31" s="17">
        <f>H18+H29</f>
        <v/>
      </c>
      <c r="I31" s="17">
        <f>I18+I29</f>
        <v/>
      </c>
      <c r="J31" s="17">
        <f>J18+J29</f>
        <v/>
      </c>
      <c r="K31" s="17">
        <f>K18+K29</f>
        <v/>
      </c>
      <c r="L31" s="17">
        <f>L18+L29</f>
        <v/>
      </c>
      <c r="M31" s="17">
        <f>M18+M29</f>
        <v/>
      </c>
      <c r="N31" s="17">
        <f>N18+N29</f>
        <v/>
      </c>
      <c r="O31" s="17">
        <f>O18+O29</f>
        <v/>
      </c>
      <c r="P31" s="17">
        <f>P18+P29</f>
        <v/>
      </c>
      <c r="Q31" s="17">
        <f>Q18+Q29</f>
        <v/>
      </c>
      <c r="R31" s="17">
        <f>R18+R29</f>
        <v/>
      </c>
      <c r="S31" s="17">
        <f>S18+S29</f>
        <v/>
      </c>
      <c r="T31" s="17">
        <f>T18+T29</f>
        <v/>
      </c>
      <c r="U31" s="17">
        <f>U18+U29</f>
        <v/>
      </c>
    </row>
    <row r="33">
      <c r="B33" s="3" t="inlineStr">
        <is>
          <t>Operating Expenses</t>
        </is>
      </c>
    </row>
    <row r="34">
      <c r="A34" s="7" t="inlineStr">
        <is>
          <t>600180</t>
        </is>
      </c>
      <c r="B34" s="8" t="inlineStr">
        <is>
          <t>Raw Materials Receipts</t>
        </is>
      </c>
      <c r="C34" s="9">
        <f>-EPM($B$3,$B$4,1,$A34,"period_net_amount")</f>
        <v/>
      </c>
      <c r="D34" s="9">
        <f>-EPM($B$3,$B$4,2,$A34,"period_net_amount")</f>
        <v/>
      </c>
      <c r="E34" s="9">
        <f>-EPM($B$3,$B$4,3,$A34,"period_net_amount")</f>
        <v/>
      </c>
      <c r="F34" s="9">
        <f>-EPM($B$3,$B$4,"Q1",$A34,"period_net_amount")</f>
        <v/>
      </c>
      <c r="G34" s="9">
        <f>-EPM($B$3,$B$4,4,$A34,"period_net_amount")</f>
        <v/>
      </c>
      <c r="H34" s="9">
        <f>-EPM($B$3,$B$4,5,$A34,"period_net_amount")</f>
        <v/>
      </c>
      <c r="I34" s="9">
        <f>-EPM($B$3,$B$4,6,$A34,"period_net_amount")</f>
        <v/>
      </c>
      <c r="J34" s="9">
        <f>-EPM($B$3,$B$4,"Q2",$A34,"period_net_amount")</f>
        <v/>
      </c>
      <c r="K34" s="9">
        <f>-EPM($B$3,$B$4,7,$A34,"period_net_amount")</f>
        <v/>
      </c>
      <c r="L34" s="9">
        <f>-EPM($B$3,$B$4,8,$A34,"period_net_amount")</f>
        <v/>
      </c>
      <c r="M34" s="9">
        <f>-EPM($B$3,$B$4,9,$A34,"period_net_amount")</f>
        <v/>
      </c>
      <c r="N34" s="9">
        <f>-EPM($B$3,$B$4,"Q3",$A34,"period_net_amount")</f>
        <v/>
      </c>
      <c r="O34" s="9">
        <f>-EPM($B$3,$B$4,10,$A34,"period_net_amount")</f>
        <v/>
      </c>
      <c r="P34" s="9">
        <f>-EPM($B$3,$B$4,11,$A34,"period_net_amount")</f>
        <v/>
      </c>
      <c r="Q34" s="9">
        <f>-EPM($B$3,$B$4,12,$A34,"period_net_amount")</f>
        <v/>
      </c>
      <c r="R34" s="9">
        <f>-EPM($B$3,$B$4,"Q4",$A34,"period_net_amount")</f>
        <v/>
      </c>
      <c r="S34" s="9">
        <f>-EPM($B$3,$B$4,"H1",$A34,"period_net_amount")</f>
        <v/>
      </c>
      <c r="T34" s="9">
        <f>-EPM($B$3,$B$4,"H2",$A34,"period_net_amount")</f>
        <v/>
      </c>
      <c r="U34" s="9">
        <f>-EPM($B$3,$B$4,"FY",$A34,"period_net_amount")</f>
        <v/>
      </c>
    </row>
    <row r="35">
      <c r="A35" s="10" t="inlineStr">
        <is>
          <t>601200</t>
        </is>
      </c>
      <c r="B35" s="11" t="inlineStr">
        <is>
          <t>Selling Expense</t>
        </is>
      </c>
      <c r="C35" s="12">
        <f>-EPM($B$3,$B$4,1,$A35,"period_net_amount")</f>
        <v/>
      </c>
      <c r="D35" s="12">
        <f>-EPM($B$3,$B$4,2,$A35,"period_net_amount")</f>
        <v/>
      </c>
      <c r="E35" s="12">
        <f>-EPM($B$3,$B$4,3,$A35,"period_net_amount")</f>
        <v/>
      </c>
      <c r="F35" s="12">
        <f>-EPM($B$3,$B$4,"Q1",$A35,"period_net_amount")</f>
        <v/>
      </c>
      <c r="G35" s="12">
        <f>-EPM($B$3,$B$4,4,$A35,"period_net_amount")</f>
        <v/>
      </c>
      <c r="H35" s="12">
        <f>-EPM($B$3,$B$4,5,$A35,"period_net_amount")</f>
        <v/>
      </c>
      <c r="I35" s="12">
        <f>-EPM($B$3,$B$4,6,$A35,"period_net_amount")</f>
        <v/>
      </c>
      <c r="J35" s="12">
        <f>-EPM($B$3,$B$4,"Q2",$A35,"period_net_amount")</f>
        <v/>
      </c>
      <c r="K35" s="12">
        <f>-EPM($B$3,$B$4,7,$A35,"period_net_amount")</f>
        <v/>
      </c>
      <c r="L35" s="12">
        <f>-EPM($B$3,$B$4,8,$A35,"period_net_amount")</f>
        <v/>
      </c>
      <c r="M35" s="12">
        <f>-EPM($B$3,$B$4,9,$A35,"period_net_amount")</f>
        <v/>
      </c>
      <c r="N35" s="12">
        <f>-EPM($B$3,$B$4,"Q3",$A35,"period_net_amount")</f>
        <v/>
      </c>
      <c r="O35" s="12">
        <f>-EPM($B$3,$B$4,10,$A35,"period_net_amount")</f>
        <v/>
      </c>
      <c r="P35" s="12">
        <f>-EPM($B$3,$B$4,11,$A35,"period_net_amount")</f>
        <v/>
      </c>
      <c r="Q35" s="12">
        <f>-EPM($B$3,$B$4,12,$A35,"period_net_amount")</f>
        <v/>
      </c>
      <c r="R35" s="12">
        <f>-EPM($B$3,$B$4,"Q4",$A35,"period_net_amount")</f>
        <v/>
      </c>
      <c r="S35" s="12">
        <f>-EPM($B$3,$B$4,"H1",$A35,"period_net_amount")</f>
        <v/>
      </c>
      <c r="T35" s="12">
        <f>-EPM($B$3,$B$4,"H2",$A35,"period_net_amount")</f>
        <v/>
      </c>
      <c r="U35" s="12">
        <f>-EPM($B$3,$B$4,"FY",$A35,"period_net_amount")</f>
        <v/>
      </c>
    </row>
    <row r="36">
      <c r="A36" s="7" t="inlineStr">
        <is>
          <t>601300</t>
        </is>
      </c>
      <c r="B36" s="8" t="inlineStr">
        <is>
          <t>Advertising Expense</t>
        </is>
      </c>
      <c r="C36" s="9">
        <f>-EPM($B$3,$B$4,1,$A36,"period_net_amount")</f>
        <v/>
      </c>
      <c r="D36" s="9">
        <f>-EPM($B$3,$B$4,2,$A36,"period_net_amount")</f>
        <v/>
      </c>
      <c r="E36" s="9">
        <f>-EPM($B$3,$B$4,3,$A36,"period_net_amount")</f>
        <v/>
      </c>
      <c r="F36" s="9">
        <f>-EPM($B$3,$B$4,"Q1",$A36,"period_net_amount")</f>
        <v/>
      </c>
      <c r="G36" s="9">
        <f>-EPM($B$3,$B$4,4,$A36,"period_net_amount")</f>
        <v/>
      </c>
      <c r="H36" s="9">
        <f>-EPM($B$3,$B$4,5,$A36,"period_net_amount")</f>
        <v/>
      </c>
      <c r="I36" s="9">
        <f>-EPM($B$3,$B$4,6,$A36,"period_net_amount")</f>
        <v/>
      </c>
      <c r="J36" s="9">
        <f>-EPM($B$3,$B$4,"Q2",$A36,"period_net_amount")</f>
        <v/>
      </c>
      <c r="K36" s="9">
        <f>-EPM($B$3,$B$4,7,$A36,"period_net_amount")</f>
        <v/>
      </c>
      <c r="L36" s="9">
        <f>-EPM($B$3,$B$4,8,$A36,"period_net_amount")</f>
        <v/>
      </c>
      <c r="M36" s="9">
        <f>-EPM($B$3,$B$4,9,$A36,"period_net_amount")</f>
        <v/>
      </c>
      <c r="N36" s="9">
        <f>-EPM($B$3,$B$4,"Q3",$A36,"period_net_amount")</f>
        <v/>
      </c>
      <c r="O36" s="9">
        <f>-EPM($B$3,$B$4,10,$A36,"period_net_amount")</f>
        <v/>
      </c>
      <c r="P36" s="9">
        <f>-EPM($B$3,$B$4,11,$A36,"period_net_amount")</f>
        <v/>
      </c>
      <c r="Q36" s="9">
        <f>-EPM($B$3,$B$4,12,$A36,"period_net_amount")</f>
        <v/>
      </c>
      <c r="R36" s="9">
        <f>-EPM($B$3,$B$4,"Q4",$A36,"period_net_amount")</f>
        <v/>
      </c>
      <c r="S36" s="9">
        <f>-EPM($B$3,$B$4,"H1",$A36,"period_net_amount")</f>
        <v/>
      </c>
      <c r="T36" s="9">
        <f>-EPM($B$3,$B$4,"H2",$A36,"period_net_amount")</f>
        <v/>
      </c>
      <c r="U36" s="9">
        <f>-EPM($B$3,$B$4,"FY",$A36,"period_net_amount")</f>
        <v/>
      </c>
    </row>
    <row r="37">
      <c r="A37" s="10" t="inlineStr">
        <is>
          <t>601500</t>
        </is>
      </c>
      <c r="B37" s="11" t="inlineStr">
        <is>
          <t>Travel Expense</t>
        </is>
      </c>
      <c r="C37" s="12">
        <f>-EPM($B$3,$B$4,1,$A37,"period_net_amount")</f>
        <v/>
      </c>
      <c r="D37" s="12">
        <f>-EPM($B$3,$B$4,2,$A37,"period_net_amount")</f>
        <v/>
      </c>
      <c r="E37" s="12">
        <f>-EPM($B$3,$B$4,3,$A37,"period_net_amount")</f>
        <v/>
      </c>
      <c r="F37" s="12">
        <f>-EPM($B$3,$B$4,"Q1",$A37,"period_net_amount")</f>
        <v/>
      </c>
      <c r="G37" s="12">
        <f>-EPM($B$3,$B$4,4,$A37,"period_net_amount")</f>
        <v/>
      </c>
      <c r="H37" s="12">
        <f>-EPM($B$3,$B$4,5,$A37,"period_net_amount")</f>
        <v/>
      </c>
      <c r="I37" s="12">
        <f>-EPM($B$3,$B$4,6,$A37,"period_net_amount")</f>
        <v/>
      </c>
      <c r="J37" s="12">
        <f>-EPM($B$3,$B$4,"Q2",$A37,"period_net_amount")</f>
        <v/>
      </c>
      <c r="K37" s="12">
        <f>-EPM($B$3,$B$4,7,$A37,"period_net_amount")</f>
        <v/>
      </c>
      <c r="L37" s="12">
        <f>-EPM($B$3,$B$4,8,$A37,"period_net_amount")</f>
        <v/>
      </c>
      <c r="M37" s="12">
        <f>-EPM($B$3,$B$4,9,$A37,"period_net_amount")</f>
        <v/>
      </c>
      <c r="N37" s="12">
        <f>-EPM($B$3,$B$4,"Q3",$A37,"period_net_amount")</f>
        <v/>
      </c>
      <c r="O37" s="12">
        <f>-EPM($B$3,$B$4,10,$A37,"period_net_amount")</f>
        <v/>
      </c>
      <c r="P37" s="12">
        <f>-EPM($B$3,$B$4,11,$A37,"period_net_amount")</f>
        <v/>
      </c>
      <c r="Q37" s="12">
        <f>-EPM($B$3,$B$4,12,$A37,"period_net_amount")</f>
        <v/>
      </c>
      <c r="R37" s="12">
        <f>-EPM($B$3,$B$4,"Q4",$A37,"period_net_amount")</f>
        <v/>
      </c>
      <c r="S37" s="12">
        <f>-EPM($B$3,$B$4,"H1",$A37,"period_net_amount")</f>
        <v/>
      </c>
      <c r="T37" s="12">
        <f>-EPM($B$3,$B$4,"H2",$A37,"period_net_amount")</f>
        <v/>
      </c>
      <c r="U37" s="12">
        <f>-EPM($B$3,$B$4,"FY",$A37,"period_net_amount")</f>
        <v/>
      </c>
    </row>
    <row r="38">
      <c r="A38" s="7" t="inlineStr">
        <is>
          <t>602100</t>
        </is>
      </c>
      <c r="B38" s="8" t="inlineStr">
        <is>
          <t>Salaries &amp; Wages</t>
        </is>
      </c>
      <c r="C38" s="9">
        <f>-EPM($B$3,$B$4,1,$A38,"period_net_amount")</f>
        <v/>
      </c>
      <c r="D38" s="9">
        <f>-EPM($B$3,$B$4,2,$A38,"period_net_amount")</f>
        <v/>
      </c>
      <c r="E38" s="9">
        <f>-EPM($B$3,$B$4,3,$A38,"period_net_amount")</f>
        <v/>
      </c>
      <c r="F38" s="9">
        <f>-EPM($B$3,$B$4,"Q1",$A38,"period_net_amount")</f>
        <v/>
      </c>
      <c r="G38" s="9">
        <f>-EPM($B$3,$B$4,4,$A38,"period_net_amount")</f>
        <v/>
      </c>
      <c r="H38" s="9">
        <f>-EPM($B$3,$B$4,5,$A38,"period_net_amount")</f>
        <v/>
      </c>
      <c r="I38" s="9">
        <f>-EPM($B$3,$B$4,6,$A38,"period_net_amount")</f>
        <v/>
      </c>
      <c r="J38" s="9">
        <f>-EPM($B$3,$B$4,"Q2",$A38,"period_net_amount")</f>
        <v/>
      </c>
      <c r="K38" s="9">
        <f>-EPM($B$3,$B$4,7,$A38,"period_net_amount")</f>
        <v/>
      </c>
      <c r="L38" s="9">
        <f>-EPM($B$3,$B$4,8,$A38,"period_net_amount")</f>
        <v/>
      </c>
      <c r="M38" s="9">
        <f>-EPM($B$3,$B$4,9,$A38,"period_net_amount")</f>
        <v/>
      </c>
      <c r="N38" s="9">
        <f>-EPM($B$3,$B$4,"Q3",$A38,"period_net_amount")</f>
        <v/>
      </c>
      <c r="O38" s="9">
        <f>-EPM($B$3,$B$4,10,$A38,"period_net_amount")</f>
        <v/>
      </c>
      <c r="P38" s="9">
        <f>-EPM($B$3,$B$4,11,$A38,"period_net_amount")</f>
        <v/>
      </c>
      <c r="Q38" s="9">
        <f>-EPM($B$3,$B$4,12,$A38,"period_net_amount")</f>
        <v/>
      </c>
      <c r="R38" s="9">
        <f>-EPM($B$3,$B$4,"Q4",$A38,"period_net_amount")</f>
        <v/>
      </c>
      <c r="S38" s="9">
        <f>-EPM($B$3,$B$4,"H1",$A38,"period_net_amount")</f>
        <v/>
      </c>
      <c r="T38" s="9">
        <f>-EPM($B$3,$B$4,"H2",$A38,"period_net_amount")</f>
        <v/>
      </c>
      <c r="U38" s="9">
        <f>-EPM($B$3,$B$4,"FY",$A38,"period_net_amount")</f>
        <v/>
      </c>
    </row>
    <row r="39">
      <c r="A39" s="10" t="inlineStr">
        <is>
          <t>602120</t>
        </is>
      </c>
      <c r="B39" s="11" t="inlineStr">
        <is>
          <t>Payroll Tax</t>
        </is>
      </c>
      <c r="C39" s="12">
        <f>-EPM($B$3,$B$4,1,$A39,"period_net_amount")</f>
        <v/>
      </c>
      <c r="D39" s="12">
        <f>-EPM($B$3,$B$4,2,$A39,"period_net_amount")</f>
        <v/>
      </c>
      <c r="E39" s="12">
        <f>-EPM($B$3,$B$4,3,$A39,"period_net_amount")</f>
        <v/>
      </c>
      <c r="F39" s="12">
        <f>-EPM($B$3,$B$4,"Q1",$A39,"period_net_amount")</f>
        <v/>
      </c>
      <c r="G39" s="12">
        <f>-EPM($B$3,$B$4,4,$A39,"period_net_amount")</f>
        <v/>
      </c>
      <c r="H39" s="12">
        <f>-EPM($B$3,$B$4,5,$A39,"period_net_amount")</f>
        <v/>
      </c>
      <c r="I39" s="12">
        <f>-EPM($B$3,$B$4,6,$A39,"period_net_amount")</f>
        <v/>
      </c>
      <c r="J39" s="12">
        <f>-EPM($B$3,$B$4,"Q2",$A39,"period_net_amount")</f>
        <v/>
      </c>
      <c r="K39" s="12">
        <f>-EPM($B$3,$B$4,7,$A39,"period_net_amount")</f>
        <v/>
      </c>
      <c r="L39" s="12">
        <f>-EPM($B$3,$B$4,8,$A39,"period_net_amount")</f>
        <v/>
      </c>
      <c r="M39" s="12">
        <f>-EPM($B$3,$B$4,9,$A39,"period_net_amount")</f>
        <v/>
      </c>
      <c r="N39" s="12">
        <f>-EPM($B$3,$B$4,"Q3",$A39,"period_net_amount")</f>
        <v/>
      </c>
      <c r="O39" s="12">
        <f>-EPM($B$3,$B$4,10,$A39,"period_net_amount")</f>
        <v/>
      </c>
      <c r="P39" s="12">
        <f>-EPM($B$3,$B$4,11,$A39,"period_net_amount")</f>
        <v/>
      </c>
      <c r="Q39" s="12">
        <f>-EPM($B$3,$B$4,12,$A39,"period_net_amount")</f>
        <v/>
      </c>
      <c r="R39" s="12">
        <f>-EPM($B$3,$B$4,"Q4",$A39,"period_net_amount")</f>
        <v/>
      </c>
      <c r="S39" s="12">
        <f>-EPM($B$3,$B$4,"H1",$A39,"period_net_amount")</f>
        <v/>
      </c>
      <c r="T39" s="12">
        <f>-EPM($B$3,$B$4,"H2",$A39,"period_net_amount")</f>
        <v/>
      </c>
      <c r="U39" s="12">
        <f>-EPM($B$3,$B$4,"FY",$A39,"period_net_amount")</f>
        <v/>
      </c>
    </row>
    <row r="40">
      <c r="A40" s="7" t="inlineStr">
        <is>
          <t>602130</t>
        </is>
      </c>
      <c r="B40" s="8" t="inlineStr">
        <is>
          <t>Health/Life Insurance</t>
        </is>
      </c>
      <c r="C40" s="9">
        <f>-EPM($B$3,$B$4,1,$A40,"period_net_amount")</f>
        <v/>
      </c>
      <c r="D40" s="9">
        <f>-EPM($B$3,$B$4,2,$A40,"period_net_amount")</f>
        <v/>
      </c>
      <c r="E40" s="9">
        <f>-EPM($B$3,$B$4,3,$A40,"period_net_amount")</f>
        <v/>
      </c>
      <c r="F40" s="9">
        <f>-EPM($B$3,$B$4,"Q1",$A40,"period_net_amount")</f>
        <v/>
      </c>
      <c r="G40" s="9">
        <f>-EPM($B$3,$B$4,4,$A40,"period_net_amount")</f>
        <v/>
      </c>
      <c r="H40" s="9">
        <f>-EPM($B$3,$B$4,5,$A40,"period_net_amount")</f>
        <v/>
      </c>
      <c r="I40" s="9">
        <f>-EPM($B$3,$B$4,6,$A40,"period_net_amount")</f>
        <v/>
      </c>
      <c r="J40" s="9">
        <f>-EPM($B$3,$B$4,"Q2",$A40,"period_net_amount")</f>
        <v/>
      </c>
      <c r="K40" s="9">
        <f>-EPM($B$3,$B$4,7,$A40,"period_net_amount")</f>
        <v/>
      </c>
      <c r="L40" s="9">
        <f>-EPM($B$3,$B$4,8,$A40,"period_net_amount")</f>
        <v/>
      </c>
      <c r="M40" s="9">
        <f>-EPM($B$3,$B$4,9,$A40,"period_net_amount")</f>
        <v/>
      </c>
      <c r="N40" s="9">
        <f>-EPM($B$3,$B$4,"Q3",$A40,"period_net_amount")</f>
        <v/>
      </c>
      <c r="O40" s="9">
        <f>-EPM($B$3,$B$4,10,$A40,"period_net_amount")</f>
        <v/>
      </c>
      <c r="P40" s="9">
        <f>-EPM($B$3,$B$4,11,$A40,"period_net_amount")</f>
        <v/>
      </c>
      <c r="Q40" s="9">
        <f>-EPM($B$3,$B$4,12,$A40,"period_net_amount")</f>
        <v/>
      </c>
      <c r="R40" s="9">
        <f>-EPM($B$3,$B$4,"Q4",$A40,"period_net_amount")</f>
        <v/>
      </c>
      <c r="S40" s="9">
        <f>-EPM($B$3,$B$4,"H1",$A40,"period_net_amount")</f>
        <v/>
      </c>
      <c r="T40" s="9">
        <f>-EPM($B$3,$B$4,"H2",$A40,"period_net_amount")</f>
        <v/>
      </c>
      <c r="U40" s="9">
        <f>-EPM($B$3,$B$4,"FY",$A40,"period_net_amount")</f>
        <v/>
      </c>
    </row>
    <row r="41">
      <c r="A41" s="10" t="inlineStr">
        <is>
          <t>602180</t>
        </is>
      </c>
      <c r="B41" s="11" t="inlineStr">
        <is>
          <t>Pension/Profit-Sharing</t>
        </is>
      </c>
      <c r="C41" s="12">
        <f>-EPM($B$3,$B$4,1,$A41,"period_net_amount")</f>
        <v/>
      </c>
      <c r="D41" s="12">
        <f>-EPM($B$3,$B$4,2,$A41,"period_net_amount")</f>
        <v/>
      </c>
      <c r="E41" s="12">
        <f>-EPM($B$3,$B$4,3,$A41,"period_net_amount")</f>
        <v/>
      </c>
      <c r="F41" s="12">
        <f>-EPM($B$3,$B$4,"Q1",$A41,"period_net_amount")</f>
        <v/>
      </c>
      <c r="G41" s="12">
        <f>-EPM($B$3,$B$4,4,$A41,"period_net_amount")</f>
        <v/>
      </c>
      <c r="H41" s="12">
        <f>-EPM($B$3,$B$4,5,$A41,"period_net_amount")</f>
        <v/>
      </c>
      <c r="I41" s="12">
        <f>-EPM($B$3,$B$4,6,$A41,"period_net_amount")</f>
        <v/>
      </c>
      <c r="J41" s="12">
        <f>-EPM($B$3,$B$4,"Q2",$A41,"period_net_amount")</f>
        <v/>
      </c>
      <c r="K41" s="12">
        <f>-EPM($B$3,$B$4,7,$A41,"period_net_amount")</f>
        <v/>
      </c>
      <c r="L41" s="12">
        <f>-EPM($B$3,$B$4,8,$A41,"period_net_amount")</f>
        <v/>
      </c>
      <c r="M41" s="12">
        <f>-EPM($B$3,$B$4,9,$A41,"period_net_amount")</f>
        <v/>
      </c>
      <c r="N41" s="12">
        <f>-EPM($B$3,$B$4,"Q3",$A41,"period_net_amount")</f>
        <v/>
      </c>
      <c r="O41" s="12">
        <f>-EPM($B$3,$B$4,10,$A41,"period_net_amount")</f>
        <v/>
      </c>
      <c r="P41" s="12">
        <f>-EPM($B$3,$B$4,11,$A41,"period_net_amount")</f>
        <v/>
      </c>
      <c r="Q41" s="12">
        <f>-EPM($B$3,$B$4,12,$A41,"period_net_amount")</f>
        <v/>
      </c>
      <c r="R41" s="12">
        <f>-EPM($B$3,$B$4,"Q4",$A41,"period_net_amount")</f>
        <v/>
      </c>
      <c r="S41" s="12">
        <f>-EPM($B$3,$B$4,"H1",$A41,"period_net_amount")</f>
        <v/>
      </c>
      <c r="T41" s="12">
        <f>-EPM($B$3,$B$4,"H2",$A41,"period_net_amount")</f>
        <v/>
      </c>
      <c r="U41" s="12">
        <f>-EPM($B$3,$B$4,"FY",$A41,"period_net_amount")</f>
        <v/>
      </c>
    </row>
    <row r="42">
      <c r="A42" s="7" t="inlineStr">
        <is>
          <t>604500</t>
        </is>
      </c>
      <c r="B42" s="8" t="inlineStr">
        <is>
          <t>Lease Expense</t>
        </is>
      </c>
      <c r="C42" s="9">
        <f>-EPM($B$3,$B$4,1,$A42,"period_net_amount")</f>
        <v/>
      </c>
      <c r="D42" s="9">
        <f>-EPM($B$3,$B$4,2,$A42,"period_net_amount")</f>
        <v/>
      </c>
      <c r="E42" s="9">
        <f>-EPM($B$3,$B$4,3,$A42,"period_net_amount")</f>
        <v/>
      </c>
      <c r="F42" s="9">
        <f>-EPM($B$3,$B$4,"Q1",$A42,"period_net_amount")</f>
        <v/>
      </c>
      <c r="G42" s="9">
        <f>-EPM($B$3,$B$4,4,$A42,"period_net_amount")</f>
        <v/>
      </c>
      <c r="H42" s="9">
        <f>-EPM($B$3,$B$4,5,$A42,"period_net_amount")</f>
        <v/>
      </c>
      <c r="I42" s="9">
        <f>-EPM($B$3,$B$4,6,$A42,"period_net_amount")</f>
        <v/>
      </c>
      <c r="J42" s="9">
        <f>-EPM($B$3,$B$4,"Q2",$A42,"period_net_amount")</f>
        <v/>
      </c>
      <c r="K42" s="9">
        <f>-EPM($B$3,$B$4,7,$A42,"period_net_amount")</f>
        <v/>
      </c>
      <c r="L42" s="9">
        <f>-EPM($B$3,$B$4,8,$A42,"period_net_amount")</f>
        <v/>
      </c>
      <c r="M42" s="9">
        <f>-EPM($B$3,$B$4,9,$A42,"period_net_amount")</f>
        <v/>
      </c>
      <c r="N42" s="9">
        <f>-EPM($B$3,$B$4,"Q3",$A42,"period_net_amount")</f>
        <v/>
      </c>
      <c r="O42" s="9">
        <f>-EPM($B$3,$B$4,10,$A42,"period_net_amount")</f>
        <v/>
      </c>
      <c r="P42" s="9">
        <f>-EPM($B$3,$B$4,11,$A42,"period_net_amount")</f>
        <v/>
      </c>
      <c r="Q42" s="9">
        <f>-EPM($B$3,$B$4,12,$A42,"period_net_amount")</f>
        <v/>
      </c>
      <c r="R42" s="9">
        <f>-EPM($B$3,$B$4,"Q4",$A42,"period_net_amount")</f>
        <v/>
      </c>
      <c r="S42" s="9">
        <f>-EPM($B$3,$B$4,"H1",$A42,"period_net_amount")</f>
        <v/>
      </c>
      <c r="T42" s="9">
        <f>-EPM($B$3,$B$4,"H2",$A42,"period_net_amount")</f>
        <v/>
      </c>
      <c r="U42" s="9">
        <f>-EPM($B$3,$B$4,"FY",$A42,"period_net_amount")</f>
        <v/>
      </c>
    </row>
    <row r="43">
      <c r="A43" s="10" t="inlineStr">
        <is>
          <t>605150</t>
        </is>
      </c>
      <c r="B43" s="11" t="inlineStr">
        <is>
          <t>Rent Expense</t>
        </is>
      </c>
      <c r="C43" s="12">
        <f>-EPM($B$3,$B$4,1,$A43,"period_net_amount")</f>
        <v/>
      </c>
      <c r="D43" s="12">
        <f>-EPM($B$3,$B$4,2,$A43,"period_net_amount")</f>
        <v/>
      </c>
      <c r="E43" s="12">
        <f>-EPM($B$3,$B$4,3,$A43,"period_net_amount")</f>
        <v/>
      </c>
      <c r="F43" s="12">
        <f>-EPM($B$3,$B$4,"Q1",$A43,"period_net_amount")</f>
        <v/>
      </c>
      <c r="G43" s="12">
        <f>-EPM($B$3,$B$4,4,$A43,"period_net_amount")</f>
        <v/>
      </c>
      <c r="H43" s="12">
        <f>-EPM($B$3,$B$4,5,$A43,"period_net_amount")</f>
        <v/>
      </c>
      <c r="I43" s="12">
        <f>-EPM($B$3,$B$4,6,$A43,"period_net_amount")</f>
        <v/>
      </c>
      <c r="J43" s="12">
        <f>-EPM($B$3,$B$4,"Q2",$A43,"period_net_amount")</f>
        <v/>
      </c>
      <c r="K43" s="12">
        <f>-EPM($B$3,$B$4,7,$A43,"period_net_amount")</f>
        <v/>
      </c>
      <c r="L43" s="12">
        <f>-EPM($B$3,$B$4,8,$A43,"period_net_amount")</f>
        <v/>
      </c>
      <c r="M43" s="12">
        <f>-EPM($B$3,$B$4,9,$A43,"period_net_amount")</f>
        <v/>
      </c>
      <c r="N43" s="12">
        <f>-EPM($B$3,$B$4,"Q3",$A43,"period_net_amount")</f>
        <v/>
      </c>
      <c r="O43" s="12">
        <f>-EPM($B$3,$B$4,10,$A43,"period_net_amount")</f>
        <v/>
      </c>
      <c r="P43" s="12">
        <f>-EPM($B$3,$B$4,11,$A43,"period_net_amount")</f>
        <v/>
      </c>
      <c r="Q43" s="12">
        <f>-EPM($B$3,$B$4,12,$A43,"period_net_amount")</f>
        <v/>
      </c>
      <c r="R43" s="12">
        <f>-EPM($B$3,$B$4,"Q4",$A43,"period_net_amount")</f>
        <v/>
      </c>
      <c r="S43" s="12">
        <f>-EPM($B$3,$B$4,"H1",$A43,"period_net_amount")</f>
        <v/>
      </c>
      <c r="T43" s="12">
        <f>-EPM($B$3,$B$4,"H2",$A43,"period_net_amount")</f>
        <v/>
      </c>
      <c r="U43" s="12">
        <f>-EPM($B$3,$B$4,"FY",$A43,"period_net_amount")</f>
        <v/>
      </c>
    </row>
    <row r="44">
      <c r="A44" s="7" t="inlineStr">
        <is>
          <t>605160</t>
        </is>
      </c>
      <c r="B44" s="8" t="inlineStr">
        <is>
          <t>Utilities</t>
        </is>
      </c>
      <c r="C44" s="9">
        <f>-EPM($B$3,$B$4,1,$A44,"period_net_amount")</f>
        <v/>
      </c>
      <c r="D44" s="9">
        <f>-EPM($B$3,$B$4,2,$A44,"period_net_amount")</f>
        <v/>
      </c>
      <c r="E44" s="9">
        <f>-EPM($B$3,$B$4,3,$A44,"period_net_amount")</f>
        <v/>
      </c>
      <c r="F44" s="9">
        <f>-EPM($B$3,$B$4,"Q1",$A44,"period_net_amount")</f>
        <v/>
      </c>
      <c r="G44" s="9">
        <f>-EPM($B$3,$B$4,4,$A44,"period_net_amount")</f>
        <v/>
      </c>
      <c r="H44" s="9">
        <f>-EPM($B$3,$B$4,5,$A44,"period_net_amount")</f>
        <v/>
      </c>
      <c r="I44" s="9">
        <f>-EPM($B$3,$B$4,6,$A44,"period_net_amount")</f>
        <v/>
      </c>
      <c r="J44" s="9">
        <f>-EPM($B$3,$B$4,"Q2",$A44,"period_net_amount")</f>
        <v/>
      </c>
      <c r="K44" s="9">
        <f>-EPM($B$3,$B$4,7,$A44,"period_net_amount")</f>
        <v/>
      </c>
      <c r="L44" s="9">
        <f>-EPM($B$3,$B$4,8,$A44,"period_net_amount")</f>
        <v/>
      </c>
      <c r="M44" s="9">
        <f>-EPM($B$3,$B$4,9,$A44,"period_net_amount")</f>
        <v/>
      </c>
      <c r="N44" s="9">
        <f>-EPM($B$3,$B$4,"Q3",$A44,"period_net_amount")</f>
        <v/>
      </c>
      <c r="O44" s="9">
        <f>-EPM($B$3,$B$4,10,$A44,"period_net_amount")</f>
        <v/>
      </c>
      <c r="P44" s="9">
        <f>-EPM($B$3,$B$4,11,$A44,"period_net_amount")</f>
        <v/>
      </c>
      <c r="Q44" s="9">
        <f>-EPM($B$3,$B$4,12,$A44,"period_net_amount")</f>
        <v/>
      </c>
      <c r="R44" s="9">
        <f>-EPM($B$3,$B$4,"Q4",$A44,"period_net_amount")</f>
        <v/>
      </c>
      <c r="S44" s="9">
        <f>-EPM($B$3,$B$4,"H1",$A44,"period_net_amount")</f>
        <v/>
      </c>
      <c r="T44" s="9">
        <f>-EPM($B$3,$B$4,"H2",$A44,"period_net_amount")</f>
        <v/>
      </c>
      <c r="U44" s="9">
        <f>-EPM($B$3,$B$4,"FY",$A44,"period_net_amount")</f>
        <v/>
      </c>
    </row>
    <row r="45">
      <c r="A45" s="10" t="inlineStr">
        <is>
          <t>606200</t>
        </is>
      </c>
      <c r="B45" s="11" t="inlineStr">
        <is>
          <t>Insurance Expense</t>
        </is>
      </c>
      <c r="C45" s="12">
        <f>-EPM($B$3,$B$4,1,$A45,"period_net_amount")</f>
        <v/>
      </c>
      <c r="D45" s="12">
        <f>-EPM($B$3,$B$4,2,$A45,"period_net_amount")</f>
        <v/>
      </c>
      <c r="E45" s="12">
        <f>-EPM($B$3,$B$4,3,$A45,"period_net_amount")</f>
        <v/>
      </c>
      <c r="F45" s="12">
        <f>-EPM($B$3,$B$4,"Q1",$A45,"period_net_amount")</f>
        <v/>
      </c>
      <c r="G45" s="12">
        <f>-EPM($B$3,$B$4,4,$A45,"period_net_amount")</f>
        <v/>
      </c>
      <c r="H45" s="12">
        <f>-EPM($B$3,$B$4,5,$A45,"period_net_amount")</f>
        <v/>
      </c>
      <c r="I45" s="12">
        <f>-EPM($B$3,$B$4,6,$A45,"period_net_amount")</f>
        <v/>
      </c>
      <c r="J45" s="12">
        <f>-EPM($B$3,$B$4,"Q2",$A45,"period_net_amount")</f>
        <v/>
      </c>
      <c r="K45" s="12">
        <f>-EPM($B$3,$B$4,7,$A45,"period_net_amount")</f>
        <v/>
      </c>
      <c r="L45" s="12">
        <f>-EPM($B$3,$B$4,8,$A45,"period_net_amount")</f>
        <v/>
      </c>
      <c r="M45" s="12">
        <f>-EPM($B$3,$B$4,9,$A45,"period_net_amount")</f>
        <v/>
      </c>
      <c r="N45" s="12">
        <f>-EPM($B$3,$B$4,"Q3",$A45,"period_net_amount")</f>
        <v/>
      </c>
      <c r="O45" s="12">
        <f>-EPM($B$3,$B$4,10,$A45,"period_net_amount")</f>
        <v/>
      </c>
      <c r="P45" s="12">
        <f>-EPM($B$3,$B$4,11,$A45,"period_net_amount")</f>
        <v/>
      </c>
      <c r="Q45" s="12">
        <f>-EPM($B$3,$B$4,12,$A45,"period_net_amount")</f>
        <v/>
      </c>
      <c r="R45" s="12">
        <f>-EPM($B$3,$B$4,"Q4",$A45,"period_net_amount")</f>
        <v/>
      </c>
      <c r="S45" s="12">
        <f>-EPM($B$3,$B$4,"H1",$A45,"period_net_amount")</f>
        <v/>
      </c>
      <c r="T45" s="12">
        <f>-EPM($B$3,$B$4,"H2",$A45,"period_net_amount")</f>
        <v/>
      </c>
      <c r="U45" s="12">
        <f>-EPM($B$3,$B$4,"FY",$A45,"period_net_amount")</f>
        <v/>
      </c>
    </row>
    <row r="46">
      <c r="A46" s="7" t="inlineStr">
        <is>
          <t>606300</t>
        </is>
      </c>
      <c r="B46" s="8" t="inlineStr">
        <is>
          <t>Office Expense</t>
        </is>
      </c>
      <c r="C46" s="9">
        <f>-EPM($B$3,$B$4,1,$A46,"period_net_amount")</f>
        <v/>
      </c>
      <c r="D46" s="9">
        <f>-EPM($B$3,$B$4,2,$A46,"period_net_amount")</f>
        <v/>
      </c>
      <c r="E46" s="9">
        <f>-EPM($B$3,$B$4,3,$A46,"period_net_amount")</f>
        <v/>
      </c>
      <c r="F46" s="9">
        <f>-EPM($B$3,$B$4,"Q1",$A46,"period_net_amount")</f>
        <v/>
      </c>
      <c r="G46" s="9">
        <f>-EPM($B$3,$B$4,4,$A46,"period_net_amount")</f>
        <v/>
      </c>
      <c r="H46" s="9">
        <f>-EPM($B$3,$B$4,5,$A46,"period_net_amount")</f>
        <v/>
      </c>
      <c r="I46" s="9">
        <f>-EPM($B$3,$B$4,6,$A46,"period_net_amount")</f>
        <v/>
      </c>
      <c r="J46" s="9">
        <f>-EPM($B$3,$B$4,"Q2",$A46,"period_net_amount")</f>
        <v/>
      </c>
      <c r="K46" s="9">
        <f>-EPM($B$3,$B$4,7,$A46,"period_net_amount")</f>
        <v/>
      </c>
      <c r="L46" s="9">
        <f>-EPM($B$3,$B$4,8,$A46,"period_net_amount")</f>
        <v/>
      </c>
      <c r="M46" s="9">
        <f>-EPM($B$3,$B$4,9,$A46,"period_net_amount")</f>
        <v/>
      </c>
      <c r="N46" s="9">
        <f>-EPM($B$3,$B$4,"Q3",$A46,"period_net_amount")</f>
        <v/>
      </c>
      <c r="O46" s="9">
        <f>-EPM($B$3,$B$4,10,$A46,"period_net_amount")</f>
        <v/>
      </c>
      <c r="P46" s="9">
        <f>-EPM($B$3,$B$4,11,$A46,"period_net_amount")</f>
        <v/>
      </c>
      <c r="Q46" s="9">
        <f>-EPM($B$3,$B$4,12,$A46,"period_net_amount")</f>
        <v/>
      </c>
      <c r="R46" s="9">
        <f>-EPM($B$3,$B$4,"Q4",$A46,"period_net_amount")</f>
        <v/>
      </c>
      <c r="S46" s="9">
        <f>-EPM($B$3,$B$4,"H1",$A46,"period_net_amount")</f>
        <v/>
      </c>
      <c r="T46" s="9">
        <f>-EPM($B$3,$B$4,"H2",$A46,"period_net_amount")</f>
        <v/>
      </c>
      <c r="U46" s="9">
        <f>-EPM($B$3,$B$4,"FY",$A46,"period_net_amount")</f>
        <v/>
      </c>
    </row>
    <row r="47">
      <c r="A47" s="10" t="inlineStr">
        <is>
          <t>607200</t>
        </is>
      </c>
      <c r="B47" s="11" t="inlineStr">
        <is>
          <t>Depreciation - Tangible</t>
        </is>
      </c>
      <c r="C47" s="12">
        <f>-EPM($B$3,$B$4,1,$A47,"period_net_amount")</f>
        <v/>
      </c>
      <c r="D47" s="12">
        <f>-EPM($B$3,$B$4,2,$A47,"period_net_amount")</f>
        <v/>
      </c>
      <c r="E47" s="12">
        <f>-EPM($B$3,$B$4,3,$A47,"period_net_amount")</f>
        <v/>
      </c>
      <c r="F47" s="12">
        <f>-EPM($B$3,$B$4,"Q1",$A47,"period_net_amount")</f>
        <v/>
      </c>
      <c r="G47" s="12">
        <f>-EPM($B$3,$B$4,4,$A47,"period_net_amount")</f>
        <v/>
      </c>
      <c r="H47" s="12">
        <f>-EPM($B$3,$B$4,5,$A47,"period_net_amount")</f>
        <v/>
      </c>
      <c r="I47" s="12">
        <f>-EPM($B$3,$B$4,6,$A47,"period_net_amount")</f>
        <v/>
      </c>
      <c r="J47" s="12">
        <f>-EPM($B$3,$B$4,"Q2",$A47,"period_net_amount")</f>
        <v/>
      </c>
      <c r="K47" s="12">
        <f>-EPM($B$3,$B$4,7,$A47,"period_net_amount")</f>
        <v/>
      </c>
      <c r="L47" s="12">
        <f>-EPM($B$3,$B$4,8,$A47,"period_net_amount")</f>
        <v/>
      </c>
      <c r="M47" s="12">
        <f>-EPM($B$3,$B$4,9,$A47,"period_net_amount")</f>
        <v/>
      </c>
      <c r="N47" s="12">
        <f>-EPM($B$3,$B$4,"Q3",$A47,"period_net_amount")</f>
        <v/>
      </c>
      <c r="O47" s="12">
        <f>-EPM($B$3,$B$4,10,$A47,"period_net_amount")</f>
        <v/>
      </c>
      <c r="P47" s="12">
        <f>-EPM($B$3,$B$4,11,$A47,"period_net_amount")</f>
        <v/>
      </c>
      <c r="Q47" s="12">
        <f>-EPM($B$3,$B$4,12,$A47,"period_net_amount")</f>
        <v/>
      </c>
      <c r="R47" s="12">
        <f>-EPM($B$3,$B$4,"Q4",$A47,"period_net_amount")</f>
        <v/>
      </c>
      <c r="S47" s="12">
        <f>-EPM($B$3,$B$4,"H1",$A47,"period_net_amount")</f>
        <v/>
      </c>
      <c r="T47" s="12">
        <f>-EPM($B$3,$B$4,"H2",$A47,"period_net_amount")</f>
        <v/>
      </c>
      <c r="U47" s="12">
        <f>-EPM($B$3,$B$4,"FY",$A47,"period_net_amount")</f>
        <v/>
      </c>
    </row>
    <row r="48">
      <c r="A48" s="7" t="inlineStr">
        <is>
          <t>618900</t>
        </is>
      </c>
      <c r="B48" s="8" t="inlineStr">
        <is>
          <t>Miscellaneous Expense</t>
        </is>
      </c>
      <c r="C48" s="9">
        <f>-EPM($B$3,$B$4,1,$A48,"period_net_amount")</f>
        <v/>
      </c>
      <c r="D48" s="9">
        <f>-EPM($B$3,$B$4,2,$A48,"period_net_amount")</f>
        <v/>
      </c>
      <c r="E48" s="9">
        <f>-EPM($B$3,$B$4,3,$A48,"period_net_amount")</f>
        <v/>
      </c>
      <c r="F48" s="9">
        <f>-EPM($B$3,$B$4,"Q1",$A48,"period_net_amount")</f>
        <v/>
      </c>
      <c r="G48" s="9">
        <f>-EPM($B$3,$B$4,4,$A48,"period_net_amount")</f>
        <v/>
      </c>
      <c r="H48" s="9">
        <f>-EPM($B$3,$B$4,5,$A48,"period_net_amount")</f>
        <v/>
      </c>
      <c r="I48" s="9">
        <f>-EPM($B$3,$B$4,6,$A48,"period_net_amount")</f>
        <v/>
      </c>
      <c r="J48" s="9">
        <f>-EPM($B$3,$B$4,"Q2",$A48,"period_net_amount")</f>
        <v/>
      </c>
      <c r="K48" s="9">
        <f>-EPM($B$3,$B$4,7,$A48,"period_net_amount")</f>
        <v/>
      </c>
      <c r="L48" s="9">
        <f>-EPM($B$3,$B$4,8,$A48,"period_net_amount")</f>
        <v/>
      </c>
      <c r="M48" s="9">
        <f>-EPM($B$3,$B$4,9,$A48,"period_net_amount")</f>
        <v/>
      </c>
      <c r="N48" s="9">
        <f>-EPM($B$3,$B$4,"Q3",$A48,"period_net_amount")</f>
        <v/>
      </c>
      <c r="O48" s="9">
        <f>-EPM($B$3,$B$4,10,$A48,"period_net_amount")</f>
        <v/>
      </c>
      <c r="P48" s="9">
        <f>-EPM($B$3,$B$4,11,$A48,"period_net_amount")</f>
        <v/>
      </c>
      <c r="Q48" s="9">
        <f>-EPM($B$3,$B$4,12,$A48,"period_net_amount")</f>
        <v/>
      </c>
      <c r="R48" s="9">
        <f>-EPM($B$3,$B$4,"Q4",$A48,"period_net_amount")</f>
        <v/>
      </c>
      <c r="S48" s="9">
        <f>-EPM($B$3,$B$4,"H1",$A48,"period_net_amount")</f>
        <v/>
      </c>
      <c r="T48" s="9">
        <f>-EPM($B$3,$B$4,"H2",$A48,"period_net_amount")</f>
        <v/>
      </c>
      <c r="U48" s="9">
        <f>-EPM($B$3,$B$4,"FY",$A48,"period_net_amount")</f>
        <v/>
      </c>
    </row>
    <row r="49">
      <c r="A49" s="13" t="n"/>
      <c r="B49" s="14" t="inlineStr">
        <is>
          <t>Total Operating Expenses</t>
        </is>
      </c>
      <c r="C49" s="15">
        <f>C34+C35+C36+C37+C38+C39+C40+C41+C42+C43+C44+C45+C46+C47+C48</f>
        <v/>
      </c>
      <c r="D49" s="15">
        <f>D34+D35+D36+D37+D38+D39+D40+D41+D42+D43+D44+D45+D46+D47+D48</f>
        <v/>
      </c>
      <c r="E49" s="15">
        <f>E34+E35+E36+E37+E38+E39+E40+E41+E42+E43+E44+E45+E46+E47+E48</f>
        <v/>
      </c>
      <c r="F49" s="15">
        <f>F34+F35+F36+F37+F38+F39+F40+F41+F42+F43+F44+F45+F46+F47+F48</f>
        <v/>
      </c>
      <c r="G49" s="15">
        <f>G34+G35+G36+G37+G38+G39+G40+G41+G42+G43+G44+G45+G46+G47+G48</f>
        <v/>
      </c>
      <c r="H49" s="15">
        <f>H34+H35+H36+H37+H38+H39+H40+H41+H42+H43+H44+H45+H46+H47+H48</f>
        <v/>
      </c>
      <c r="I49" s="15">
        <f>I34+I35+I36+I37+I38+I39+I40+I41+I42+I43+I44+I45+I46+I47+I48</f>
        <v/>
      </c>
      <c r="J49" s="15">
        <f>J34+J35+J36+J37+J38+J39+J40+J41+J42+J43+J44+J45+J46+J47+J48</f>
        <v/>
      </c>
      <c r="K49" s="15">
        <f>K34+K35+K36+K37+K38+K39+K40+K41+K42+K43+K44+K45+K46+K47+K48</f>
        <v/>
      </c>
      <c r="L49" s="15">
        <f>L34+L35+L36+L37+L38+L39+L40+L41+L42+L43+L44+L45+L46+L47+L48</f>
        <v/>
      </c>
      <c r="M49" s="15">
        <f>M34+M35+M36+M37+M38+M39+M40+M41+M42+M43+M44+M45+M46+M47+M48</f>
        <v/>
      </c>
      <c r="N49" s="15">
        <f>N34+N35+N36+N37+N38+N39+N40+N41+N42+N43+N44+N45+N46+N47+N48</f>
        <v/>
      </c>
      <c r="O49" s="15">
        <f>O34+O35+O36+O37+O38+O39+O40+O41+O42+O43+O44+O45+O46+O47+O48</f>
        <v/>
      </c>
      <c r="P49" s="15">
        <f>P34+P35+P36+P37+P38+P39+P40+P41+P42+P43+P44+P45+P46+P47+P48</f>
        <v/>
      </c>
      <c r="Q49" s="15">
        <f>Q34+Q35+Q36+Q37+Q38+Q39+Q40+Q41+Q42+Q43+Q44+Q45+Q46+Q47+Q48</f>
        <v/>
      </c>
      <c r="R49" s="15">
        <f>R34+R35+R36+R37+R38+R39+R40+R41+R42+R43+R44+R45+R46+R47+R48</f>
        <v/>
      </c>
      <c r="S49" s="15">
        <f>S34+S35+S36+S37+S38+S39+S40+S41+S42+S43+S44+S45+S46+S47+S48</f>
        <v/>
      </c>
      <c r="T49" s="15">
        <f>T34+T35+T36+T37+T38+T39+T40+T41+T42+T43+T44+T45+T46+T47+T48</f>
        <v/>
      </c>
      <c r="U49" s="15">
        <f>U34+U35+U36+U37+U38+U39+U40+U41+U42+U43+U44+U45+U46+U47+U48</f>
        <v/>
      </c>
    </row>
    <row r="51">
      <c r="A51" s="13" t="n"/>
      <c r="B51" s="16" t="inlineStr">
        <is>
          <t>Operating Income</t>
        </is>
      </c>
      <c r="C51" s="17">
        <f>C31-C49</f>
        <v/>
      </c>
      <c r="D51" s="17">
        <f>D31-D49</f>
        <v/>
      </c>
      <c r="E51" s="17">
        <f>E31-E49</f>
        <v/>
      </c>
      <c r="F51" s="17">
        <f>F31-F49</f>
        <v/>
      </c>
      <c r="G51" s="17">
        <f>G31-G49</f>
        <v/>
      </c>
      <c r="H51" s="17">
        <f>H31-H49</f>
        <v/>
      </c>
      <c r="I51" s="17">
        <f>I31-I49</f>
        <v/>
      </c>
      <c r="J51" s="17">
        <f>J31-J49</f>
        <v/>
      </c>
      <c r="K51" s="17">
        <f>K31-K49</f>
        <v/>
      </c>
      <c r="L51" s="17">
        <f>L31-L49</f>
        <v/>
      </c>
      <c r="M51" s="17">
        <f>M31-M49</f>
        <v/>
      </c>
      <c r="N51" s="17">
        <f>N31-N49</f>
        <v/>
      </c>
      <c r="O51" s="17">
        <f>O31-O49</f>
        <v/>
      </c>
      <c r="P51" s="17">
        <f>P31-P49</f>
        <v/>
      </c>
      <c r="Q51" s="17">
        <f>Q31-Q49</f>
        <v/>
      </c>
      <c r="R51" s="17">
        <f>R31-R49</f>
        <v/>
      </c>
      <c r="S51" s="17">
        <f>S31-S49</f>
        <v/>
      </c>
      <c r="T51" s="17">
        <f>T31-T49</f>
        <v/>
      </c>
      <c r="U51" s="17">
        <f>U31-U49</f>
        <v/>
      </c>
    </row>
    <row r="53">
      <c r="B53" s="3" t="inlineStr">
        <is>
          <t>Other Income / Expense</t>
        </is>
      </c>
    </row>
    <row r="54">
      <c r="A54" s="7" t="inlineStr">
        <is>
          <t>700200</t>
        </is>
      </c>
      <c r="B54" s="8" t="inlineStr">
        <is>
          <t>Interest Income - Customers</t>
        </is>
      </c>
      <c r="C54" s="9">
        <f>-EPM($B$3,$B$4,1,$A54,"period_net_amount")</f>
        <v/>
      </c>
      <c r="D54" s="9">
        <f>-EPM($B$3,$B$4,2,$A54,"period_net_amount")</f>
        <v/>
      </c>
      <c r="E54" s="9">
        <f>-EPM($B$3,$B$4,3,$A54,"period_net_amount")</f>
        <v/>
      </c>
      <c r="F54" s="9">
        <f>-EPM($B$3,$B$4,"Q1",$A54,"period_net_amount")</f>
        <v/>
      </c>
      <c r="G54" s="9">
        <f>-EPM($B$3,$B$4,4,$A54,"period_net_amount")</f>
        <v/>
      </c>
      <c r="H54" s="9">
        <f>-EPM($B$3,$B$4,5,$A54,"period_net_amount")</f>
        <v/>
      </c>
      <c r="I54" s="9">
        <f>-EPM($B$3,$B$4,6,$A54,"period_net_amount")</f>
        <v/>
      </c>
      <c r="J54" s="9">
        <f>-EPM($B$3,$B$4,"Q2",$A54,"period_net_amount")</f>
        <v/>
      </c>
      <c r="K54" s="9">
        <f>-EPM($B$3,$B$4,7,$A54,"period_net_amount")</f>
        <v/>
      </c>
      <c r="L54" s="9">
        <f>-EPM($B$3,$B$4,8,$A54,"period_net_amount")</f>
        <v/>
      </c>
      <c r="M54" s="9">
        <f>-EPM($B$3,$B$4,9,$A54,"period_net_amount")</f>
        <v/>
      </c>
      <c r="N54" s="9">
        <f>-EPM($B$3,$B$4,"Q3",$A54,"period_net_amount")</f>
        <v/>
      </c>
      <c r="O54" s="9">
        <f>-EPM($B$3,$B$4,10,$A54,"period_net_amount")</f>
        <v/>
      </c>
      <c r="P54" s="9">
        <f>-EPM($B$3,$B$4,11,$A54,"period_net_amount")</f>
        <v/>
      </c>
      <c r="Q54" s="9">
        <f>-EPM($B$3,$B$4,12,$A54,"period_net_amount")</f>
        <v/>
      </c>
      <c r="R54" s="9">
        <f>-EPM($B$3,$B$4,"Q4",$A54,"period_net_amount")</f>
        <v/>
      </c>
      <c r="S54" s="9">
        <f>-EPM($B$3,$B$4,"H1",$A54,"period_net_amount")</f>
        <v/>
      </c>
      <c r="T54" s="9">
        <f>-EPM($B$3,$B$4,"H2",$A54,"period_net_amount")</f>
        <v/>
      </c>
      <c r="U54" s="9">
        <f>-EPM($B$3,$B$4,"FY",$A54,"period_net_amount")</f>
        <v/>
      </c>
    </row>
    <row r="55">
      <c r="A55" s="10" t="inlineStr">
        <is>
          <t>800200</t>
        </is>
      </c>
      <c r="B55" s="11" t="inlineStr">
        <is>
          <t>Partners - Interest</t>
        </is>
      </c>
      <c r="C55" s="12">
        <f>-EPM($B$3,$B$4,1,$A55,"period_net_amount")</f>
        <v/>
      </c>
      <c r="D55" s="12">
        <f>-EPM($B$3,$B$4,2,$A55,"period_net_amount")</f>
        <v/>
      </c>
      <c r="E55" s="12">
        <f>-EPM($B$3,$B$4,3,$A55,"period_net_amount")</f>
        <v/>
      </c>
      <c r="F55" s="12">
        <f>-EPM($B$3,$B$4,"Q1",$A55,"period_net_amount")</f>
        <v/>
      </c>
      <c r="G55" s="12">
        <f>-EPM($B$3,$B$4,4,$A55,"period_net_amount")</f>
        <v/>
      </c>
      <c r="H55" s="12">
        <f>-EPM($B$3,$B$4,5,$A55,"period_net_amount")</f>
        <v/>
      </c>
      <c r="I55" s="12">
        <f>-EPM($B$3,$B$4,6,$A55,"period_net_amount")</f>
        <v/>
      </c>
      <c r="J55" s="12">
        <f>-EPM($B$3,$B$4,"Q2",$A55,"period_net_amount")</f>
        <v/>
      </c>
      <c r="K55" s="12">
        <f>-EPM($B$3,$B$4,7,$A55,"period_net_amount")</f>
        <v/>
      </c>
      <c r="L55" s="12">
        <f>-EPM($B$3,$B$4,8,$A55,"period_net_amount")</f>
        <v/>
      </c>
      <c r="M55" s="12">
        <f>-EPM($B$3,$B$4,9,$A55,"period_net_amount")</f>
        <v/>
      </c>
      <c r="N55" s="12">
        <f>-EPM($B$3,$B$4,"Q3",$A55,"period_net_amount")</f>
        <v/>
      </c>
      <c r="O55" s="12">
        <f>-EPM($B$3,$B$4,10,$A55,"period_net_amount")</f>
        <v/>
      </c>
      <c r="P55" s="12">
        <f>-EPM($B$3,$B$4,11,$A55,"period_net_amount")</f>
        <v/>
      </c>
      <c r="Q55" s="12">
        <f>-EPM($B$3,$B$4,12,$A55,"period_net_amount")</f>
        <v/>
      </c>
      <c r="R55" s="12">
        <f>-EPM($B$3,$B$4,"Q4",$A55,"period_net_amount")</f>
        <v/>
      </c>
      <c r="S55" s="12">
        <f>-EPM($B$3,$B$4,"H1",$A55,"period_net_amount")</f>
        <v/>
      </c>
      <c r="T55" s="12">
        <f>-EPM($B$3,$B$4,"H2",$A55,"period_net_amount")</f>
        <v/>
      </c>
      <c r="U55" s="12">
        <f>-EPM($B$3,$B$4,"FY",$A55,"period_net_amount")</f>
        <v/>
      </c>
    </row>
    <row r="56">
      <c r="A56" s="7" t="inlineStr">
        <is>
          <t>801100</t>
        </is>
      </c>
      <c r="B56" s="8" t="inlineStr">
        <is>
          <t>Gain/Loss - Disposal of Assets</t>
        </is>
      </c>
      <c r="C56" s="9">
        <f>-EPM($B$3,$B$4,1,$A56,"period_net_amount")</f>
        <v/>
      </c>
      <c r="D56" s="9">
        <f>-EPM($B$3,$B$4,2,$A56,"period_net_amount")</f>
        <v/>
      </c>
      <c r="E56" s="9">
        <f>-EPM($B$3,$B$4,3,$A56,"period_net_amount")</f>
        <v/>
      </c>
      <c r="F56" s="9">
        <f>-EPM($B$3,$B$4,"Q1",$A56,"period_net_amount")</f>
        <v/>
      </c>
      <c r="G56" s="9">
        <f>-EPM($B$3,$B$4,4,$A56,"period_net_amount")</f>
        <v/>
      </c>
      <c r="H56" s="9">
        <f>-EPM($B$3,$B$4,5,$A56,"period_net_amount")</f>
        <v/>
      </c>
      <c r="I56" s="9">
        <f>-EPM($B$3,$B$4,6,$A56,"period_net_amount")</f>
        <v/>
      </c>
      <c r="J56" s="9">
        <f>-EPM($B$3,$B$4,"Q2",$A56,"period_net_amount")</f>
        <v/>
      </c>
      <c r="K56" s="9">
        <f>-EPM($B$3,$B$4,7,$A56,"period_net_amount")</f>
        <v/>
      </c>
      <c r="L56" s="9">
        <f>-EPM($B$3,$B$4,8,$A56,"period_net_amount")</f>
        <v/>
      </c>
      <c r="M56" s="9">
        <f>-EPM($B$3,$B$4,9,$A56,"period_net_amount")</f>
        <v/>
      </c>
      <c r="N56" s="9">
        <f>-EPM($B$3,$B$4,"Q3",$A56,"period_net_amount")</f>
        <v/>
      </c>
      <c r="O56" s="9">
        <f>-EPM($B$3,$B$4,10,$A56,"period_net_amount")</f>
        <v/>
      </c>
      <c r="P56" s="9">
        <f>-EPM($B$3,$B$4,11,$A56,"period_net_amount")</f>
        <v/>
      </c>
      <c r="Q56" s="9">
        <f>-EPM($B$3,$B$4,12,$A56,"period_net_amount")</f>
        <v/>
      </c>
      <c r="R56" s="9">
        <f>-EPM($B$3,$B$4,"Q4",$A56,"period_net_amount")</f>
        <v/>
      </c>
      <c r="S56" s="9">
        <f>-EPM($B$3,$B$4,"H1",$A56,"period_net_amount")</f>
        <v/>
      </c>
      <c r="T56" s="9">
        <f>-EPM($B$3,$B$4,"H2",$A56,"period_net_amount")</f>
        <v/>
      </c>
      <c r="U56" s="9">
        <f>-EPM($B$3,$B$4,"FY",$A56,"period_net_amount")</f>
        <v/>
      </c>
    </row>
    <row r="57">
      <c r="A57" s="10" t="inlineStr">
        <is>
          <t>801200</t>
        </is>
      </c>
      <c r="B57" s="11" t="inlineStr">
        <is>
          <t>Gain/Loss - Revaluation</t>
        </is>
      </c>
      <c r="C57" s="12">
        <f>-EPM($B$3,$B$4,1,$A57,"period_net_amount")</f>
        <v/>
      </c>
      <c r="D57" s="12">
        <f>-EPM($B$3,$B$4,2,$A57,"period_net_amount")</f>
        <v/>
      </c>
      <c r="E57" s="12">
        <f>-EPM($B$3,$B$4,3,$A57,"period_net_amount")</f>
        <v/>
      </c>
      <c r="F57" s="12">
        <f>-EPM($B$3,$B$4,"Q1",$A57,"period_net_amount")</f>
        <v/>
      </c>
      <c r="G57" s="12">
        <f>-EPM($B$3,$B$4,4,$A57,"period_net_amount")</f>
        <v/>
      </c>
      <c r="H57" s="12">
        <f>-EPM($B$3,$B$4,5,$A57,"period_net_amount")</f>
        <v/>
      </c>
      <c r="I57" s="12">
        <f>-EPM($B$3,$B$4,6,$A57,"period_net_amount")</f>
        <v/>
      </c>
      <c r="J57" s="12">
        <f>-EPM($B$3,$B$4,"Q2",$A57,"period_net_amount")</f>
        <v/>
      </c>
      <c r="K57" s="12">
        <f>-EPM($B$3,$B$4,7,$A57,"period_net_amount")</f>
        <v/>
      </c>
      <c r="L57" s="12">
        <f>-EPM($B$3,$B$4,8,$A57,"period_net_amount")</f>
        <v/>
      </c>
      <c r="M57" s="12">
        <f>-EPM($B$3,$B$4,9,$A57,"period_net_amount")</f>
        <v/>
      </c>
      <c r="N57" s="12">
        <f>-EPM($B$3,$B$4,"Q3",$A57,"period_net_amount")</f>
        <v/>
      </c>
      <c r="O57" s="12">
        <f>-EPM($B$3,$B$4,10,$A57,"period_net_amount")</f>
        <v/>
      </c>
      <c r="P57" s="12">
        <f>-EPM($B$3,$B$4,11,$A57,"period_net_amount")</f>
        <v/>
      </c>
      <c r="Q57" s="12">
        <f>-EPM($B$3,$B$4,12,$A57,"period_net_amount")</f>
        <v/>
      </c>
      <c r="R57" s="12">
        <f>-EPM($B$3,$B$4,"Q4",$A57,"period_net_amount")</f>
        <v/>
      </c>
      <c r="S57" s="12">
        <f>-EPM($B$3,$B$4,"H1",$A57,"period_net_amount")</f>
        <v/>
      </c>
      <c r="T57" s="12">
        <f>-EPM($B$3,$B$4,"H2",$A57,"period_net_amount")</f>
        <v/>
      </c>
      <c r="U57" s="12">
        <f>-EPM($B$3,$B$4,"FY",$A57,"period_net_amount")</f>
        <v/>
      </c>
    </row>
    <row r="58">
      <c r="A58" s="7" t="inlineStr">
        <is>
          <t>801400</t>
        </is>
      </c>
      <c r="B58" s="8" t="inlineStr">
        <is>
          <t>Currency Loss - Realized</t>
        </is>
      </c>
      <c r="C58" s="9">
        <f>-EPM($B$3,$B$4,1,$A58,"period_net_amount")</f>
        <v/>
      </c>
      <c r="D58" s="9">
        <f>-EPM($B$3,$B$4,2,$A58,"period_net_amount")</f>
        <v/>
      </c>
      <c r="E58" s="9">
        <f>-EPM($B$3,$B$4,3,$A58,"period_net_amount")</f>
        <v/>
      </c>
      <c r="F58" s="9">
        <f>-EPM($B$3,$B$4,"Q1",$A58,"period_net_amount")</f>
        <v/>
      </c>
      <c r="G58" s="9">
        <f>-EPM($B$3,$B$4,4,$A58,"period_net_amount")</f>
        <v/>
      </c>
      <c r="H58" s="9">
        <f>-EPM($B$3,$B$4,5,$A58,"period_net_amount")</f>
        <v/>
      </c>
      <c r="I58" s="9">
        <f>-EPM($B$3,$B$4,6,$A58,"period_net_amount")</f>
        <v/>
      </c>
      <c r="J58" s="9">
        <f>-EPM($B$3,$B$4,"Q2",$A58,"period_net_amount")</f>
        <v/>
      </c>
      <c r="K58" s="9">
        <f>-EPM($B$3,$B$4,7,$A58,"period_net_amount")</f>
        <v/>
      </c>
      <c r="L58" s="9">
        <f>-EPM($B$3,$B$4,8,$A58,"period_net_amount")</f>
        <v/>
      </c>
      <c r="M58" s="9">
        <f>-EPM($B$3,$B$4,9,$A58,"period_net_amount")</f>
        <v/>
      </c>
      <c r="N58" s="9">
        <f>-EPM($B$3,$B$4,"Q3",$A58,"period_net_amount")</f>
        <v/>
      </c>
      <c r="O58" s="9">
        <f>-EPM($B$3,$B$4,10,$A58,"period_net_amount")</f>
        <v/>
      </c>
      <c r="P58" s="9">
        <f>-EPM($B$3,$B$4,11,$A58,"period_net_amount")</f>
        <v/>
      </c>
      <c r="Q58" s="9">
        <f>-EPM($B$3,$B$4,12,$A58,"period_net_amount")</f>
        <v/>
      </c>
      <c r="R58" s="9">
        <f>-EPM($B$3,$B$4,"Q4",$A58,"period_net_amount")</f>
        <v/>
      </c>
      <c r="S58" s="9">
        <f>-EPM($B$3,$B$4,"H1",$A58,"period_net_amount")</f>
        <v/>
      </c>
      <c r="T58" s="9">
        <f>-EPM($B$3,$B$4,"H2",$A58,"period_net_amount")</f>
        <v/>
      </c>
      <c r="U58" s="9">
        <f>-EPM($B$3,$B$4,"FY",$A58,"period_net_amount")</f>
        <v/>
      </c>
    </row>
    <row r="59">
      <c r="A59" s="10" t="inlineStr">
        <is>
          <t>801500</t>
        </is>
      </c>
      <c r="B59" s="11" t="inlineStr">
        <is>
          <t>Currency Gain - Realized</t>
        </is>
      </c>
      <c r="C59" s="12">
        <f>-EPM($B$3,$B$4,1,$A59,"period_net_amount")</f>
        <v/>
      </c>
      <c r="D59" s="12">
        <f>-EPM($B$3,$B$4,2,$A59,"period_net_amount")</f>
        <v/>
      </c>
      <c r="E59" s="12">
        <f>-EPM($B$3,$B$4,3,$A59,"period_net_amount")</f>
        <v/>
      </c>
      <c r="F59" s="12">
        <f>-EPM($B$3,$B$4,"Q1",$A59,"period_net_amount")</f>
        <v/>
      </c>
      <c r="G59" s="12">
        <f>-EPM($B$3,$B$4,4,$A59,"period_net_amount")</f>
        <v/>
      </c>
      <c r="H59" s="12">
        <f>-EPM($B$3,$B$4,5,$A59,"period_net_amount")</f>
        <v/>
      </c>
      <c r="I59" s="12">
        <f>-EPM($B$3,$B$4,6,$A59,"period_net_amount")</f>
        <v/>
      </c>
      <c r="J59" s="12">
        <f>-EPM($B$3,$B$4,"Q2",$A59,"period_net_amount")</f>
        <v/>
      </c>
      <c r="K59" s="12">
        <f>-EPM($B$3,$B$4,7,$A59,"period_net_amount")</f>
        <v/>
      </c>
      <c r="L59" s="12">
        <f>-EPM($B$3,$B$4,8,$A59,"period_net_amount")</f>
        <v/>
      </c>
      <c r="M59" s="12">
        <f>-EPM($B$3,$B$4,9,$A59,"period_net_amount")</f>
        <v/>
      </c>
      <c r="N59" s="12">
        <f>-EPM($B$3,$B$4,"Q3",$A59,"period_net_amount")</f>
        <v/>
      </c>
      <c r="O59" s="12">
        <f>-EPM($B$3,$B$4,10,$A59,"period_net_amount")</f>
        <v/>
      </c>
      <c r="P59" s="12">
        <f>-EPM($B$3,$B$4,11,$A59,"period_net_amount")</f>
        <v/>
      </c>
      <c r="Q59" s="12">
        <f>-EPM($B$3,$B$4,12,$A59,"period_net_amount")</f>
        <v/>
      </c>
      <c r="R59" s="12">
        <f>-EPM($B$3,$B$4,"Q4",$A59,"period_net_amount")</f>
        <v/>
      </c>
      <c r="S59" s="12">
        <f>-EPM($B$3,$B$4,"H1",$A59,"period_net_amount")</f>
        <v/>
      </c>
      <c r="T59" s="12">
        <f>-EPM($B$3,$B$4,"H2",$A59,"period_net_amount")</f>
        <v/>
      </c>
      <c r="U59" s="12">
        <f>-EPM($B$3,$B$4,"FY",$A59,"period_net_amount")</f>
        <v/>
      </c>
    </row>
    <row r="60">
      <c r="A60" s="13" t="n"/>
      <c r="B60" s="14" t="inlineStr">
        <is>
          <t>Total Other Income/Expense</t>
        </is>
      </c>
      <c r="C60" s="15">
        <f>C54+C55+C56+C57+C58+C59</f>
        <v/>
      </c>
      <c r="D60" s="15">
        <f>D54+D55+D56+D57+D58+D59</f>
        <v/>
      </c>
      <c r="E60" s="15">
        <f>E54+E55+E56+E57+E58+E59</f>
        <v/>
      </c>
      <c r="F60" s="15">
        <f>F54+F55+F56+F57+F58+F59</f>
        <v/>
      </c>
      <c r="G60" s="15">
        <f>G54+G55+G56+G57+G58+G59</f>
        <v/>
      </c>
      <c r="H60" s="15">
        <f>H54+H55+H56+H57+H58+H59</f>
        <v/>
      </c>
      <c r="I60" s="15">
        <f>I54+I55+I56+I57+I58+I59</f>
        <v/>
      </c>
      <c r="J60" s="15">
        <f>J54+J55+J56+J57+J58+J59</f>
        <v/>
      </c>
      <c r="K60" s="15">
        <f>K54+K55+K56+K57+K58+K59</f>
        <v/>
      </c>
      <c r="L60" s="15">
        <f>L54+L55+L56+L57+L58+L59</f>
        <v/>
      </c>
      <c r="M60" s="15">
        <f>M54+M55+M56+M57+M58+M59</f>
        <v/>
      </c>
      <c r="N60" s="15">
        <f>N54+N55+N56+N57+N58+N59</f>
        <v/>
      </c>
      <c r="O60" s="15">
        <f>O54+O55+O56+O57+O58+O59</f>
        <v/>
      </c>
      <c r="P60" s="15">
        <f>P54+P55+P56+P57+P58+P59</f>
        <v/>
      </c>
      <c r="Q60" s="15">
        <f>Q54+Q55+Q56+Q57+Q58+Q59</f>
        <v/>
      </c>
      <c r="R60" s="15">
        <f>R54+R55+R56+R57+R58+R59</f>
        <v/>
      </c>
      <c r="S60" s="15">
        <f>S54+S55+S56+S57+S58+S59</f>
        <v/>
      </c>
      <c r="T60" s="15">
        <f>T54+T55+T56+T57+T58+T59</f>
        <v/>
      </c>
      <c r="U60" s="15">
        <f>U54+U55+U56+U57+U58+U59</f>
        <v/>
      </c>
    </row>
    <row r="62">
      <c r="A62" s="13" t="n"/>
      <c r="B62" s="16" t="inlineStr">
        <is>
          <t>Net Income Before Tax</t>
        </is>
      </c>
      <c r="C62" s="17">
        <f>C51+C60</f>
        <v/>
      </c>
      <c r="D62" s="17">
        <f>D51+D60</f>
        <v/>
      </c>
      <c r="E62" s="17">
        <f>E51+E60</f>
        <v/>
      </c>
      <c r="F62" s="17">
        <f>F51+F60</f>
        <v/>
      </c>
      <c r="G62" s="17">
        <f>G51+G60</f>
        <v/>
      </c>
      <c r="H62" s="17">
        <f>H51+H60</f>
        <v/>
      </c>
      <c r="I62" s="17">
        <f>I51+I60</f>
        <v/>
      </c>
      <c r="J62" s="17">
        <f>J51+J60</f>
        <v/>
      </c>
      <c r="K62" s="17">
        <f>K51+K60</f>
        <v/>
      </c>
      <c r="L62" s="17">
        <f>L51+L60</f>
        <v/>
      </c>
      <c r="M62" s="17">
        <f>M51+M60</f>
        <v/>
      </c>
      <c r="N62" s="17">
        <f>N51+N60</f>
        <v/>
      </c>
      <c r="O62" s="17">
        <f>O51+O60</f>
        <v/>
      </c>
      <c r="P62" s="17">
        <f>P51+P60</f>
        <v/>
      </c>
      <c r="Q62" s="17">
        <f>Q51+Q60</f>
        <v/>
      </c>
      <c r="R62" s="17">
        <f>R51+R60</f>
        <v/>
      </c>
      <c r="S62" s="17">
        <f>S51+S60</f>
        <v/>
      </c>
      <c r="T62" s="17">
        <f>T51+T60</f>
        <v/>
      </c>
      <c r="U62" s="17">
        <f>U51+U60</f>
        <v/>
      </c>
    </row>
    <row r="64">
      <c r="B64" s="3" t="inlineStr">
        <is>
          <t>Income Tax</t>
        </is>
      </c>
    </row>
    <row r="65">
      <c r="A65" s="7" t="inlineStr">
        <is>
          <t>802100</t>
        </is>
      </c>
      <c r="B65" s="8" t="inlineStr">
        <is>
          <t>Federal Income Tax</t>
        </is>
      </c>
      <c r="C65" s="9">
        <f>-EPM($B$3,$B$4,1,$A65,"period_net_amount")</f>
        <v/>
      </c>
      <c r="D65" s="9">
        <f>-EPM($B$3,$B$4,2,$A65,"period_net_amount")</f>
        <v/>
      </c>
      <c r="E65" s="9">
        <f>-EPM($B$3,$B$4,3,$A65,"period_net_amount")</f>
        <v/>
      </c>
      <c r="F65" s="9">
        <f>-EPM($B$3,$B$4,"Q1",$A65,"period_net_amount")</f>
        <v/>
      </c>
      <c r="G65" s="9">
        <f>-EPM($B$3,$B$4,4,$A65,"period_net_amount")</f>
        <v/>
      </c>
      <c r="H65" s="9">
        <f>-EPM($B$3,$B$4,5,$A65,"period_net_amount")</f>
        <v/>
      </c>
      <c r="I65" s="9">
        <f>-EPM($B$3,$B$4,6,$A65,"period_net_amount")</f>
        <v/>
      </c>
      <c r="J65" s="9">
        <f>-EPM($B$3,$B$4,"Q2",$A65,"period_net_amount")</f>
        <v/>
      </c>
      <c r="K65" s="9">
        <f>-EPM($B$3,$B$4,7,$A65,"period_net_amount")</f>
        <v/>
      </c>
      <c r="L65" s="9">
        <f>-EPM($B$3,$B$4,8,$A65,"period_net_amount")</f>
        <v/>
      </c>
      <c r="M65" s="9">
        <f>-EPM($B$3,$B$4,9,$A65,"period_net_amount")</f>
        <v/>
      </c>
      <c r="N65" s="9">
        <f>-EPM($B$3,$B$4,"Q3",$A65,"period_net_amount")</f>
        <v/>
      </c>
      <c r="O65" s="9">
        <f>-EPM($B$3,$B$4,10,$A65,"period_net_amount")</f>
        <v/>
      </c>
      <c r="P65" s="9">
        <f>-EPM($B$3,$B$4,11,$A65,"period_net_amount")</f>
        <v/>
      </c>
      <c r="Q65" s="9">
        <f>-EPM($B$3,$B$4,12,$A65,"period_net_amount")</f>
        <v/>
      </c>
      <c r="R65" s="9">
        <f>-EPM($B$3,$B$4,"Q4",$A65,"period_net_amount")</f>
        <v/>
      </c>
      <c r="S65" s="9">
        <f>-EPM($B$3,$B$4,"H1",$A65,"period_net_amount")</f>
        <v/>
      </c>
      <c r="T65" s="9">
        <f>-EPM($B$3,$B$4,"H2",$A65,"period_net_amount")</f>
        <v/>
      </c>
      <c r="U65" s="9">
        <f>-EPM($B$3,$B$4,"FY",$A65,"period_net_amount")</f>
        <v/>
      </c>
    </row>
    <row r="66">
      <c r="A66" s="10" t="inlineStr">
        <is>
          <t>802200</t>
        </is>
      </c>
      <c r="B66" s="11" t="inlineStr">
        <is>
          <t>State Income Tax</t>
        </is>
      </c>
      <c r="C66" s="12">
        <f>-EPM($B$3,$B$4,1,$A66,"period_net_amount")</f>
        <v/>
      </c>
      <c r="D66" s="12">
        <f>-EPM($B$3,$B$4,2,$A66,"period_net_amount")</f>
        <v/>
      </c>
      <c r="E66" s="12">
        <f>-EPM($B$3,$B$4,3,$A66,"period_net_amount")</f>
        <v/>
      </c>
      <c r="F66" s="12">
        <f>-EPM($B$3,$B$4,"Q1",$A66,"period_net_amount")</f>
        <v/>
      </c>
      <c r="G66" s="12">
        <f>-EPM($B$3,$B$4,4,$A66,"period_net_amount")</f>
        <v/>
      </c>
      <c r="H66" s="12">
        <f>-EPM($B$3,$B$4,5,$A66,"period_net_amount")</f>
        <v/>
      </c>
      <c r="I66" s="12">
        <f>-EPM($B$3,$B$4,6,$A66,"period_net_amount")</f>
        <v/>
      </c>
      <c r="J66" s="12">
        <f>-EPM($B$3,$B$4,"Q2",$A66,"period_net_amount")</f>
        <v/>
      </c>
      <c r="K66" s="12">
        <f>-EPM($B$3,$B$4,7,$A66,"period_net_amount")</f>
        <v/>
      </c>
      <c r="L66" s="12">
        <f>-EPM($B$3,$B$4,8,$A66,"period_net_amount")</f>
        <v/>
      </c>
      <c r="M66" s="12">
        <f>-EPM($B$3,$B$4,9,$A66,"period_net_amount")</f>
        <v/>
      </c>
      <c r="N66" s="12">
        <f>-EPM($B$3,$B$4,"Q3",$A66,"period_net_amount")</f>
        <v/>
      </c>
      <c r="O66" s="12">
        <f>-EPM($B$3,$B$4,10,$A66,"period_net_amount")</f>
        <v/>
      </c>
      <c r="P66" s="12">
        <f>-EPM($B$3,$B$4,11,$A66,"period_net_amount")</f>
        <v/>
      </c>
      <c r="Q66" s="12">
        <f>-EPM($B$3,$B$4,12,$A66,"period_net_amount")</f>
        <v/>
      </c>
      <c r="R66" s="12">
        <f>-EPM($B$3,$B$4,"Q4",$A66,"period_net_amount")</f>
        <v/>
      </c>
      <c r="S66" s="12">
        <f>-EPM($B$3,$B$4,"H1",$A66,"period_net_amount")</f>
        <v/>
      </c>
      <c r="T66" s="12">
        <f>-EPM($B$3,$B$4,"H2",$A66,"period_net_amount")</f>
        <v/>
      </c>
      <c r="U66" s="12">
        <f>-EPM($B$3,$B$4,"FY",$A66,"period_net_amount")</f>
        <v/>
      </c>
    </row>
    <row r="67">
      <c r="A67" s="13" t="n"/>
      <c r="B67" s="14" t="inlineStr">
        <is>
          <t>Total Income Tax</t>
        </is>
      </c>
      <c r="C67" s="15">
        <f>C65+C66</f>
        <v/>
      </c>
      <c r="D67" s="15">
        <f>D65+D66</f>
        <v/>
      </c>
      <c r="E67" s="15">
        <f>E65+E66</f>
        <v/>
      </c>
      <c r="F67" s="15">
        <f>F65+F66</f>
        <v/>
      </c>
      <c r="G67" s="15">
        <f>G65+G66</f>
        <v/>
      </c>
      <c r="H67" s="15">
        <f>H65+H66</f>
        <v/>
      </c>
      <c r="I67" s="15">
        <f>I65+I66</f>
        <v/>
      </c>
      <c r="J67" s="15">
        <f>J65+J66</f>
        <v/>
      </c>
      <c r="K67" s="15">
        <f>K65+K66</f>
        <v/>
      </c>
      <c r="L67" s="15">
        <f>L65+L66</f>
        <v/>
      </c>
      <c r="M67" s="15">
        <f>M65+M66</f>
        <v/>
      </c>
      <c r="N67" s="15">
        <f>N65+N66</f>
        <v/>
      </c>
      <c r="O67" s="15">
        <f>O65+O66</f>
        <v/>
      </c>
      <c r="P67" s="15">
        <f>P65+P66</f>
        <v/>
      </c>
      <c r="Q67" s="15">
        <f>Q65+Q66</f>
        <v/>
      </c>
      <c r="R67" s="15">
        <f>R65+R66</f>
        <v/>
      </c>
      <c r="S67" s="15">
        <f>S65+S66</f>
        <v/>
      </c>
      <c r="T67" s="15">
        <f>T65+T66</f>
        <v/>
      </c>
      <c r="U67" s="15">
        <f>U65+U66</f>
        <v/>
      </c>
    </row>
    <row r="69">
      <c r="A69" s="13" t="n"/>
      <c r="B69" s="16" t="inlineStr">
        <is>
          <t>Net Income</t>
        </is>
      </c>
      <c r="C69" s="18">
        <f>C62-C67</f>
        <v/>
      </c>
      <c r="D69" s="18">
        <f>D62-D67</f>
        <v/>
      </c>
      <c r="E69" s="18">
        <f>E62-E67</f>
        <v/>
      </c>
      <c r="F69" s="18">
        <f>F62-F67</f>
        <v/>
      </c>
      <c r="G69" s="18">
        <f>G62-G67</f>
        <v/>
      </c>
      <c r="H69" s="18">
        <f>H62-H67</f>
        <v/>
      </c>
      <c r="I69" s="18">
        <f>I62-I67</f>
        <v/>
      </c>
      <c r="J69" s="18">
        <f>J62-J67</f>
        <v/>
      </c>
      <c r="K69" s="18">
        <f>K62-K67</f>
        <v/>
      </c>
      <c r="L69" s="18">
        <f>L62-L67</f>
        <v/>
      </c>
      <c r="M69" s="18">
        <f>M62-M67</f>
        <v/>
      </c>
      <c r="N69" s="18">
        <f>N62-N67</f>
        <v/>
      </c>
      <c r="O69" s="18">
        <f>O62-O67</f>
        <v/>
      </c>
      <c r="P69" s="18">
        <f>P62-P67</f>
        <v/>
      </c>
      <c r="Q69" s="18">
        <f>Q62-Q67</f>
        <v/>
      </c>
      <c r="R69" s="18">
        <f>R62-R67</f>
        <v/>
      </c>
      <c r="S69" s="18">
        <f>S62-S67</f>
        <v/>
      </c>
      <c r="T69" s="18">
        <f>T62-T67</f>
        <v/>
      </c>
      <c r="U69" s="18">
        <f>U62-U67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9" t="inlineStr">
        <is>
          <t>Balance Sheet</t>
        </is>
      </c>
      <c r="B1" s="20" t="n"/>
      <c r="C1" s="20" t="n"/>
      <c r="D1" s="20" t="n"/>
      <c r="E1" s="20" t="n"/>
      <c r="F1" s="20" t="n"/>
    </row>
    <row r="3">
      <c r="A3" s="21" t="inlineStr">
        <is>
          <t>Entity</t>
        </is>
      </c>
      <c r="B3" s="4" t="inlineStr">
        <is>
          <t>USMF</t>
        </is>
      </c>
      <c r="D3" s="21" t="inlineStr">
        <is>
          <t>Measure</t>
        </is>
      </c>
      <c r="E3" s="4" t="inlineStr">
        <is>
          <t>ytd_net_amount</t>
        </is>
      </c>
    </row>
    <row r="4">
      <c r="A4" s="21" t="inlineStr">
        <is>
          <t>Year</t>
        </is>
      </c>
      <c r="B4" s="4" t="n">
        <v>2024</v>
      </c>
    </row>
    <row r="6">
      <c r="A6" s="22" t="inlineStr">
        <is>
          <t>Account</t>
        </is>
      </c>
      <c r="B6" s="22" t="inlineStr">
        <is>
          <t>Description</t>
        </is>
      </c>
      <c r="C6" s="23" t="inlineStr">
        <is>
          <t>Q1</t>
        </is>
      </c>
      <c r="D6" s="23" t="inlineStr">
        <is>
          <t>Q2</t>
        </is>
      </c>
      <c r="E6" s="23" t="inlineStr">
        <is>
          <t>Q3</t>
        </is>
      </c>
      <c r="F6" s="23" t="inlineStr">
        <is>
          <t>Q4</t>
        </is>
      </c>
    </row>
    <row r="7">
      <c r="B7" s="21" t="inlineStr">
        <is>
          <t>Current Assets</t>
        </is>
      </c>
    </row>
    <row r="8">
      <c r="A8" s="7" t="inlineStr">
        <is>
          <t>110110</t>
        </is>
      </c>
      <c r="B8" s="8" t="inlineStr">
        <is>
          <t>Bank Account - USD</t>
        </is>
      </c>
      <c r="C8" s="9">
        <f>-EPM($B$3,$B$4,3,$A8,"ytd_net_amount")</f>
        <v/>
      </c>
      <c r="D8" s="9">
        <f>-EPM($B$3,$B$4,6,$A8,"ytd_net_amount")</f>
        <v/>
      </c>
      <c r="E8" s="9">
        <f>-EPM($B$3,$B$4,9,$A8,"ytd_net_amount")</f>
        <v/>
      </c>
      <c r="F8" s="9">
        <f>-EPM($B$3,$B$4,12,$A8,"ytd_net_amount")</f>
        <v/>
      </c>
    </row>
    <row r="9">
      <c r="A9" s="10" t="inlineStr">
        <is>
          <t>110112</t>
        </is>
      </c>
      <c r="B9" s="11" t="inlineStr">
        <is>
          <t>Bank Account - JPY</t>
        </is>
      </c>
      <c r="C9" s="12">
        <f>-EPM($B$3,$B$4,3,$A9,"ytd_net_amount")</f>
        <v/>
      </c>
      <c r="D9" s="12">
        <f>-EPM($B$3,$B$4,6,$A9,"ytd_net_amount")</f>
        <v/>
      </c>
      <c r="E9" s="12">
        <f>-EPM($B$3,$B$4,9,$A9,"ytd_net_amount")</f>
        <v/>
      </c>
      <c r="F9" s="12">
        <f>-EPM($B$3,$B$4,12,$A9,"ytd_net_amount")</f>
        <v/>
      </c>
    </row>
    <row r="10">
      <c r="A10" s="7" t="inlineStr">
        <is>
          <t>110115</t>
        </is>
      </c>
      <c r="B10" s="8" t="inlineStr">
        <is>
          <t>Bank Account - CAD</t>
        </is>
      </c>
      <c r="C10" s="9">
        <f>-EPM($B$3,$B$4,3,$A10,"ytd_net_amount")</f>
        <v/>
      </c>
      <c r="D10" s="9">
        <f>-EPM($B$3,$B$4,6,$A10,"ytd_net_amount")</f>
        <v/>
      </c>
      <c r="E10" s="9">
        <f>-EPM($B$3,$B$4,9,$A10,"ytd_net_amount")</f>
        <v/>
      </c>
      <c r="F10" s="9">
        <f>-EPM($B$3,$B$4,12,$A10,"ytd_net_amount")</f>
        <v/>
      </c>
    </row>
    <row r="11">
      <c r="A11" s="10" t="inlineStr">
        <is>
          <t>110125</t>
        </is>
      </c>
      <c r="B11" s="11" t="inlineStr">
        <is>
          <t>Bank Account - AUD</t>
        </is>
      </c>
      <c r="C11" s="12">
        <f>-EPM($B$3,$B$4,3,$A11,"ytd_net_amount")</f>
        <v/>
      </c>
      <c r="D11" s="12">
        <f>-EPM($B$3,$B$4,6,$A11,"ytd_net_amount")</f>
        <v/>
      </c>
      <c r="E11" s="12">
        <f>-EPM($B$3,$B$4,9,$A11,"ytd_net_amount")</f>
        <v/>
      </c>
      <c r="F11" s="12">
        <f>-EPM($B$3,$B$4,12,$A11,"ytd_net_amount")</f>
        <v/>
      </c>
    </row>
    <row r="12">
      <c r="A12" s="7" t="inlineStr">
        <is>
          <t>110130</t>
        </is>
      </c>
      <c r="B12" s="8" t="inlineStr">
        <is>
          <t>Bank Account - EUR</t>
        </is>
      </c>
      <c r="C12" s="9">
        <f>-EPM($B$3,$B$4,3,$A12,"ytd_net_amount")</f>
        <v/>
      </c>
      <c r="D12" s="9">
        <f>-EPM($B$3,$B$4,6,$A12,"ytd_net_amount")</f>
        <v/>
      </c>
      <c r="E12" s="9">
        <f>-EPM($B$3,$B$4,9,$A12,"ytd_net_amount")</f>
        <v/>
      </c>
      <c r="F12" s="9">
        <f>-EPM($B$3,$B$4,12,$A12,"ytd_net_amount")</f>
        <v/>
      </c>
    </row>
    <row r="13">
      <c r="A13" s="10" t="inlineStr">
        <is>
          <t>110140</t>
        </is>
      </c>
      <c r="B13" s="11" t="inlineStr">
        <is>
          <t>Bank Account - CHF</t>
        </is>
      </c>
      <c r="C13" s="12">
        <f>-EPM($B$3,$B$4,3,$A13,"ytd_net_amount")</f>
        <v/>
      </c>
      <c r="D13" s="12">
        <f>-EPM($B$3,$B$4,6,$A13,"ytd_net_amount")</f>
        <v/>
      </c>
      <c r="E13" s="12">
        <f>-EPM($B$3,$B$4,9,$A13,"ytd_net_amount")</f>
        <v/>
      </c>
      <c r="F13" s="12">
        <f>-EPM($B$3,$B$4,12,$A13,"ytd_net_amount")</f>
        <v/>
      </c>
    </row>
    <row r="14">
      <c r="A14" s="7" t="inlineStr">
        <is>
          <t>110150</t>
        </is>
      </c>
      <c r="B14" s="8" t="inlineStr">
        <is>
          <t>Bank Account - GBP</t>
        </is>
      </c>
      <c r="C14" s="9">
        <f>-EPM($B$3,$B$4,3,$A14,"ytd_net_amount")</f>
        <v/>
      </c>
      <c r="D14" s="9">
        <f>-EPM($B$3,$B$4,6,$A14,"ytd_net_amount")</f>
        <v/>
      </c>
      <c r="E14" s="9">
        <f>-EPM($B$3,$B$4,9,$A14,"ytd_net_amount")</f>
        <v/>
      </c>
      <c r="F14" s="9">
        <f>-EPM($B$3,$B$4,12,$A14,"ytd_net_amount")</f>
        <v/>
      </c>
    </row>
    <row r="15">
      <c r="A15" s="10" t="inlineStr">
        <is>
          <t>110160</t>
        </is>
      </c>
      <c r="B15" s="11" t="inlineStr">
        <is>
          <t>Bank Account - Payroll</t>
        </is>
      </c>
      <c r="C15" s="12">
        <f>-EPM($B$3,$B$4,3,$A15,"ytd_net_amount")</f>
        <v/>
      </c>
      <c r="D15" s="12">
        <f>-EPM($B$3,$B$4,6,$A15,"ytd_net_amount")</f>
        <v/>
      </c>
      <c r="E15" s="12">
        <f>-EPM($B$3,$B$4,9,$A15,"ytd_net_amount")</f>
        <v/>
      </c>
      <c r="F15" s="12">
        <f>-EPM($B$3,$B$4,12,$A15,"ytd_net_amount")</f>
        <v/>
      </c>
    </row>
    <row r="16">
      <c r="A16" s="7" t="inlineStr">
        <is>
          <t>110180</t>
        </is>
      </c>
      <c r="B16" s="8" t="inlineStr">
        <is>
          <t>Petty Cash</t>
        </is>
      </c>
      <c r="C16" s="9">
        <f>-EPM($B$3,$B$4,3,$A16,"ytd_net_amount")</f>
        <v/>
      </c>
      <c r="D16" s="9">
        <f>-EPM($B$3,$B$4,6,$A16,"ytd_net_amount")</f>
        <v/>
      </c>
      <c r="E16" s="9">
        <f>-EPM($B$3,$B$4,9,$A16,"ytd_net_amount")</f>
        <v/>
      </c>
      <c r="F16" s="9">
        <f>-EPM($B$3,$B$4,12,$A16,"ytd_net_amount")</f>
        <v/>
      </c>
    </row>
    <row r="17">
      <c r="A17" s="10" t="inlineStr">
        <is>
          <t>130100</t>
        </is>
      </c>
      <c r="B17" s="11" t="inlineStr">
        <is>
          <t>Accounts Receivable - Domestic</t>
        </is>
      </c>
      <c r="C17" s="12">
        <f>-EPM($B$3,$B$4,3,$A17,"ytd_net_amount")</f>
        <v/>
      </c>
      <c r="D17" s="12">
        <f>-EPM($B$3,$B$4,6,$A17,"ytd_net_amount")</f>
        <v/>
      </c>
      <c r="E17" s="12">
        <f>-EPM($B$3,$B$4,9,$A17,"ytd_net_amount")</f>
        <v/>
      </c>
      <c r="F17" s="12">
        <f>-EPM($B$3,$B$4,12,$A17,"ytd_net_amount")</f>
        <v/>
      </c>
    </row>
    <row r="18">
      <c r="A18" s="7" t="inlineStr">
        <is>
          <t>130110</t>
        </is>
      </c>
      <c r="B18" s="8" t="inlineStr">
        <is>
          <t>Accounts Receivable - Foreign</t>
        </is>
      </c>
      <c r="C18" s="9">
        <f>-EPM($B$3,$B$4,3,$A18,"ytd_net_amount")</f>
        <v/>
      </c>
      <c r="D18" s="9">
        <f>-EPM($B$3,$B$4,6,$A18,"ytd_net_amount")</f>
        <v/>
      </c>
      <c r="E18" s="9">
        <f>-EPM($B$3,$B$4,9,$A18,"ytd_net_amount")</f>
        <v/>
      </c>
      <c r="F18" s="9">
        <f>-EPM($B$3,$B$4,12,$A18,"ytd_net_amount")</f>
        <v/>
      </c>
    </row>
    <row r="19">
      <c r="A19" s="10" t="inlineStr">
        <is>
          <t>130300</t>
        </is>
      </c>
      <c r="B19" s="11" t="inlineStr">
        <is>
          <t>Accounts Receivable - Not Invoiced</t>
        </is>
      </c>
      <c r="C19" s="12">
        <f>-EPM($B$3,$B$4,3,$A19,"ytd_net_amount")</f>
        <v/>
      </c>
      <c r="D19" s="12">
        <f>-EPM($B$3,$B$4,6,$A19,"ytd_net_amount")</f>
        <v/>
      </c>
      <c r="E19" s="12">
        <f>-EPM($B$3,$B$4,9,$A19,"ytd_net_amount")</f>
        <v/>
      </c>
      <c r="F19" s="12">
        <f>-EPM($B$3,$B$4,12,$A19,"ytd_net_amount")</f>
        <v/>
      </c>
    </row>
    <row r="20">
      <c r="A20" s="7" t="inlineStr">
        <is>
          <t>130700</t>
        </is>
      </c>
      <c r="B20" s="8" t="inlineStr">
        <is>
          <t>Other Receivables</t>
        </is>
      </c>
      <c r="C20" s="9">
        <f>-EPM($B$3,$B$4,3,$A20,"ytd_net_amount")</f>
        <v/>
      </c>
      <c r="D20" s="9">
        <f>-EPM($B$3,$B$4,6,$A20,"ytd_net_amount")</f>
        <v/>
      </c>
      <c r="E20" s="9">
        <f>-EPM($B$3,$B$4,9,$A20,"ytd_net_amount")</f>
        <v/>
      </c>
      <c r="F20" s="9">
        <f>-EPM($B$3,$B$4,12,$A20,"ytd_net_amount")</f>
        <v/>
      </c>
    </row>
    <row r="21">
      <c r="A21" s="10" t="inlineStr">
        <is>
          <t>132190</t>
        </is>
      </c>
      <c r="B21" s="11" t="inlineStr">
        <is>
          <t>Prepaid Expenses</t>
        </is>
      </c>
      <c r="C21" s="12">
        <f>-EPM($B$3,$B$4,3,$A21,"ytd_net_amount")</f>
        <v/>
      </c>
      <c r="D21" s="12">
        <f>-EPM($B$3,$B$4,6,$A21,"ytd_net_amount")</f>
        <v/>
      </c>
      <c r="E21" s="12">
        <f>-EPM($B$3,$B$4,9,$A21,"ytd_net_amount")</f>
        <v/>
      </c>
      <c r="F21" s="12">
        <f>-EPM($B$3,$B$4,12,$A21,"ytd_net_amount")</f>
        <v/>
      </c>
    </row>
    <row r="22">
      <c r="A22" s="7" t="inlineStr">
        <is>
          <t>133300</t>
        </is>
      </c>
      <c r="B22" s="8" t="inlineStr">
        <is>
          <t>Intercompany Receivable - USMF/DEMF</t>
        </is>
      </c>
      <c r="C22" s="9">
        <f>-EPM($B$3,$B$4,3,$A22,"ytd_net_amount")</f>
        <v/>
      </c>
      <c r="D22" s="9">
        <f>-EPM($B$3,$B$4,6,$A22,"ytd_net_amount")</f>
        <v/>
      </c>
      <c r="E22" s="9">
        <f>-EPM($B$3,$B$4,9,$A22,"ytd_net_amount")</f>
        <v/>
      </c>
      <c r="F22" s="9">
        <f>-EPM($B$3,$B$4,12,$A22,"ytd_net_amount")</f>
        <v/>
      </c>
    </row>
    <row r="23">
      <c r="A23" s="10" t="inlineStr">
        <is>
          <t>133500</t>
        </is>
      </c>
      <c r="B23" s="11" t="inlineStr">
        <is>
          <t>Interunit Receivable</t>
        </is>
      </c>
      <c r="C23" s="12">
        <f>-EPM($B$3,$B$4,3,$A23,"ytd_net_amount")</f>
        <v/>
      </c>
      <c r="D23" s="12">
        <f>-EPM($B$3,$B$4,6,$A23,"ytd_net_amount")</f>
        <v/>
      </c>
      <c r="E23" s="12">
        <f>-EPM($B$3,$B$4,9,$A23,"ytd_net_amount")</f>
        <v/>
      </c>
      <c r="F23" s="12">
        <f>-EPM($B$3,$B$4,12,$A23,"ytd_net_amount")</f>
        <v/>
      </c>
    </row>
    <row r="24">
      <c r="A24" s="7" t="inlineStr">
        <is>
          <t>140100</t>
        </is>
      </c>
      <c r="B24" s="8" t="inlineStr">
        <is>
          <t>Raw Materials Inventory</t>
        </is>
      </c>
      <c r="C24" s="9">
        <f>-EPM($B$3,$B$4,3,$A24,"ytd_net_amount")</f>
        <v/>
      </c>
      <c r="D24" s="9">
        <f>-EPM($B$3,$B$4,6,$A24,"ytd_net_amount")</f>
        <v/>
      </c>
      <c r="E24" s="9">
        <f>-EPM($B$3,$B$4,9,$A24,"ytd_net_amount")</f>
        <v/>
      </c>
      <c r="F24" s="9">
        <f>-EPM($B$3,$B$4,12,$A24,"ytd_net_amount")</f>
        <v/>
      </c>
    </row>
    <row r="25">
      <c r="A25" s="10" t="inlineStr">
        <is>
          <t>140200</t>
        </is>
      </c>
      <c r="B25" s="11" t="inlineStr">
        <is>
          <t>Finished Goods Inventory</t>
        </is>
      </c>
      <c r="C25" s="12">
        <f>-EPM($B$3,$B$4,3,$A25,"ytd_net_amount")</f>
        <v/>
      </c>
      <c r="D25" s="12">
        <f>-EPM($B$3,$B$4,6,$A25,"ytd_net_amount")</f>
        <v/>
      </c>
      <c r="E25" s="12">
        <f>-EPM($B$3,$B$4,9,$A25,"ytd_net_amount")</f>
        <v/>
      </c>
      <c r="F25" s="12">
        <f>-EPM($B$3,$B$4,12,$A25,"ytd_net_amount")</f>
        <v/>
      </c>
    </row>
    <row r="26">
      <c r="A26" s="24" t="n"/>
      <c r="B26" s="25" t="inlineStr">
        <is>
          <t>Total Current Assets</t>
        </is>
      </c>
      <c r="C26" s="26">
        <f>C8+C9+C10+C11+C12+C13+C14+C15+C16+C17+C18+C19+C20+C21+C22+C23+C24+C25</f>
        <v/>
      </c>
      <c r="D26" s="26">
        <f>D8+D9+D10+D11+D12+D13+D14+D15+D16+D17+D18+D19+D20+D21+D22+D23+D24+D25</f>
        <v/>
      </c>
      <c r="E26" s="26">
        <f>E8+E9+E10+E11+E12+E13+E14+E15+E16+E17+E18+E19+E20+E21+E22+E23+E24+E25</f>
        <v/>
      </c>
      <c r="F26" s="26">
        <f>F8+F9+F10+F11+F12+F13+F14+F15+F16+F17+F18+F19+F20+F21+F22+F23+F24+F25</f>
        <v/>
      </c>
    </row>
    <row r="28">
      <c r="B28" s="21" t="inlineStr">
        <is>
          <t>Non-Current Assets</t>
        </is>
      </c>
    </row>
    <row r="29">
      <c r="A29" s="7" t="inlineStr">
        <is>
          <t>120200</t>
        </is>
      </c>
      <c r="B29" s="8" t="inlineStr">
        <is>
          <t>Marketable Securities</t>
        </is>
      </c>
      <c r="C29" s="9">
        <f>-EPM($B$3,$B$4,3,$A29,"ytd_net_amount")</f>
        <v/>
      </c>
      <c r="D29" s="9">
        <f>-EPM($B$3,$B$4,6,$A29,"ytd_net_amount")</f>
        <v/>
      </c>
      <c r="E29" s="9">
        <f>-EPM($B$3,$B$4,9,$A29,"ytd_net_amount")</f>
        <v/>
      </c>
      <c r="F29" s="9">
        <f>-EPM($B$3,$B$4,12,$A29,"ytd_net_amount")</f>
        <v/>
      </c>
    </row>
    <row r="30">
      <c r="A30" s="10" t="inlineStr">
        <is>
          <t>134000</t>
        </is>
      </c>
      <c r="B30" s="11" t="inlineStr">
        <is>
          <t>Investment in Subsidiary</t>
        </is>
      </c>
      <c r="C30" s="12">
        <f>-EPM($B$3,$B$4,3,$A30,"ytd_net_amount")</f>
        <v/>
      </c>
      <c r="D30" s="12">
        <f>-EPM($B$3,$B$4,6,$A30,"ytd_net_amount")</f>
        <v/>
      </c>
      <c r="E30" s="12">
        <f>-EPM($B$3,$B$4,9,$A30,"ytd_net_amount")</f>
        <v/>
      </c>
      <c r="F30" s="12">
        <f>-EPM($B$3,$B$4,12,$A30,"ytd_net_amount")</f>
        <v/>
      </c>
    </row>
    <row r="31">
      <c r="A31" s="7" t="inlineStr">
        <is>
          <t>170150</t>
        </is>
      </c>
      <c r="B31" s="8" t="inlineStr">
        <is>
          <t>Goodwill</t>
        </is>
      </c>
      <c r="C31" s="9">
        <f>-EPM($B$3,$B$4,3,$A31,"ytd_net_amount")</f>
        <v/>
      </c>
      <c r="D31" s="9">
        <f>-EPM($B$3,$B$4,6,$A31,"ytd_net_amount")</f>
        <v/>
      </c>
      <c r="E31" s="9">
        <f>-EPM($B$3,$B$4,9,$A31,"ytd_net_amount")</f>
        <v/>
      </c>
      <c r="F31" s="9">
        <f>-EPM($B$3,$B$4,12,$A31,"ytd_net_amount")</f>
        <v/>
      </c>
    </row>
    <row r="32">
      <c r="A32" s="10" t="inlineStr">
        <is>
          <t>180100</t>
        </is>
      </c>
      <c r="B32" s="11" t="inlineStr">
        <is>
          <t>Tangible Fixed Assets</t>
        </is>
      </c>
      <c r="C32" s="12">
        <f>-EPM($B$3,$B$4,3,$A32,"ytd_net_amount")</f>
        <v/>
      </c>
      <c r="D32" s="12">
        <f>-EPM($B$3,$B$4,6,$A32,"ytd_net_amount")</f>
        <v/>
      </c>
      <c r="E32" s="12">
        <f>-EPM($B$3,$B$4,9,$A32,"ytd_net_amount")</f>
        <v/>
      </c>
      <c r="F32" s="12">
        <f>-EPM($B$3,$B$4,12,$A32,"ytd_net_amount")</f>
        <v/>
      </c>
    </row>
    <row r="33">
      <c r="A33" s="7" t="inlineStr">
        <is>
          <t>180140</t>
        </is>
      </c>
      <c r="B33" s="8" t="inlineStr">
        <is>
          <t>Intangible Fixed Assets</t>
        </is>
      </c>
      <c r="C33" s="9">
        <f>-EPM($B$3,$B$4,3,$A33,"ytd_net_amount")</f>
        <v/>
      </c>
      <c r="D33" s="9">
        <f>-EPM($B$3,$B$4,6,$A33,"ytd_net_amount")</f>
        <v/>
      </c>
      <c r="E33" s="9">
        <f>-EPM($B$3,$B$4,9,$A33,"ytd_net_amount")</f>
        <v/>
      </c>
      <c r="F33" s="9">
        <f>-EPM($B$3,$B$4,12,$A33,"ytd_net_amount")</f>
        <v/>
      </c>
    </row>
    <row r="34">
      <c r="A34" s="10" t="inlineStr">
        <is>
          <t>180141</t>
        </is>
      </c>
      <c r="B34" s="11" t="inlineStr">
        <is>
          <t>Assets Under Construction</t>
        </is>
      </c>
      <c r="C34" s="12">
        <f>-EPM($B$3,$B$4,3,$A34,"ytd_net_amount")</f>
        <v/>
      </c>
      <c r="D34" s="12">
        <f>-EPM($B$3,$B$4,6,$A34,"ytd_net_amount")</f>
        <v/>
      </c>
      <c r="E34" s="12">
        <f>-EPM($B$3,$B$4,9,$A34,"ytd_net_amount")</f>
        <v/>
      </c>
      <c r="F34" s="12">
        <f>-EPM($B$3,$B$4,12,$A34,"ytd_net_amount")</f>
        <v/>
      </c>
    </row>
    <row r="35">
      <c r="A35" s="7" t="inlineStr">
        <is>
          <t>180150</t>
        </is>
      </c>
      <c r="B35" s="8" t="inlineStr">
        <is>
          <t>Right-of-Use Asset - Finance Leases</t>
        </is>
      </c>
      <c r="C35" s="9">
        <f>-EPM($B$3,$B$4,3,$A35,"ytd_net_amount")</f>
        <v/>
      </c>
      <c r="D35" s="9">
        <f>-EPM($B$3,$B$4,6,$A35,"ytd_net_amount")</f>
        <v/>
      </c>
      <c r="E35" s="9">
        <f>-EPM($B$3,$B$4,9,$A35,"ytd_net_amount")</f>
        <v/>
      </c>
      <c r="F35" s="9">
        <f>-EPM($B$3,$B$4,12,$A35,"ytd_net_amount")</f>
        <v/>
      </c>
    </row>
    <row r="36">
      <c r="A36" s="10" t="inlineStr">
        <is>
          <t>180160</t>
        </is>
      </c>
      <c r="B36" s="11" t="inlineStr">
        <is>
          <t>Right-of-Use Asset - Operating Leases</t>
        </is>
      </c>
      <c r="C36" s="12">
        <f>-EPM($B$3,$B$4,3,$A36,"ytd_net_amount")</f>
        <v/>
      </c>
      <c r="D36" s="12">
        <f>-EPM($B$3,$B$4,6,$A36,"ytd_net_amount")</f>
        <v/>
      </c>
      <c r="E36" s="12">
        <f>-EPM($B$3,$B$4,9,$A36,"ytd_net_amount")</f>
        <v/>
      </c>
      <c r="F36" s="12">
        <f>-EPM($B$3,$B$4,12,$A36,"ytd_net_amount")</f>
        <v/>
      </c>
    </row>
    <row r="37">
      <c r="A37" s="7" t="inlineStr">
        <is>
          <t>180200</t>
        </is>
      </c>
      <c r="B37" s="8" t="inlineStr">
        <is>
          <t>Accumulated Depreciation - Tangible</t>
        </is>
      </c>
      <c r="C37" s="9">
        <f>-EPM($B$3,$B$4,3,$A37,"ytd_net_amount")</f>
        <v/>
      </c>
      <c r="D37" s="9">
        <f>-EPM($B$3,$B$4,6,$A37,"ytd_net_amount")</f>
        <v/>
      </c>
      <c r="E37" s="9">
        <f>-EPM($B$3,$B$4,9,$A37,"ytd_net_amount")</f>
        <v/>
      </c>
      <c r="F37" s="9">
        <f>-EPM($B$3,$B$4,12,$A37,"ytd_net_amount")</f>
        <v/>
      </c>
    </row>
    <row r="38">
      <c r="A38" s="10" t="inlineStr">
        <is>
          <t>180240</t>
        </is>
      </c>
      <c r="B38" s="11" t="inlineStr">
        <is>
          <t>Accumulated Amortization - Intangible</t>
        </is>
      </c>
      <c r="C38" s="12">
        <f>-EPM($B$3,$B$4,3,$A38,"ytd_net_amount")</f>
        <v/>
      </c>
      <c r="D38" s="12">
        <f>-EPM($B$3,$B$4,6,$A38,"ytd_net_amount")</f>
        <v/>
      </c>
      <c r="E38" s="12">
        <f>-EPM($B$3,$B$4,9,$A38,"ytd_net_amount")</f>
        <v/>
      </c>
      <c r="F38" s="12">
        <f>-EPM($B$3,$B$4,12,$A38,"ytd_net_amount")</f>
        <v/>
      </c>
    </row>
    <row r="39">
      <c r="A39" s="7" t="inlineStr">
        <is>
          <t>180295</t>
        </is>
      </c>
      <c r="B39" s="8" t="inlineStr">
        <is>
          <t>Other Assets</t>
        </is>
      </c>
      <c r="C39" s="9">
        <f>-EPM($B$3,$B$4,3,$A39,"ytd_net_amount")</f>
        <v/>
      </c>
      <c r="D39" s="9">
        <f>-EPM($B$3,$B$4,6,$A39,"ytd_net_amount")</f>
        <v/>
      </c>
      <c r="E39" s="9">
        <f>-EPM($B$3,$B$4,9,$A39,"ytd_net_amount")</f>
        <v/>
      </c>
      <c r="F39" s="9">
        <f>-EPM($B$3,$B$4,12,$A39,"ytd_net_amount")</f>
        <v/>
      </c>
    </row>
    <row r="40">
      <c r="A40" s="24" t="n"/>
      <c r="B40" s="25" t="inlineStr">
        <is>
          <t>Total Non-Current Assets</t>
        </is>
      </c>
      <c r="C40" s="26">
        <f>C29+C30+C31+C32+C33+C34+C35+C36+C37+C38+C39</f>
        <v/>
      </c>
      <c r="D40" s="26">
        <f>D29+D30+D31+D32+D33+D34+D35+D36+D37+D38+D39</f>
        <v/>
      </c>
      <c r="E40" s="26">
        <f>E29+E30+E31+E32+E33+E34+E35+E36+E37+E38+E39</f>
        <v/>
      </c>
      <c r="F40" s="26">
        <f>F29+F30+F31+F32+F33+F34+F35+F36+F37+F38+F39</f>
        <v/>
      </c>
    </row>
    <row r="42">
      <c r="A42" s="24" t="n"/>
      <c r="B42" s="27" t="inlineStr">
        <is>
          <t>Total Assets</t>
        </is>
      </c>
      <c r="C42" s="28">
        <f>C26+C40</f>
        <v/>
      </c>
      <c r="D42" s="28">
        <f>D26+D40</f>
        <v/>
      </c>
      <c r="E42" s="28">
        <f>E26+E40</f>
        <v/>
      </c>
      <c r="F42" s="28">
        <f>F26+F40</f>
        <v/>
      </c>
    </row>
    <row r="44">
      <c r="B44" s="21" t="inlineStr">
        <is>
          <t>Current Liabilities</t>
        </is>
      </c>
    </row>
    <row r="45">
      <c r="A45" s="7" t="inlineStr">
        <is>
          <t>200100</t>
        </is>
      </c>
      <c r="B45" s="8" t="inlineStr">
        <is>
          <t>Accounts Payable - Domestic</t>
        </is>
      </c>
      <c r="C45" s="9">
        <f>-EPM($B$3,$B$4,3,$A45,"ytd_net_amount")</f>
        <v/>
      </c>
      <c r="D45" s="9">
        <f>-EPM($B$3,$B$4,6,$A45,"ytd_net_amount")</f>
        <v/>
      </c>
      <c r="E45" s="9">
        <f>-EPM($B$3,$B$4,9,$A45,"ytd_net_amount")</f>
        <v/>
      </c>
      <c r="F45" s="9">
        <f>-EPM($B$3,$B$4,12,$A45,"ytd_net_amount")</f>
        <v/>
      </c>
    </row>
    <row r="46">
      <c r="A46" s="10" t="inlineStr">
        <is>
          <t>200110A</t>
        </is>
      </c>
      <c r="B46" s="11" t="inlineStr">
        <is>
          <t>Accounts Payable - Other</t>
        </is>
      </c>
      <c r="C46" s="12">
        <f>-EPM($B$3,$B$4,3,$A46,"ytd_net_amount")</f>
        <v/>
      </c>
      <c r="D46" s="12">
        <f>-EPM($B$3,$B$4,6,$A46,"ytd_net_amount")</f>
        <v/>
      </c>
      <c r="E46" s="12">
        <f>-EPM($B$3,$B$4,9,$A46,"ytd_net_amount")</f>
        <v/>
      </c>
      <c r="F46" s="12">
        <f>-EPM($B$3,$B$4,12,$A46,"ytd_net_amount")</f>
        <v/>
      </c>
    </row>
    <row r="47">
      <c r="A47" s="7" t="inlineStr">
        <is>
          <t>200130</t>
        </is>
      </c>
      <c r="B47" s="8" t="inlineStr">
        <is>
          <t>Invoice Pending Approval</t>
        </is>
      </c>
      <c r="C47" s="9">
        <f>-EPM($B$3,$B$4,3,$A47,"ytd_net_amount")</f>
        <v/>
      </c>
      <c r="D47" s="9">
        <f>-EPM($B$3,$B$4,6,$A47,"ytd_net_amount")</f>
        <v/>
      </c>
      <c r="E47" s="9">
        <f>-EPM($B$3,$B$4,9,$A47,"ytd_net_amount")</f>
        <v/>
      </c>
      <c r="F47" s="9">
        <f>-EPM($B$3,$B$4,12,$A47,"ytd_net_amount")</f>
        <v/>
      </c>
    </row>
    <row r="48">
      <c r="A48" s="10" t="inlineStr">
        <is>
          <t>200140</t>
        </is>
      </c>
      <c r="B48" s="11" t="inlineStr">
        <is>
          <t>Accrued Purchases - Received Not Invoiced</t>
        </is>
      </c>
      <c r="C48" s="12">
        <f>-EPM($B$3,$B$4,3,$A48,"ytd_net_amount")</f>
        <v/>
      </c>
      <c r="D48" s="12">
        <f>-EPM($B$3,$B$4,6,$A48,"ytd_net_amount")</f>
        <v/>
      </c>
      <c r="E48" s="12">
        <f>-EPM($B$3,$B$4,9,$A48,"ytd_net_amount")</f>
        <v/>
      </c>
      <c r="F48" s="12">
        <f>-EPM($B$3,$B$4,12,$A48,"ytd_net_amount")</f>
        <v/>
      </c>
    </row>
    <row r="49">
      <c r="A49" s="7" t="inlineStr">
        <is>
          <t>200190</t>
        </is>
      </c>
      <c r="B49" s="8" t="inlineStr">
        <is>
          <t>Accrued Purchases</t>
        </is>
      </c>
      <c r="C49" s="9">
        <f>-EPM($B$3,$B$4,3,$A49,"ytd_net_amount")</f>
        <v/>
      </c>
      <c r="D49" s="9">
        <f>-EPM($B$3,$B$4,6,$A49,"ytd_net_amount")</f>
        <v/>
      </c>
      <c r="E49" s="9">
        <f>-EPM($B$3,$B$4,9,$A49,"ytd_net_amount")</f>
        <v/>
      </c>
      <c r="F49" s="9">
        <f>-EPM($B$3,$B$4,12,$A49,"ytd_net_amount")</f>
        <v/>
      </c>
    </row>
    <row r="50">
      <c r="A50" s="10" t="inlineStr">
        <is>
          <t>201100</t>
        </is>
      </c>
      <c r="B50" s="11" t="inlineStr">
        <is>
          <t>Salaries &amp; Wages Payable</t>
        </is>
      </c>
      <c r="C50" s="12">
        <f>-EPM($B$3,$B$4,3,$A50,"ytd_net_amount")</f>
        <v/>
      </c>
      <c r="D50" s="12">
        <f>-EPM($B$3,$B$4,6,$A50,"ytd_net_amount")</f>
        <v/>
      </c>
      <c r="E50" s="12">
        <f>-EPM($B$3,$B$4,9,$A50,"ytd_net_amount")</f>
        <v/>
      </c>
      <c r="F50" s="12">
        <f>-EPM($B$3,$B$4,12,$A50,"ytd_net_amount")</f>
        <v/>
      </c>
    </row>
    <row r="51">
      <c r="A51" s="7" t="inlineStr">
        <is>
          <t>201110</t>
        </is>
      </c>
      <c r="B51" s="8" t="inlineStr">
        <is>
          <t>Commissions Payable</t>
        </is>
      </c>
      <c r="C51" s="9">
        <f>-EPM($B$3,$B$4,3,$A51,"ytd_net_amount")</f>
        <v/>
      </c>
      <c r="D51" s="9">
        <f>-EPM($B$3,$B$4,6,$A51,"ytd_net_amount")</f>
        <v/>
      </c>
      <c r="E51" s="9">
        <f>-EPM($B$3,$B$4,9,$A51,"ytd_net_amount")</f>
        <v/>
      </c>
      <c r="F51" s="9">
        <f>-EPM($B$3,$B$4,12,$A51,"ytd_net_amount")</f>
        <v/>
      </c>
    </row>
    <row r="52">
      <c r="A52" s="10" t="inlineStr">
        <is>
          <t>212160</t>
        </is>
      </c>
      <c r="B52" s="11" t="inlineStr">
        <is>
          <t>Customer Deposits</t>
        </is>
      </c>
      <c r="C52" s="12">
        <f>-EPM($B$3,$B$4,3,$A52,"ytd_net_amount")</f>
        <v/>
      </c>
      <c r="D52" s="12">
        <f>-EPM($B$3,$B$4,6,$A52,"ytd_net_amount")</f>
        <v/>
      </c>
      <c r="E52" s="12">
        <f>-EPM($B$3,$B$4,9,$A52,"ytd_net_amount")</f>
        <v/>
      </c>
      <c r="F52" s="12">
        <f>-EPM($B$3,$B$4,12,$A52,"ytd_net_amount")</f>
        <v/>
      </c>
    </row>
    <row r="53">
      <c r="A53" s="7" t="inlineStr">
        <is>
          <t>221240</t>
        </is>
      </c>
      <c r="B53" s="8" t="inlineStr">
        <is>
          <t>Income Taxes Payable</t>
        </is>
      </c>
      <c r="C53" s="9">
        <f>-EPM($B$3,$B$4,3,$A53,"ytd_net_amount")</f>
        <v/>
      </c>
      <c r="D53" s="9">
        <f>-EPM($B$3,$B$4,6,$A53,"ytd_net_amount")</f>
        <v/>
      </c>
      <c r="E53" s="9">
        <f>-EPM($B$3,$B$4,9,$A53,"ytd_net_amount")</f>
        <v/>
      </c>
      <c r="F53" s="9">
        <f>-EPM($B$3,$B$4,12,$A53,"ytd_net_amount")</f>
        <v/>
      </c>
    </row>
    <row r="54">
      <c r="A54" s="10" t="inlineStr">
        <is>
          <t>222200</t>
        </is>
      </c>
      <c r="B54" s="11" t="inlineStr">
        <is>
          <t>VAT Tax Payable</t>
        </is>
      </c>
      <c r="C54" s="12">
        <f>-EPM($B$3,$B$4,3,$A54,"ytd_net_amount")</f>
        <v/>
      </c>
      <c r="D54" s="12">
        <f>-EPM($B$3,$B$4,6,$A54,"ytd_net_amount")</f>
        <v/>
      </c>
      <c r="E54" s="12">
        <f>-EPM($B$3,$B$4,9,$A54,"ytd_net_amount")</f>
        <v/>
      </c>
      <c r="F54" s="12">
        <f>-EPM($B$3,$B$4,12,$A54,"ytd_net_amount")</f>
        <v/>
      </c>
    </row>
    <row r="55">
      <c r="A55" s="7" t="inlineStr">
        <is>
          <t>222300</t>
        </is>
      </c>
      <c r="B55" s="8" t="inlineStr">
        <is>
          <t>Short Term Obligation - Finance Leases</t>
        </is>
      </c>
      <c r="C55" s="9">
        <f>-EPM($B$3,$B$4,3,$A55,"ytd_net_amount")</f>
        <v/>
      </c>
      <c r="D55" s="9">
        <f>-EPM($B$3,$B$4,6,$A55,"ytd_net_amount")</f>
        <v/>
      </c>
      <c r="E55" s="9">
        <f>-EPM($B$3,$B$4,9,$A55,"ytd_net_amount")</f>
        <v/>
      </c>
      <c r="F55" s="9">
        <f>-EPM($B$3,$B$4,12,$A55,"ytd_net_amount")</f>
        <v/>
      </c>
    </row>
    <row r="56">
      <c r="A56" s="10" t="inlineStr">
        <is>
          <t>222310</t>
        </is>
      </c>
      <c r="B56" s="11" t="inlineStr">
        <is>
          <t>Short Term Obligation - Operating Leases</t>
        </is>
      </c>
      <c r="C56" s="12">
        <f>-EPM($B$3,$B$4,3,$A56,"ytd_net_amount")</f>
        <v/>
      </c>
      <c r="D56" s="12">
        <f>-EPM($B$3,$B$4,6,$A56,"ytd_net_amount")</f>
        <v/>
      </c>
      <c r="E56" s="12">
        <f>-EPM($B$3,$B$4,9,$A56,"ytd_net_amount")</f>
        <v/>
      </c>
      <c r="F56" s="12">
        <f>-EPM($B$3,$B$4,12,$A56,"ytd_net_amount")</f>
        <v/>
      </c>
    </row>
    <row r="57">
      <c r="A57" s="7" t="inlineStr">
        <is>
          <t>231300</t>
        </is>
      </c>
      <c r="B57" s="8" t="inlineStr">
        <is>
          <t>Intercompany Payable - USMF/DEMF</t>
        </is>
      </c>
      <c r="C57" s="9">
        <f>-EPM($B$3,$B$4,3,$A57,"ytd_net_amount")</f>
        <v/>
      </c>
      <c r="D57" s="9">
        <f>-EPM($B$3,$B$4,6,$A57,"ytd_net_amount")</f>
        <v/>
      </c>
      <c r="E57" s="9">
        <f>-EPM($B$3,$B$4,9,$A57,"ytd_net_amount")</f>
        <v/>
      </c>
      <c r="F57" s="9">
        <f>-EPM($B$3,$B$4,12,$A57,"ytd_net_amount")</f>
        <v/>
      </c>
    </row>
    <row r="58">
      <c r="A58" s="10" t="inlineStr">
        <is>
          <t>231500</t>
        </is>
      </c>
      <c r="B58" s="11" t="inlineStr">
        <is>
          <t>Interunit Payable</t>
        </is>
      </c>
      <c r="C58" s="12">
        <f>-EPM($B$3,$B$4,3,$A58,"ytd_net_amount")</f>
        <v/>
      </c>
      <c r="D58" s="12">
        <f>-EPM($B$3,$B$4,6,$A58,"ytd_net_amount")</f>
        <v/>
      </c>
      <c r="E58" s="12">
        <f>-EPM($B$3,$B$4,9,$A58,"ytd_net_amount")</f>
        <v/>
      </c>
      <c r="F58" s="12">
        <f>-EPM($B$3,$B$4,12,$A58,"ytd_net_amount")</f>
        <v/>
      </c>
    </row>
    <row r="59">
      <c r="A59" s="24" t="n"/>
      <c r="B59" s="25" t="inlineStr">
        <is>
          <t>Total Current Liabilities</t>
        </is>
      </c>
      <c r="C59" s="26">
        <f>C45+C46+C47+C48+C49+C50+C51+C52+C53+C54+C55+C56+C57+C58</f>
        <v/>
      </c>
      <c r="D59" s="26">
        <f>D45+D46+D47+D48+D49+D50+D51+D52+D53+D54+D55+D56+D57+D58</f>
        <v/>
      </c>
      <c r="E59" s="26">
        <f>E45+E46+E47+E48+E49+E50+E51+E52+E53+E54+E55+E56+E57+E58</f>
        <v/>
      </c>
      <c r="F59" s="26">
        <f>F45+F46+F47+F48+F49+F50+F51+F52+F53+F54+F55+F56+F57+F58</f>
        <v/>
      </c>
    </row>
    <row r="61">
      <c r="B61" s="21" t="inlineStr">
        <is>
          <t>Non-Current Liabilities</t>
        </is>
      </c>
    </row>
    <row r="62">
      <c r="A62" s="7" t="inlineStr">
        <is>
          <t>250100</t>
        </is>
      </c>
      <c r="B62" s="8" t="inlineStr">
        <is>
          <t>Long-term Bank Loans</t>
        </is>
      </c>
      <c r="C62" s="9">
        <f>-EPM($B$3,$B$4,3,$A62,"ytd_net_amount")</f>
        <v/>
      </c>
      <c r="D62" s="9">
        <f>-EPM($B$3,$B$4,6,$A62,"ytd_net_amount")</f>
        <v/>
      </c>
      <c r="E62" s="9">
        <f>-EPM($B$3,$B$4,9,$A62,"ytd_net_amount")</f>
        <v/>
      </c>
      <c r="F62" s="9">
        <f>-EPM($B$3,$B$4,12,$A62,"ytd_net_amount")</f>
        <v/>
      </c>
    </row>
    <row r="63">
      <c r="A63" s="10" t="inlineStr">
        <is>
          <t>250200</t>
        </is>
      </c>
      <c r="B63" s="11" t="inlineStr">
        <is>
          <t>Notes Payable</t>
        </is>
      </c>
      <c r="C63" s="12">
        <f>-EPM($B$3,$B$4,3,$A63,"ytd_net_amount")</f>
        <v/>
      </c>
      <c r="D63" s="12">
        <f>-EPM($B$3,$B$4,6,$A63,"ytd_net_amount")</f>
        <v/>
      </c>
      <c r="E63" s="12">
        <f>-EPM($B$3,$B$4,9,$A63,"ytd_net_amount")</f>
        <v/>
      </c>
      <c r="F63" s="12">
        <f>-EPM($B$3,$B$4,12,$A63,"ytd_net_amount")</f>
        <v/>
      </c>
    </row>
    <row r="64">
      <c r="A64" s="7" t="inlineStr">
        <is>
          <t>250300</t>
        </is>
      </c>
      <c r="B64" s="8" t="inlineStr">
        <is>
          <t>Mortgage Payable</t>
        </is>
      </c>
      <c r="C64" s="9">
        <f>-EPM($B$3,$B$4,3,$A64,"ytd_net_amount")</f>
        <v/>
      </c>
      <c r="D64" s="9">
        <f>-EPM($B$3,$B$4,6,$A64,"ytd_net_amount")</f>
        <v/>
      </c>
      <c r="E64" s="9">
        <f>-EPM($B$3,$B$4,9,$A64,"ytd_net_amount")</f>
        <v/>
      </c>
      <c r="F64" s="9">
        <f>-EPM($B$3,$B$4,12,$A64,"ytd_net_amount")</f>
        <v/>
      </c>
    </row>
    <row r="65">
      <c r="A65" s="10" t="inlineStr">
        <is>
          <t>250500</t>
        </is>
      </c>
      <c r="B65" s="11" t="inlineStr">
        <is>
          <t>Deferred Income Tax</t>
        </is>
      </c>
      <c r="C65" s="12">
        <f>-EPM($B$3,$B$4,3,$A65,"ytd_net_amount")</f>
        <v/>
      </c>
      <c r="D65" s="12">
        <f>-EPM($B$3,$B$4,6,$A65,"ytd_net_amount")</f>
        <v/>
      </c>
      <c r="E65" s="12">
        <f>-EPM($B$3,$B$4,9,$A65,"ytd_net_amount")</f>
        <v/>
      </c>
      <c r="F65" s="12">
        <f>-EPM($B$3,$B$4,12,$A65,"ytd_net_amount")</f>
        <v/>
      </c>
    </row>
    <row r="66">
      <c r="A66" s="7" t="inlineStr">
        <is>
          <t>250600</t>
        </is>
      </c>
      <c r="B66" s="8" t="inlineStr">
        <is>
          <t>Deferred Revenue</t>
        </is>
      </c>
      <c r="C66" s="9">
        <f>-EPM($B$3,$B$4,3,$A66,"ytd_net_amount")</f>
        <v/>
      </c>
      <c r="D66" s="9">
        <f>-EPM($B$3,$B$4,6,$A66,"ytd_net_amount")</f>
        <v/>
      </c>
      <c r="E66" s="9">
        <f>-EPM($B$3,$B$4,9,$A66,"ytd_net_amount")</f>
        <v/>
      </c>
      <c r="F66" s="9">
        <f>-EPM($B$3,$B$4,12,$A66,"ytd_net_amount")</f>
        <v/>
      </c>
    </row>
    <row r="67">
      <c r="A67" s="10" t="inlineStr">
        <is>
          <t>250601</t>
        </is>
      </c>
      <c r="B67" s="11" t="inlineStr">
        <is>
          <t>Long Term Obligation - Finance Leases</t>
        </is>
      </c>
      <c r="C67" s="12">
        <f>-EPM($B$3,$B$4,3,$A67,"ytd_net_amount")</f>
        <v/>
      </c>
      <c r="D67" s="12">
        <f>-EPM($B$3,$B$4,6,$A67,"ytd_net_amount")</f>
        <v/>
      </c>
      <c r="E67" s="12">
        <f>-EPM($B$3,$B$4,9,$A67,"ytd_net_amount")</f>
        <v/>
      </c>
      <c r="F67" s="12">
        <f>-EPM($B$3,$B$4,12,$A67,"ytd_net_amount")</f>
        <v/>
      </c>
    </row>
    <row r="68">
      <c r="A68" s="7" t="inlineStr">
        <is>
          <t>250602</t>
        </is>
      </c>
      <c r="B68" s="8" t="inlineStr">
        <is>
          <t>Long Term Obligation - Operating Leases</t>
        </is>
      </c>
      <c r="C68" s="9">
        <f>-EPM($B$3,$B$4,3,$A68,"ytd_net_amount")</f>
        <v/>
      </c>
      <c r="D68" s="9">
        <f>-EPM($B$3,$B$4,6,$A68,"ytd_net_amount")</f>
        <v/>
      </c>
      <c r="E68" s="9">
        <f>-EPM($B$3,$B$4,9,$A68,"ytd_net_amount")</f>
        <v/>
      </c>
      <c r="F68" s="9">
        <f>-EPM($B$3,$B$4,12,$A68,"ytd_net_amount")</f>
        <v/>
      </c>
    </row>
    <row r="69">
      <c r="A69" s="24" t="n"/>
      <c r="B69" s="25" t="inlineStr">
        <is>
          <t>Total Non-Current Liabilities</t>
        </is>
      </c>
      <c r="C69" s="26">
        <f>C62+C63+C64+C65+C66+C67+C68</f>
        <v/>
      </c>
      <c r="D69" s="26">
        <f>D62+D63+D64+D65+D66+D67+D68</f>
        <v/>
      </c>
      <c r="E69" s="26">
        <f>E62+E63+E64+E65+E66+E67+E68</f>
        <v/>
      </c>
      <c r="F69" s="26">
        <f>F62+F63+F64+F65+F66+F67+F68</f>
        <v/>
      </c>
    </row>
    <row r="71">
      <c r="A71" s="24" t="n"/>
      <c r="B71" s="27" t="inlineStr">
        <is>
          <t>Total Liabilities</t>
        </is>
      </c>
      <c r="C71" s="28">
        <f>C59+C69</f>
        <v/>
      </c>
      <c r="D71" s="28">
        <f>D59+D69</f>
        <v/>
      </c>
      <c r="E71" s="28">
        <f>E59+E69</f>
        <v/>
      </c>
      <c r="F71" s="28">
        <f>F59+F69</f>
        <v/>
      </c>
    </row>
    <row r="73">
      <c r="B73" s="21" t="inlineStr">
        <is>
          <t>Shareholders' Equity</t>
        </is>
      </c>
    </row>
    <row r="74">
      <c r="A74" s="7" t="inlineStr">
        <is>
          <t>300110</t>
        </is>
      </c>
      <c r="B74" s="8" t="inlineStr">
        <is>
          <t>Capital Stock</t>
        </is>
      </c>
      <c r="C74" s="9">
        <f>-EPM($B$3,$B$4,3,$A74,"ytd_net_amount")</f>
        <v/>
      </c>
      <c r="D74" s="9">
        <f>-EPM($B$3,$B$4,6,$A74,"ytd_net_amount")</f>
        <v/>
      </c>
      <c r="E74" s="9">
        <f>-EPM($B$3,$B$4,9,$A74,"ytd_net_amount")</f>
        <v/>
      </c>
      <c r="F74" s="9">
        <f>-EPM($B$3,$B$4,12,$A74,"ytd_net_amount")</f>
        <v/>
      </c>
    </row>
    <row r="75">
      <c r="A75" s="10" t="inlineStr">
        <is>
          <t>300120</t>
        </is>
      </c>
      <c r="B75" s="11" t="inlineStr">
        <is>
          <t>Paid-in Capital</t>
        </is>
      </c>
      <c r="C75" s="12">
        <f>-EPM($B$3,$B$4,3,$A75,"ytd_net_amount")</f>
        <v/>
      </c>
      <c r="D75" s="12">
        <f>-EPM($B$3,$B$4,6,$A75,"ytd_net_amount")</f>
        <v/>
      </c>
      <c r="E75" s="12">
        <f>-EPM($B$3,$B$4,9,$A75,"ytd_net_amount")</f>
        <v/>
      </c>
      <c r="F75" s="12">
        <f>-EPM($B$3,$B$4,12,$A75,"ytd_net_amount")</f>
        <v/>
      </c>
    </row>
    <row r="76">
      <c r="A76" s="7" t="inlineStr">
        <is>
          <t>300130</t>
        </is>
      </c>
      <c r="B76" s="8" t="inlineStr">
        <is>
          <t>Dividends Paid</t>
        </is>
      </c>
      <c r="C76" s="9">
        <f>-EPM($B$3,$B$4,3,$A76,"ytd_net_amount")</f>
        <v/>
      </c>
      <c r="D76" s="9">
        <f>-EPM($B$3,$B$4,6,$A76,"ytd_net_amount")</f>
        <v/>
      </c>
      <c r="E76" s="9">
        <f>-EPM($B$3,$B$4,9,$A76,"ytd_net_amount")</f>
        <v/>
      </c>
      <c r="F76" s="9">
        <f>-EPM($B$3,$B$4,12,$A76,"ytd_net_amount")</f>
        <v/>
      </c>
    </row>
    <row r="77">
      <c r="A77" s="10" t="inlineStr">
        <is>
          <t>300150</t>
        </is>
      </c>
      <c r="B77" s="11" t="inlineStr">
        <is>
          <t>Unrealized Currency Gain/Loss</t>
        </is>
      </c>
      <c r="C77" s="12">
        <f>-EPM($B$3,$B$4,3,$A77,"ytd_net_amount")</f>
        <v/>
      </c>
      <c r="D77" s="12">
        <f>-EPM($B$3,$B$4,6,$A77,"ytd_net_amount")</f>
        <v/>
      </c>
      <c r="E77" s="12">
        <f>-EPM($B$3,$B$4,9,$A77,"ytd_net_amount")</f>
        <v/>
      </c>
      <c r="F77" s="12">
        <f>-EPM($B$3,$B$4,12,$A77,"ytd_net_amount")</f>
        <v/>
      </c>
    </row>
    <row r="78">
      <c r="A78" s="7" t="inlineStr">
        <is>
          <t>300160</t>
        </is>
      </c>
      <c r="B78" s="8" t="inlineStr">
        <is>
          <t>Retained Earnings</t>
        </is>
      </c>
      <c r="C78" s="9">
        <f>-EPM($B$3,$B$4,3,$A78,"ytd_net_amount")</f>
        <v/>
      </c>
      <c r="D78" s="9">
        <f>-EPM($B$3,$B$4,6,$A78,"ytd_net_amount")</f>
        <v/>
      </c>
      <c r="E78" s="9">
        <f>-EPM($B$3,$B$4,9,$A78,"ytd_net_amount")</f>
        <v/>
      </c>
      <c r="F78" s="9">
        <f>-EPM($B$3,$B$4,12,$A78,"ytd_net_amount")</f>
        <v/>
      </c>
    </row>
    <row r="79">
      <c r="A79" s="10" t="inlineStr">
        <is>
          <t>300170</t>
        </is>
      </c>
      <c r="B79" s="11" t="inlineStr">
        <is>
          <t>Accumulated Other Comprehensive Income</t>
        </is>
      </c>
      <c r="C79" s="12">
        <f>-EPM($B$3,$B$4,3,$A79,"ytd_net_amount")</f>
        <v/>
      </c>
      <c r="D79" s="12">
        <f>-EPM($B$3,$B$4,6,$A79,"ytd_net_amount")</f>
        <v/>
      </c>
      <c r="E79" s="12">
        <f>-EPM($B$3,$B$4,9,$A79,"ytd_net_amount")</f>
        <v/>
      </c>
      <c r="F79" s="12">
        <f>-EPM($B$3,$B$4,12,$A79,"ytd_net_amount")</f>
        <v/>
      </c>
    </row>
    <row r="80">
      <c r="A80" s="24" t="n"/>
      <c r="B80" s="25" t="inlineStr">
        <is>
          <t>Total Equity</t>
        </is>
      </c>
      <c r="C80" s="26">
        <f>C74+C75+C76+C77+C78+C79</f>
        <v/>
      </c>
      <c r="D80" s="26">
        <f>D74+D75+D76+D77+D78+D79</f>
        <v/>
      </c>
      <c r="E80" s="26">
        <f>E74+E75+E76+E77+E78+E79</f>
        <v/>
      </c>
      <c r="F80" s="26">
        <f>F74+F75+F76+F77+F78+F79</f>
        <v/>
      </c>
    </row>
    <row r="82">
      <c r="A82" s="24" t="n"/>
      <c r="B82" s="27" t="inlineStr">
        <is>
          <t>Total Liabilities &amp; Equity</t>
        </is>
      </c>
      <c r="C82" s="28">
        <f>C71+C80</f>
        <v/>
      </c>
      <c r="D82" s="28">
        <f>D71+D80</f>
        <v/>
      </c>
      <c r="E82" s="28">
        <f>E71+E80</f>
        <v/>
      </c>
      <c r="F82" s="28">
        <f>F71+F80</f>
        <v/>
      </c>
    </row>
    <row r="84">
      <c r="A84" s="24" t="n"/>
      <c r="B84" s="27" t="inlineStr">
        <is>
          <t>Check (Assets - L&amp;E)</t>
        </is>
      </c>
      <c r="C84" s="29">
        <f>C42-C82</f>
        <v/>
      </c>
      <c r="D84" s="29">
        <f>D42-D82</f>
        <v/>
      </c>
      <c r="E84" s="29">
        <f>E42-E82</f>
        <v/>
      </c>
      <c r="F84" s="29">
        <f>F42-F82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0" t="inlineStr">
        <is>
          <t>Statement of Cash Flows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3">
      <c r="A3" s="32" t="inlineStr">
        <is>
          <t>Entity</t>
        </is>
      </c>
      <c r="B3" s="4" t="inlineStr">
        <is>
          <t>USMF</t>
        </is>
      </c>
      <c r="D3" s="32" t="inlineStr">
        <is>
          <t>Measure</t>
        </is>
      </c>
      <c r="E3" s="4" t="inlineStr">
        <is>
          <t>period_net_amount</t>
        </is>
      </c>
    </row>
    <row r="4">
      <c r="A4" s="32" t="inlineStr">
        <is>
          <t>Year</t>
        </is>
      </c>
      <c r="B4" s="4" t="n">
        <v>2024</v>
      </c>
    </row>
    <row r="6">
      <c r="A6" s="33" t="inlineStr">
        <is>
          <t>Account</t>
        </is>
      </c>
      <c r="B6" s="33" t="inlineStr">
        <is>
          <t>Description</t>
        </is>
      </c>
      <c r="C6" s="34" t="inlineStr">
        <is>
          <t>Q1</t>
        </is>
      </c>
      <c r="D6" s="34" t="inlineStr">
        <is>
          <t>Q2</t>
        </is>
      </c>
      <c r="E6" s="34" t="inlineStr">
        <is>
          <t>Q3</t>
        </is>
      </c>
      <c r="F6" s="34" t="inlineStr">
        <is>
          <t>Q4</t>
        </is>
      </c>
      <c r="G6" s="34" t="inlineStr">
        <is>
          <t>H1</t>
        </is>
      </c>
      <c r="H6" s="34" t="inlineStr">
        <is>
          <t>H2</t>
        </is>
      </c>
      <c r="I6" s="34" t="inlineStr">
        <is>
          <t>Full Year</t>
        </is>
      </c>
    </row>
    <row r="7">
      <c r="B7" s="32" t="inlineStr">
        <is>
          <t>Operating Activities</t>
        </is>
      </c>
    </row>
    <row r="8">
      <c r="B8" s="11" t="inlineStr">
        <is>
          <t>Net Income</t>
        </is>
      </c>
      <c r="C8" s="12">
        <f>-EPM($B$3,$B$4,"Q1","300160","period_net_amount")</f>
        <v/>
      </c>
      <c r="D8" s="12">
        <f>-EPM($B$3,$B$4,"Q2","300160","period_net_amount")</f>
        <v/>
      </c>
      <c r="E8" s="12">
        <f>-EPM($B$3,$B$4,"Q3","300160","period_net_amount")</f>
        <v/>
      </c>
      <c r="F8" s="12">
        <f>-EPM($B$3,$B$4,"Q4","300160","period_net_amount")</f>
        <v/>
      </c>
      <c r="G8" s="12">
        <f>-EPM($B$3,$B$4,"H1","300160","period_net_amount")</f>
        <v/>
      </c>
      <c r="H8" s="12">
        <f>-EPM($B$3,$B$4,"H2","300160","period_net_amount")</f>
        <v/>
      </c>
      <c r="I8" s="12">
        <f>-EPM($B$3,$B$4,"FY","300160","period_net_amount")</f>
        <v/>
      </c>
    </row>
    <row r="9">
      <c r="B9" s="35" t="inlineStr">
        <is>
          <t>Adjustments for non-cash items:</t>
        </is>
      </c>
    </row>
    <row r="10">
      <c r="A10" s="10" t="inlineStr">
        <is>
          <t>607200</t>
        </is>
      </c>
      <c r="B10" s="11" t="inlineStr">
        <is>
          <t>Depreciation - Tangible Assets</t>
        </is>
      </c>
      <c r="C10" s="12">
        <f>EPM($B$3,$B$4,"Q1",$A10,"period_net_amount")</f>
        <v/>
      </c>
      <c r="D10" s="12">
        <f>EPM($B$3,$B$4,"Q2",$A10,"period_net_amount")</f>
        <v/>
      </c>
      <c r="E10" s="12">
        <f>EPM($B$3,$B$4,"Q3",$A10,"period_net_amount")</f>
        <v/>
      </c>
      <c r="F10" s="12">
        <f>EPM($B$3,$B$4,"Q4",$A10,"period_net_amount")</f>
        <v/>
      </c>
      <c r="G10" s="12">
        <f>EPM($B$3,$B$4,"H1",$A10,"period_net_amount")</f>
        <v/>
      </c>
      <c r="H10" s="12">
        <f>EPM($B$3,$B$4,"H2",$A10,"period_net_amount")</f>
        <v/>
      </c>
      <c r="I10" s="12">
        <f>EPM($B$3,$B$4,"FY",$A10,"period_net_amount")</f>
        <v/>
      </c>
    </row>
    <row r="11">
      <c r="A11" s="7" t="inlineStr">
        <is>
          <t>607100</t>
        </is>
      </c>
      <c r="B11" s="8" t="inlineStr">
        <is>
          <t>Depreciation - Intangible Assets</t>
        </is>
      </c>
      <c r="C11" s="9">
        <f>EPM($B$3,$B$4,"Q1",$A11,"period_net_amount")</f>
        <v/>
      </c>
      <c r="D11" s="9">
        <f>EPM($B$3,$B$4,"Q2",$A11,"period_net_amount")</f>
        <v/>
      </c>
      <c r="E11" s="9">
        <f>EPM($B$3,$B$4,"Q3",$A11,"period_net_amount")</f>
        <v/>
      </c>
      <c r="F11" s="9">
        <f>EPM($B$3,$B$4,"Q4",$A11,"period_net_amount")</f>
        <v/>
      </c>
      <c r="G11" s="9">
        <f>EPM($B$3,$B$4,"H1",$A11,"period_net_amount")</f>
        <v/>
      </c>
      <c r="H11" s="9">
        <f>EPM($B$3,$B$4,"H2",$A11,"period_net_amount")</f>
        <v/>
      </c>
      <c r="I11" s="9">
        <f>EPM($B$3,$B$4,"FY",$A11,"period_net_amount")</f>
        <v/>
      </c>
    </row>
    <row r="12">
      <c r="A12" s="10" t="inlineStr">
        <is>
          <t>801100</t>
        </is>
      </c>
      <c r="B12" s="11" t="inlineStr">
        <is>
          <t>Gain/Loss - Disposal of Assets</t>
        </is>
      </c>
      <c r="C12" s="12">
        <f>EPM($B$3,$B$4,"Q1",$A12,"period_net_amount")</f>
        <v/>
      </c>
      <c r="D12" s="12">
        <f>EPM($B$3,$B$4,"Q2",$A12,"period_net_amount")</f>
        <v/>
      </c>
      <c r="E12" s="12">
        <f>EPM($B$3,$B$4,"Q3",$A12,"period_net_amount")</f>
        <v/>
      </c>
      <c r="F12" s="12">
        <f>EPM($B$3,$B$4,"Q4",$A12,"period_net_amount")</f>
        <v/>
      </c>
      <c r="G12" s="12">
        <f>EPM($B$3,$B$4,"H1",$A12,"period_net_amount")</f>
        <v/>
      </c>
      <c r="H12" s="12">
        <f>EPM($B$3,$B$4,"H2",$A12,"period_net_amount")</f>
        <v/>
      </c>
      <c r="I12" s="12">
        <f>EPM($B$3,$B$4,"FY",$A12,"period_net_amount")</f>
        <v/>
      </c>
    </row>
    <row r="13">
      <c r="A13" s="7" t="inlineStr">
        <is>
          <t>801200</t>
        </is>
      </c>
      <c r="B13" s="8" t="inlineStr">
        <is>
          <t>Gain/Loss - Revaluation</t>
        </is>
      </c>
      <c r="C13" s="9">
        <f>EPM($B$3,$B$4,"Q1",$A13,"period_net_amount")</f>
        <v/>
      </c>
      <c r="D13" s="9">
        <f>EPM($B$3,$B$4,"Q2",$A13,"period_net_amount")</f>
        <v/>
      </c>
      <c r="E13" s="9">
        <f>EPM($B$3,$B$4,"Q3",$A13,"period_net_amount")</f>
        <v/>
      </c>
      <c r="F13" s="9">
        <f>EPM($B$3,$B$4,"Q4",$A13,"period_net_amount")</f>
        <v/>
      </c>
      <c r="G13" s="9">
        <f>EPM($B$3,$B$4,"H1",$A13,"period_net_amount")</f>
        <v/>
      </c>
      <c r="H13" s="9">
        <f>EPM($B$3,$B$4,"H2",$A13,"period_net_amount")</f>
        <v/>
      </c>
      <c r="I13" s="9">
        <f>EPM($B$3,$B$4,"FY",$A13,"period_net_amount")</f>
        <v/>
      </c>
    </row>
    <row r="14">
      <c r="B14" s="35" t="inlineStr">
        <is>
          <t>Changes in working capital:</t>
        </is>
      </c>
    </row>
    <row r="15">
      <c r="A15" s="10" t="inlineStr">
        <is>
          <t>130100</t>
        </is>
      </c>
      <c r="B15" s="11" t="inlineStr">
        <is>
          <t>Accounts Receivable</t>
        </is>
      </c>
      <c r="C15" s="12">
        <f>EPM($B$3,$B$4,"Q1",$A15,"period_net_amount")</f>
        <v/>
      </c>
      <c r="D15" s="12">
        <f>EPM($B$3,$B$4,"Q2",$A15,"period_net_amount")</f>
        <v/>
      </c>
      <c r="E15" s="12">
        <f>EPM($B$3,$B$4,"Q3",$A15,"period_net_amount")</f>
        <v/>
      </c>
      <c r="F15" s="12">
        <f>EPM($B$3,$B$4,"Q4",$A15,"period_net_amount")</f>
        <v/>
      </c>
      <c r="G15" s="12">
        <f>EPM($B$3,$B$4,"H1",$A15,"period_net_amount")</f>
        <v/>
      </c>
      <c r="H15" s="12">
        <f>EPM($B$3,$B$4,"H2",$A15,"period_net_amount")</f>
        <v/>
      </c>
      <c r="I15" s="12">
        <f>EPM($B$3,$B$4,"FY",$A15,"period_net_amount")</f>
        <v/>
      </c>
    </row>
    <row r="16">
      <c r="A16" s="7" t="inlineStr">
        <is>
          <t>130300</t>
        </is>
      </c>
      <c r="B16" s="8" t="inlineStr">
        <is>
          <t>Accounts Receivable - Not Invoiced</t>
        </is>
      </c>
      <c r="C16" s="9">
        <f>EPM($B$3,$B$4,"Q1",$A16,"period_net_amount")</f>
        <v/>
      </c>
      <c r="D16" s="9">
        <f>EPM($B$3,$B$4,"Q2",$A16,"period_net_amount")</f>
        <v/>
      </c>
      <c r="E16" s="9">
        <f>EPM($B$3,$B$4,"Q3",$A16,"period_net_amount")</f>
        <v/>
      </c>
      <c r="F16" s="9">
        <f>EPM($B$3,$B$4,"Q4",$A16,"period_net_amount")</f>
        <v/>
      </c>
      <c r="G16" s="9">
        <f>EPM($B$3,$B$4,"H1",$A16,"period_net_amount")</f>
        <v/>
      </c>
      <c r="H16" s="9">
        <f>EPM($B$3,$B$4,"H2",$A16,"period_net_amount")</f>
        <v/>
      </c>
      <c r="I16" s="9">
        <f>EPM($B$3,$B$4,"FY",$A16,"period_net_amount")</f>
        <v/>
      </c>
    </row>
    <row r="17">
      <c r="A17" s="10" t="inlineStr">
        <is>
          <t>140100</t>
        </is>
      </c>
      <c r="B17" s="11" t="inlineStr">
        <is>
          <t>Raw Materials Inventory</t>
        </is>
      </c>
      <c r="C17" s="12">
        <f>EPM($B$3,$B$4,"Q1",$A17,"period_net_amount")</f>
        <v/>
      </c>
      <c r="D17" s="12">
        <f>EPM($B$3,$B$4,"Q2",$A17,"period_net_amount")</f>
        <v/>
      </c>
      <c r="E17" s="12">
        <f>EPM($B$3,$B$4,"Q3",$A17,"period_net_amount")</f>
        <v/>
      </c>
      <c r="F17" s="12">
        <f>EPM($B$3,$B$4,"Q4",$A17,"period_net_amount")</f>
        <v/>
      </c>
      <c r="G17" s="12">
        <f>EPM($B$3,$B$4,"H1",$A17,"period_net_amount")</f>
        <v/>
      </c>
      <c r="H17" s="12">
        <f>EPM($B$3,$B$4,"H2",$A17,"period_net_amount")</f>
        <v/>
      </c>
      <c r="I17" s="12">
        <f>EPM($B$3,$B$4,"FY",$A17,"period_net_amount")</f>
        <v/>
      </c>
    </row>
    <row r="18">
      <c r="A18" s="7" t="inlineStr">
        <is>
          <t>140200</t>
        </is>
      </c>
      <c r="B18" s="8" t="inlineStr">
        <is>
          <t>Finished Goods Inventory</t>
        </is>
      </c>
      <c r="C18" s="9">
        <f>EPM($B$3,$B$4,"Q1",$A18,"period_net_amount")</f>
        <v/>
      </c>
      <c r="D18" s="9">
        <f>EPM($B$3,$B$4,"Q2",$A18,"period_net_amount")</f>
        <v/>
      </c>
      <c r="E18" s="9">
        <f>EPM($B$3,$B$4,"Q3",$A18,"period_net_amount")</f>
        <v/>
      </c>
      <c r="F18" s="9">
        <f>EPM($B$3,$B$4,"Q4",$A18,"period_net_amount")</f>
        <v/>
      </c>
      <c r="G18" s="9">
        <f>EPM($B$3,$B$4,"H1",$A18,"period_net_amount")</f>
        <v/>
      </c>
      <c r="H18" s="9">
        <f>EPM($B$3,$B$4,"H2",$A18,"period_net_amount")</f>
        <v/>
      </c>
      <c r="I18" s="9">
        <f>EPM($B$3,$B$4,"FY",$A18,"period_net_amount")</f>
        <v/>
      </c>
    </row>
    <row r="19">
      <c r="A19" s="10" t="inlineStr">
        <is>
          <t>132190</t>
        </is>
      </c>
      <c r="B19" s="11" t="inlineStr">
        <is>
          <t>Prepaid Expenses</t>
        </is>
      </c>
      <c r="C19" s="12">
        <f>EPM($B$3,$B$4,"Q1",$A19,"period_net_amount")</f>
        <v/>
      </c>
      <c r="D19" s="12">
        <f>EPM($B$3,$B$4,"Q2",$A19,"period_net_amount")</f>
        <v/>
      </c>
      <c r="E19" s="12">
        <f>EPM($B$3,$B$4,"Q3",$A19,"period_net_amount")</f>
        <v/>
      </c>
      <c r="F19" s="12">
        <f>EPM($B$3,$B$4,"Q4",$A19,"period_net_amount")</f>
        <v/>
      </c>
      <c r="G19" s="12">
        <f>EPM($B$3,$B$4,"H1",$A19,"period_net_amount")</f>
        <v/>
      </c>
      <c r="H19" s="12">
        <f>EPM($B$3,$B$4,"H2",$A19,"period_net_amount")</f>
        <v/>
      </c>
      <c r="I19" s="12">
        <f>EPM($B$3,$B$4,"FY",$A19,"period_net_amount")</f>
        <v/>
      </c>
    </row>
    <row r="20">
      <c r="A20" s="7" t="inlineStr">
        <is>
          <t>200100</t>
        </is>
      </c>
      <c r="B20" s="8" t="inlineStr">
        <is>
          <t>Accounts Payable</t>
        </is>
      </c>
      <c r="C20" s="9">
        <f>EPM($B$3,$B$4,"Q1",$A20,"period_net_amount")</f>
        <v/>
      </c>
      <c r="D20" s="9">
        <f>EPM($B$3,$B$4,"Q2",$A20,"period_net_amount")</f>
        <v/>
      </c>
      <c r="E20" s="9">
        <f>EPM($B$3,$B$4,"Q3",$A20,"period_net_amount")</f>
        <v/>
      </c>
      <c r="F20" s="9">
        <f>EPM($B$3,$B$4,"Q4",$A20,"period_net_amount")</f>
        <v/>
      </c>
      <c r="G20" s="9">
        <f>EPM($B$3,$B$4,"H1",$A20,"period_net_amount")</f>
        <v/>
      </c>
      <c r="H20" s="9">
        <f>EPM($B$3,$B$4,"H2",$A20,"period_net_amount")</f>
        <v/>
      </c>
      <c r="I20" s="9">
        <f>EPM($B$3,$B$4,"FY",$A20,"period_net_amount")</f>
        <v/>
      </c>
    </row>
    <row r="21">
      <c r="A21" s="10" t="inlineStr">
        <is>
          <t>200140</t>
        </is>
      </c>
      <c r="B21" s="11" t="inlineStr">
        <is>
          <t>Accrued Purchases</t>
        </is>
      </c>
      <c r="C21" s="12">
        <f>EPM($B$3,$B$4,"Q1",$A21,"period_net_amount")</f>
        <v/>
      </c>
      <c r="D21" s="12">
        <f>EPM($B$3,$B$4,"Q2",$A21,"period_net_amount")</f>
        <v/>
      </c>
      <c r="E21" s="12">
        <f>EPM($B$3,$B$4,"Q3",$A21,"period_net_amount")</f>
        <v/>
      </c>
      <c r="F21" s="12">
        <f>EPM($B$3,$B$4,"Q4",$A21,"period_net_amount")</f>
        <v/>
      </c>
      <c r="G21" s="12">
        <f>EPM($B$3,$B$4,"H1",$A21,"period_net_amount")</f>
        <v/>
      </c>
      <c r="H21" s="12">
        <f>EPM($B$3,$B$4,"H2",$A21,"period_net_amount")</f>
        <v/>
      </c>
      <c r="I21" s="12">
        <f>EPM($B$3,$B$4,"FY",$A21,"period_net_amount")</f>
        <v/>
      </c>
    </row>
    <row r="22">
      <c r="A22" s="7" t="inlineStr">
        <is>
          <t>200190</t>
        </is>
      </c>
      <c r="B22" s="8" t="inlineStr">
        <is>
          <t>Accrued Purchases - Other</t>
        </is>
      </c>
      <c r="C22" s="9">
        <f>EPM($B$3,$B$4,"Q1",$A22,"period_net_amount")</f>
        <v/>
      </c>
      <c r="D22" s="9">
        <f>EPM($B$3,$B$4,"Q2",$A22,"period_net_amount")</f>
        <v/>
      </c>
      <c r="E22" s="9">
        <f>EPM($B$3,$B$4,"Q3",$A22,"period_net_amount")</f>
        <v/>
      </c>
      <c r="F22" s="9">
        <f>EPM($B$3,$B$4,"Q4",$A22,"period_net_amount")</f>
        <v/>
      </c>
      <c r="G22" s="9">
        <f>EPM($B$3,$B$4,"H1",$A22,"period_net_amount")</f>
        <v/>
      </c>
      <c r="H22" s="9">
        <f>EPM($B$3,$B$4,"H2",$A22,"period_net_amount")</f>
        <v/>
      </c>
      <c r="I22" s="9">
        <f>EPM($B$3,$B$4,"FY",$A22,"period_net_amount")</f>
        <v/>
      </c>
    </row>
    <row r="23">
      <c r="A23" s="36" t="n"/>
      <c r="B23" s="37" t="inlineStr">
        <is>
          <t>Net Cash from Operating Activities</t>
        </is>
      </c>
      <c r="C23" s="38">
        <f>C8+C10+C11+C12+C13+C15+C16+C17+C18+C19+C20+C21+C22</f>
        <v/>
      </c>
      <c r="D23" s="38">
        <f>D8+D10+D11+D12+D13+D15+D16+D17+D18+D19+D20+D21+D22</f>
        <v/>
      </c>
      <c r="E23" s="38">
        <f>E8+E10+E11+E12+E13+E15+E16+E17+E18+E19+E20+E21+E22</f>
        <v/>
      </c>
      <c r="F23" s="38">
        <f>F8+F10+F11+F12+F13+F15+F16+F17+F18+F19+F20+F21+F22</f>
        <v/>
      </c>
      <c r="G23" s="38">
        <f>G8+G10+G11+G12+G13+G15+G16+G17+G18+G19+G20+G21+G22</f>
        <v/>
      </c>
      <c r="H23" s="38">
        <f>H8+H10+H11+H12+H13+H15+H16+H17+H18+H19+H20+H21+H22</f>
        <v/>
      </c>
      <c r="I23" s="38">
        <f>I8+I10+I11+I12+I13+I15+I16+I17+I18+I19+I20+I21+I22</f>
        <v/>
      </c>
    </row>
    <row r="25">
      <c r="B25" s="32" t="inlineStr">
        <is>
          <t>Investing Activities</t>
        </is>
      </c>
    </row>
    <row r="26">
      <c r="A26" s="7" t="inlineStr">
        <is>
          <t>180100</t>
        </is>
      </c>
      <c r="B26" s="8" t="inlineStr">
        <is>
          <t>Purchase of Fixed Assets</t>
        </is>
      </c>
      <c r="C26" s="9">
        <f>EPM($B$3,$B$4,"Q1",$A26,"period_net_amount")</f>
        <v/>
      </c>
      <c r="D26" s="9">
        <f>EPM($B$3,$B$4,"Q2",$A26,"period_net_amount")</f>
        <v/>
      </c>
      <c r="E26" s="9">
        <f>EPM($B$3,$B$4,"Q3",$A26,"period_net_amount")</f>
        <v/>
      </c>
      <c r="F26" s="9">
        <f>EPM($B$3,$B$4,"Q4",$A26,"period_net_amount")</f>
        <v/>
      </c>
      <c r="G26" s="9">
        <f>EPM($B$3,$B$4,"H1",$A26,"period_net_amount")</f>
        <v/>
      </c>
      <c r="H26" s="9">
        <f>EPM($B$3,$B$4,"H2",$A26,"period_net_amount")</f>
        <v/>
      </c>
      <c r="I26" s="9">
        <f>EPM($B$3,$B$4,"FY",$A26,"period_net_amount")</f>
        <v/>
      </c>
    </row>
    <row r="27">
      <c r="A27" s="10" t="inlineStr">
        <is>
          <t>180141</t>
        </is>
      </c>
      <c r="B27" s="11" t="inlineStr">
        <is>
          <t>Assets Under Construction</t>
        </is>
      </c>
      <c r="C27" s="12">
        <f>EPM($B$3,$B$4,"Q1",$A27,"period_net_amount")</f>
        <v/>
      </c>
      <c r="D27" s="12">
        <f>EPM($B$3,$B$4,"Q2",$A27,"period_net_amount")</f>
        <v/>
      </c>
      <c r="E27" s="12">
        <f>EPM($B$3,$B$4,"Q3",$A27,"period_net_amount")</f>
        <v/>
      </c>
      <c r="F27" s="12">
        <f>EPM($B$3,$B$4,"Q4",$A27,"period_net_amount")</f>
        <v/>
      </c>
      <c r="G27" s="12">
        <f>EPM($B$3,$B$4,"H1",$A27,"period_net_amount")</f>
        <v/>
      </c>
      <c r="H27" s="12">
        <f>EPM($B$3,$B$4,"H2",$A27,"period_net_amount")</f>
        <v/>
      </c>
      <c r="I27" s="12">
        <f>EPM($B$3,$B$4,"FY",$A27,"period_net_amount")</f>
        <v/>
      </c>
    </row>
    <row r="28">
      <c r="A28" s="7" t="inlineStr">
        <is>
          <t>180140</t>
        </is>
      </c>
      <c r="B28" s="8" t="inlineStr">
        <is>
          <t>Purchase of Intangible Assets</t>
        </is>
      </c>
      <c r="C28" s="9">
        <f>EPM($B$3,$B$4,"Q1",$A28,"period_net_amount")</f>
        <v/>
      </c>
      <c r="D28" s="9">
        <f>EPM($B$3,$B$4,"Q2",$A28,"period_net_amount")</f>
        <v/>
      </c>
      <c r="E28" s="9">
        <f>EPM($B$3,$B$4,"Q3",$A28,"period_net_amount")</f>
        <v/>
      </c>
      <c r="F28" s="9">
        <f>EPM($B$3,$B$4,"Q4",$A28,"period_net_amount")</f>
        <v/>
      </c>
      <c r="G28" s="9">
        <f>EPM($B$3,$B$4,"H1",$A28,"period_net_amount")</f>
        <v/>
      </c>
      <c r="H28" s="9">
        <f>EPM($B$3,$B$4,"H2",$A28,"period_net_amount")</f>
        <v/>
      </c>
      <c r="I28" s="9">
        <f>EPM($B$3,$B$4,"FY",$A28,"period_net_amount")</f>
        <v/>
      </c>
    </row>
    <row r="29">
      <c r="A29" s="10" t="inlineStr">
        <is>
          <t>120200</t>
        </is>
      </c>
      <c r="B29" s="11" t="inlineStr">
        <is>
          <t>Marketable Securities</t>
        </is>
      </c>
      <c r="C29" s="12">
        <f>EPM($B$3,$B$4,"Q1",$A29,"period_net_amount")</f>
        <v/>
      </c>
      <c r="D29" s="12">
        <f>EPM($B$3,$B$4,"Q2",$A29,"period_net_amount")</f>
        <v/>
      </c>
      <c r="E29" s="12">
        <f>EPM($B$3,$B$4,"Q3",$A29,"period_net_amount")</f>
        <v/>
      </c>
      <c r="F29" s="12">
        <f>EPM($B$3,$B$4,"Q4",$A29,"period_net_amount")</f>
        <v/>
      </c>
      <c r="G29" s="12">
        <f>EPM($B$3,$B$4,"H1",$A29,"period_net_amount")</f>
        <v/>
      </c>
      <c r="H29" s="12">
        <f>EPM($B$3,$B$4,"H2",$A29,"period_net_amount")</f>
        <v/>
      </c>
      <c r="I29" s="12">
        <f>EPM($B$3,$B$4,"FY",$A29,"period_net_amount")</f>
        <v/>
      </c>
    </row>
    <row r="30">
      <c r="A30" s="36" t="n"/>
      <c r="B30" s="37" t="inlineStr">
        <is>
          <t>Net Cash from Investing Activities</t>
        </is>
      </c>
      <c r="C30" s="38">
        <f>C26+C27+C28+C29</f>
        <v/>
      </c>
      <c r="D30" s="38">
        <f>D26+D27+D28+D29</f>
        <v/>
      </c>
      <c r="E30" s="38">
        <f>E26+E27+E28+E29</f>
        <v/>
      </c>
      <c r="F30" s="38">
        <f>F26+F27+F28+F29</f>
        <v/>
      </c>
      <c r="G30" s="38">
        <f>G26+G27+G28+G29</f>
        <v/>
      </c>
      <c r="H30" s="38">
        <f>H26+H27+H28+H29</f>
        <v/>
      </c>
      <c r="I30" s="38">
        <f>I26+I27+I28+I29</f>
        <v/>
      </c>
    </row>
    <row r="32">
      <c r="B32" s="32" t="inlineStr">
        <is>
          <t>Financing Activities</t>
        </is>
      </c>
    </row>
    <row r="33">
      <c r="A33" s="7" t="inlineStr">
        <is>
          <t>250100</t>
        </is>
      </c>
      <c r="B33" s="8" t="inlineStr">
        <is>
          <t>Long-term Bank Loans</t>
        </is>
      </c>
      <c r="C33" s="9">
        <f>EPM($B$3,$B$4,"Q1",$A33,"period_net_amount")</f>
        <v/>
      </c>
      <c r="D33" s="9">
        <f>EPM($B$3,$B$4,"Q2",$A33,"period_net_amount")</f>
        <v/>
      </c>
      <c r="E33" s="9">
        <f>EPM($B$3,$B$4,"Q3",$A33,"period_net_amount")</f>
        <v/>
      </c>
      <c r="F33" s="9">
        <f>EPM($B$3,$B$4,"Q4",$A33,"period_net_amount")</f>
        <v/>
      </c>
      <c r="G33" s="9">
        <f>EPM($B$3,$B$4,"H1",$A33,"period_net_amount")</f>
        <v/>
      </c>
      <c r="H33" s="9">
        <f>EPM($B$3,$B$4,"H2",$A33,"period_net_amount")</f>
        <v/>
      </c>
      <c r="I33" s="9">
        <f>EPM($B$3,$B$4,"FY",$A33,"period_net_amount")</f>
        <v/>
      </c>
    </row>
    <row r="34">
      <c r="A34" s="10" t="inlineStr">
        <is>
          <t>250200</t>
        </is>
      </c>
      <c r="B34" s="11" t="inlineStr">
        <is>
          <t>Notes Payable</t>
        </is>
      </c>
      <c r="C34" s="12">
        <f>EPM($B$3,$B$4,"Q1",$A34,"period_net_amount")</f>
        <v/>
      </c>
      <c r="D34" s="12">
        <f>EPM($B$3,$B$4,"Q2",$A34,"period_net_amount")</f>
        <v/>
      </c>
      <c r="E34" s="12">
        <f>EPM($B$3,$B$4,"Q3",$A34,"period_net_amount")</f>
        <v/>
      </c>
      <c r="F34" s="12">
        <f>EPM($B$3,$B$4,"Q4",$A34,"period_net_amount")</f>
        <v/>
      </c>
      <c r="G34" s="12">
        <f>EPM($B$3,$B$4,"H1",$A34,"period_net_amount")</f>
        <v/>
      </c>
      <c r="H34" s="12">
        <f>EPM($B$3,$B$4,"H2",$A34,"period_net_amount")</f>
        <v/>
      </c>
      <c r="I34" s="12">
        <f>EPM($B$3,$B$4,"FY",$A34,"period_net_amount")</f>
        <v/>
      </c>
    </row>
    <row r="35">
      <c r="A35" s="7" t="inlineStr">
        <is>
          <t>250300</t>
        </is>
      </c>
      <c r="B35" s="8" t="inlineStr">
        <is>
          <t>Mortgage Payable</t>
        </is>
      </c>
      <c r="C35" s="9">
        <f>EPM($B$3,$B$4,"Q1",$A35,"period_net_amount")</f>
        <v/>
      </c>
      <c r="D35" s="9">
        <f>EPM($B$3,$B$4,"Q2",$A35,"period_net_amount")</f>
        <v/>
      </c>
      <c r="E35" s="9">
        <f>EPM($B$3,$B$4,"Q3",$A35,"period_net_amount")</f>
        <v/>
      </c>
      <c r="F35" s="9">
        <f>EPM($B$3,$B$4,"Q4",$A35,"period_net_amount")</f>
        <v/>
      </c>
      <c r="G35" s="9">
        <f>EPM($B$3,$B$4,"H1",$A35,"period_net_amount")</f>
        <v/>
      </c>
      <c r="H35" s="9">
        <f>EPM($B$3,$B$4,"H2",$A35,"period_net_amount")</f>
        <v/>
      </c>
      <c r="I35" s="9">
        <f>EPM($B$3,$B$4,"FY",$A35,"period_net_amount")</f>
        <v/>
      </c>
    </row>
    <row r="36">
      <c r="A36" s="10" t="inlineStr">
        <is>
          <t>300110</t>
        </is>
      </c>
      <c r="B36" s="11" t="inlineStr">
        <is>
          <t>Capital Stock</t>
        </is>
      </c>
      <c r="C36" s="12">
        <f>EPM($B$3,$B$4,"Q1",$A36,"period_net_amount")</f>
        <v/>
      </c>
      <c r="D36" s="12">
        <f>EPM($B$3,$B$4,"Q2",$A36,"period_net_amount")</f>
        <v/>
      </c>
      <c r="E36" s="12">
        <f>EPM($B$3,$B$4,"Q3",$A36,"period_net_amount")</f>
        <v/>
      </c>
      <c r="F36" s="12">
        <f>EPM($B$3,$B$4,"Q4",$A36,"period_net_amount")</f>
        <v/>
      </c>
      <c r="G36" s="12">
        <f>EPM($B$3,$B$4,"H1",$A36,"period_net_amount")</f>
        <v/>
      </c>
      <c r="H36" s="12">
        <f>EPM($B$3,$B$4,"H2",$A36,"period_net_amount")</f>
        <v/>
      </c>
      <c r="I36" s="12">
        <f>EPM($B$3,$B$4,"FY",$A36,"period_net_amount")</f>
        <v/>
      </c>
    </row>
    <row r="37">
      <c r="A37" s="7" t="inlineStr">
        <is>
          <t>300130</t>
        </is>
      </c>
      <c r="B37" s="8" t="inlineStr">
        <is>
          <t>Dividends Paid</t>
        </is>
      </c>
      <c r="C37" s="9">
        <f>EPM($B$3,$B$4,"Q1",$A37,"period_net_amount")</f>
        <v/>
      </c>
      <c r="D37" s="9">
        <f>EPM($B$3,$B$4,"Q2",$A37,"period_net_amount")</f>
        <v/>
      </c>
      <c r="E37" s="9">
        <f>EPM($B$3,$B$4,"Q3",$A37,"period_net_amount")</f>
        <v/>
      </c>
      <c r="F37" s="9">
        <f>EPM($B$3,$B$4,"Q4",$A37,"period_net_amount")</f>
        <v/>
      </c>
      <c r="G37" s="9">
        <f>EPM($B$3,$B$4,"H1",$A37,"period_net_amount")</f>
        <v/>
      </c>
      <c r="H37" s="9">
        <f>EPM($B$3,$B$4,"H2",$A37,"period_net_amount")</f>
        <v/>
      </c>
      <c r="I37" s="9">
        <f>EPM($B$3,$B$4,"FY",$A37,"period_net_amount")</f>
        <v/>
      </c>
    </row>
    <row r="38">
      <c r="A38" s="36" t="n"/>
      <c r="B38" s="37" t="inlineStr">
        <is>
          <t>Net Cash from Financing Activities</t>
        </is>
      </c>
      <c r="C38" s="38">
        <f>C33+C34+C35+C36+C37</f>
        <v/>
      </c>
      <c r="D38" s="38">
        <f>D33+D34+D35+D36+D37</f>
        <v/>
      </c>
      <c r="E38" s="38">
        <f>E33+E34+E35+E36+E37</f>
        <v/>
      </c>
      <c r="F38" s="38">
        <f>F33+F34+F35+F36+F37</f>
        <v/>
      </c>
      <c r="G38" s="38">
        <f>G33+G34+G35+G36+G37</f>
        <v/>
      </c>
      <c r="H38" s="38">
        <f>H33+H34+H35+H36+H37</f>
        <v/>
      </c>
      <c r="I38" s="38">
        <f>I33+I34+I35+I36+I37</f>
        <v/>
      </c>
    </row>
    <row r="40">
      <c r="A40" s="36" t="n"/>
      <c r="B40" s="39" t="inlineStr">
        <is>
          <t>Net Change in Cash</t>
        </is>
      </c>
      <c r="C40" s="40">
        <f>C23+C30+C38</f>
        <v/>
      </c>
      <c r="D40" s="40">
        <f>D23+D30+D38</f>
        <v/>
      </c>
      <c r="E40" s="40">
        <f>E23+E30+E38</f>
        <v/>
      </c>
      <c r="F40" s="40">
        <f>F23+F30+F38</f>
        <v/>
      </c>
      <c r="G40" s="40">
        <f>G23+G30+G38</f>
        <v/>
      </c>
      <c r="H40" s="40">
        <f>H23+H30+H38</f>
        <v/>
      </c>
      <c r="I40" s="40">
        <f>I23+I30+I38</f>
        <v/>
      </c>
    </row>
    <row r="42">
      <c r="B42" s="32" t="inlineStr">
        <is>
          <t>Cash Position</t>
        </is>
      </c>
    </row>
    <row r="43">
      <c r="B43" s="11" t="inlineStr">
        <is>
          <t>Opening Cash (prior year-end)</t>
        </is>
      </c>
      <c r="C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D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E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F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G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H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I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</row>
    <row r="44">
      <c r="B44" s="11" t="inlineStr">
        <is>
          <t>Net Change in Cash (above)</t>
        </is>
      </c>
      <c r="C44" s="12">
        <f>C40</f>
        <v/>
      </c>
      <c r="D44" s="12">
        <f>D40</f>
        <v/>
      </c>
      <c r="E44" s="12">
        <f>E40</f>
        <v/>
      </c>
      <c r="F44" s="12">
        <f>F40</f>
        <v/>
      </c>
      <c r="G44" s="12">
        <f>G40</f>
        <v/>
      </c>
      <c r="H44" s="12">
        <f>H40</f>
        <v/>
      </c>
      <c r="I44" s="12">
        <f>I40</f>
        <v/>
      </c>
    </row>
    <row r="45">
      <c r="A45" s="36" t="n"/>
      <c r="B45" s="39" t="inlineStr">
        <is>
          <t>Closing Cash</t>
        </is>
      </c>
      <c r="C45" s="41">
        <f>C43+C44</f>
        <v/>
      </c>
      <c r="D45" s="41">
        <f>D43+D44</f>
        <v/>
      </c>
      <c r="E45" s="41">
        <f>E43+E44</f>
        <v/>
      </c>
      <c r="F45" s="41">
        <f>F43+F44</f>
        <v/>
      </c>
      <c r="G45" s="41">
        <f>G43+G44</f>
        <v/>
      </c>
      <c r="H45" s="41">
        <f>H43+H44</f>
        <v/>
      </c>
      <c r="I45" s="41">
        <f>I43+I44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Profit &amp; Loss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3">
      <c r="A3" s="3" t="inlineStr">
        <is>
          <t>Entity</t>
        </is>
      </c>
      <c r="B3" s="4" t="inlineStr">
        <is>
          <t>USMF</t>
        </is>
      </c>
      <c r="D3" s="3" t="inlineStr">
        <is>
          <t>Measure</t>
        </is>
      </c>
      <c r="E3" s="4" t="inlineStr">
        <is>
          <t>period_net_amount</t>
        </is>
      </c>
    </row>
    <row r="4">
      <c r="A4" s="3" t="inlineStr">
        <is>
          <t>Year</t>
        </is>
      </c>
      <c r="B4" s="4" t="n">
        <v>2025</v>
      </c>
    </row>
    <row r="6">
      <c r="A6" s="5" t="inlineStr">
        <is>
          <t>Account</t>
        </is>
      </c>
      <c r="B6" s="5" t="inlineStr">
        <is>
          <t>Description</t>
        </is>
      </c>
      <c r="C6" s="6" t="inlineStr">
        <is>
          <t>Jan</t>
        </is>
      </c>
      <c r="D6" s="6" t="inlineStr">
        <is>
          <t>Feb</t>
        </is>
      </c>
      <c r="E6" s="6" t="inlineStr">
        <is>
          <t>Mar</t>
        </is>
      </c>
      <c r="F6" s="6" t="inlineStr">
        <is>
          <t>Q1</t>
        </is>
      </c>
      <c r="G6" s="6" t="inlineStr">
        <is>
          <t>Apr</t>
        </is>
      </c>
      <c r="H6" s="6" t="inlineStr">
        <is>
          <t>May</t>
        </is>
      </c>
      <c r="I6" s="6" t="inlineStr">
        <is>
          <t>Jun</t>
        </is>
      </c>
      <c r="J6" s="6" t="inlineStr">
        <is>
          <t>Q2</t>
        </is>
      </c>
      <c r="K6" s="6" t="inlineStr">
        <is>
          <t>Jul</t>
        </is>
      </c>
      <c r="L6" s="6" t="inlineStr">
        <is>
          <t>Aug</t>
        </is>
      </c>
      <c r="M6" s="6" t="inlineStr">
        <is>
          <t>Sep</t>
        </is>
      </c>
      <c r="N6" s="6" t="inlineStr">
        <is>
          <t>Q3</t>
        </is>
      </c>
      <c r="O6" s="6" t="inlineStr">
        <is>
          <t>Oct</t>
        </is>
      </c>
      <c r="P6" s="6" t="inlineStr">
        <is>
          <t>Nov</t>
        </is>
      </c>
      <c r="Q6" s="6" t="inlineStr">
        <is>
          <t>Dec</t>
        </is>
      </c>
      <c r="R6" s="6" t="inlineStr">
        <is>
          <t>Q4</t>
        </is>
      </c>
      <c r="S6" s="6" t="inlineStr">
        <is>
          <t>H1</t>
        </is>
      </c>
      <c r="T6" s="6" t="inlineStr">
        <is>
          <t>H2</t>
        </is>
      </c>
      <c r="U6" s="6" t="inlineStr">
        <is>
          <t>Full Year</t>
        </is>
      </c>
    </row>
    <row r="7">
      <c r="B7" s="3" t="inlineStr">
        <is>
          <t>Revenue</t>
        </is>
      </c>
    </row>
    <row r="8">
      <c r="A8" s="7" t="inlineStr">
        <is>
          <t>401100</t>
        </is>
      </c>
      <c r="B8" s="8" t="inlineStr">
        <is>
          <t>Product Sales</t>
        </is>
      </c>
      <c r="C8" s="9">
        <f>-EPM($B$3,$B$4,1,$A8,"period_net_amount")</f>
        <v/>
      </c>
      <c r="D8" s="9">
        <f>-EPM($B$3,$B$4,2,$A8,"period_net_amount")</f>
        <v/>
      </c>
      <c r="E8" s="9">
        <f>-EPM($B$3,$B$4,3,$A8,"period_net_amount")</f>
        <v/>
      </c>
      <c r="F8" s="9">
        <f>-EPM($B$3,$B$4,"Q1",$A8,"period_net_amount")</f>
        <v/>
      </c>
      <c r="G8" s="9">
        <f>-EPM($B$3,$B$4,4,$A8,"period_net_amount")</f>
        <v/>
      </c>
      <c r="H8" s="9">
        <f>-EPM($B$3,$B$4,5,$A8,"period_net_amount")</f>
        <v/>
      </c>
      <c r="I8" s="9">
        <f>-EPM($B$3,$B$4,6,$A8,"period_net_amount")</f>
        <v/>
      </c>
      <c r="J8" s="9">
        <f>-EPM($B$3,$B$4,"Q2",$A8,"period_net_amount")</f>
        <v/>
      </c>
      <c r="K8" s="9">
        <f>-EPM($B$3,$B$4,7,$A8,"period_net_amount")</f>
        <v/>
      </c>
      <c r="L8" s="9">
        <f>-EPM($B$3,$B$4,8,$A8,"period_net_amount")</f>
        <v/>
      </c>
      <c r="M8" s="9">
        <f>-EPM($B$3,$B$4,9,$A8,"period_net_amount")</f>
        <v/>
      </c>
      <c r="N8" s="9">
        <f>-EPM($B$3,$B$4,"Q3",$A8,"period_net_amount")</f>
        <v/>
      </c>
      <c r="O8" s="9">
        <f>-EPM($B$3,$B$4,10,$A8,"period_net_amount")</f>
        <v/>
      </c>
      <c r="P8" s="9">
        <f>-EPM($B$3,$B$4,11,$A8,"period_net_amount")</f>
        <v/>
      </c>
      <c r="Q8" s="9">
        <f>-EPM($B$3,$B$4,12,$A8,"period_net_amount")</f>
        <v/>
      </c>
      <c r="R8" s="9">
        <f>-EPM($B$3,$B$4,"Q4",$A8,"period_net_amount")</f>
        <v/>
      </c>
      <c r="S8" s="9">
        <f>-EPM($B$3,$B$4,"H1",$A8,"period_net_amount")</f>
        <v/>
      </c>
      <c r="T8" s="9">
        <f>-EPM($B$3,$B$4,"H2",$A8,"period_net_amount")</f>
        <v/>
      </c>
      <c r="U8" s="9">
        <f>-EPM($B$3,$B$4,"FY",$A8,"period_net_amount")</f>
        <v/>
      </c>
    </row>
    <row r="9">
      <c r="A9" s="10" t="inlineStr">
        <is>
          <t>401200</t>
        </is>
      </c>
      <c r="B9" s="11" t="inlineStr">
        <is>
          <t>Service Revenue</t>
        </is>
      </c>
      <c r="C9" s="12">
        <f>-EPM($B$3,$B$4,1,$A9,"period_net_amount")</f>
        <v/>
      </c>
      <c r="D9" s="12">
        <f>-EPM($B$3,$B$4,2,$A9,"period_net_amount")</f>
        <v/>
      </c>
      <c r="E9" s="12">
        <f>-EPM($B$3,$B$4,3,$A9,"period_net_amount")</f>
        <v/>
      </c>
      <c r="F9" s="12">
        <f>-EPM($B$3,$B$4,"Q1",$A9,"period_net_amount")</f>
        <v/>
      </c>
      <c r="G9" s="12">
        <f>-EPM($B$3,$B$4,4,$A9,"period_net_amount")</f>
        <v/>
      </c>
      <c r="H9" s="12">
        <f>-EPM($B$3,$B$4,5,$A9,"period_net_amount")</f>
        <v/>
      </c>
      <c r="I9" s="12">
        <f>-EPM($B$3,$B$4,6,$A9,"period_net_amount")</f>
        <v/>
      </c>
      <c r="J9" s="12">
        <f>-EPM($B$3,$B$4,"Q2",$A9,"period_net_amount")</f>
        <v/>
      </c>
      <c r="K9" s="12">
        <f>-EPM($B$3,$B$4,7,$A9,"period_net_amount")</f>
        <v/>
      </c>
      <c r="L9" s="12">
        <f>-EPM($B$3,$B$4,8,$A9,"period_net_amount")</f>
        <v/>
      </c>
      <c r="M9" s="12">
        <f>-EPM($B$3,$B$4,9,$A9,"period_net_amount")</f>
        <v/>
      </c>
      <c r="N9" s="12">
        <f>-EPM($B$3,$B$4,"Q3",$A9,"period_net_amount")</f>
        <v/>
      </c>
      <c r="O9" s="12">
        <f>-EPM($B$3,$B$4,10,$A9,"period_net_amount")</f>
        <v/>
      </c>
      <c r="P9" s="12">
        <f>-EPM($B$3,$B$4,11,$A9,"period_net_amount")</f>
        <v/>
      </c>
      <c r="Q9" s="12">
        <f>-EPM($B$3,$B$4,12,$A9,"period_net_amount")</f>
        <v/>
      </c>
      <c r="R9" s="12">
        <f>-EPM($B$3,$B$4,"Q4",$A9,"period_net_amount")</f>
        <v/>
      </c>
      <c r="S9" s="12">
        <f>-EPM($B$3,$B$4,"H1",$A9,"period_net_amount")</f>
        <v/>
      </c>
      <c r="T9" s="12">
        <f>-EPM($B$3,$B$4,"H2",$A9,"period_net_amount")</f>
        <v/>
      </c>
      <c r="U9" s="12">
        <f>-EPM($B$3,$B$4,"FY",$A9,"period_net_amount")</f>
        <v/>
      </c>
    </row>
    <row r="10">
      <c r="A10" s="7" t="inlineStr">
        <is>
          <t>401300</t>
        </is>
      </c>
      <c r="B10" s="8" t="inlineStr">
        <is>
          <t>Other Revenue</t>
        </is>
      </c>
      <c r="C10" s="9">
        <f>-EPM($B$3,$B$4,1,$A10,"period_net_amount")</f>
        <v/>
      </c>
      <c r="D10" s="9">
        <f>-EPM($B$3,$B$4,2,$A10,"period_net_amount")</f>
        <v/>
      </c>
      <c r="E10" s="9">
        <f>-EPM($B$3,$B$4,3,$A10,"period_net_amount")</f>
        <v/>
      </c>
      <c r="F10" s="9">
        <f>-EPM($B$3,$B$4,"Q1",$A10,"period_net_amount")</f>
        <v/>
      </c>
      <c r="G10" s="9">
        <f>-EPM($B$3,$B$4,4,$A10,"period_net_amount")</f>
        <v/>
      </c>
      <c r="H10" s="9">
        <f>-EPM($B$3,$B$4,5,$A10,"period_net_amount")</f>
        <v/>
      </c>
      <c r="I10" s="9">
        <f>-EPM($B$3,$B$4,6,$A10,"period_net_amount")</f>
        <v/>
      </c>
      <c r="J10" s="9">
        <f>-EPM($B$3,$B$4,"Q2",$A10,"period_net_amount")</f>
        <v/>
      </c>
      <c r="K10" s="9">
        <f>-EPM($B$3,$B$4,7,$A10,"period_net_amount")</f>
        <v/>
      </c>
      <c r="L10" s="9">
        <f>-EPM($B$3,$B$4,8,$A10,"period_net_amount")</f>
        <v/>
      </c>
      <c r="M10" s="9">
        <f>-EPM($B$3,$B$4,9,$A10,"period_net_amount")</f>
        <v/>
      </c>
      <c r="N10" s="9">
        <f>-EPM($B$3,$B$4,"Q3",$A10,"period_net_amount")</f>
        <v/>
      </c>
      <c r="O10" s="9">
        <f>-EPM($B$3,$B$4,10,$A10,"period_net_amount")</f>
        <v/>
      </c>
      <c r="P10" s="9">
        <f>-EPM($B$3,$B$4,11,$A10,"period_net_amount")</f>
        <v/>
      </c>
      <c r="Q10" s="9">
        <f>-EPM($B$3,$B$4,12,$A10,"period_net_amount")</f>
        <v/>
      </c>
      <c r="R10" s="9">
        <f>-EPM($B$3,$B$4,"Q4",$A10,"period_net_amount")</f>
        <v/>
      </c>
      <c r="S10" s="9">
        <f>-EPM($B$3,$B$4,"H1",$A10,"period_net_amount")</f>
        <v/>
      </c>
      <c r="T10" s="9">
        <f>-EPM($B$3,$B$4,"H2",$A10,"period_net_amount")</f>
        <v/>
      </c>
      <c r="U10" s="9">
        <f>-EPM($B$3,$B$4,"FY",$A10,"period_net_amount")</f>
        <v/>
      </c>
    </row>
    <row r="11">
      <c r="A11" s="10" t="inlineStr">
        <is>
          <t>401400</t>
        </is>
      </c>
      <c r="B11" s="11" t="inlineStr">
        <is>
          <t>Accrued Sales</t>
        </is>
      </c>
      <c r="C11" s="12">
        <f>-EPM($B$3,$B$4,1,$A11,"period_net_amount")</f>
        <v/>
      </c>
      <c r="D11" s="12">
        <f>-EPM($B$3,$B$4,2,$A11,"period_net_amount")</f>
        <v/>
      </c>
      <c r="E11" s="12">
        <f>-EPM($B$3,$B$4,3,$A11,"period_net_amount")</f>
        <v/>
      </c>
      <c r="F11" s="12">
        <f>-EPM($B$3,$B$4,"Q1",$A11,"period_net_amount")</f>
        <v/>
      </c>
      <c r="G11" s="12">
        <f>-EPM($B$3,$B$4,4,$A11,"period_net_amount")</f>
        <v/>
      </c>
      <c r="H11" s="12">
        <f>-EPM($B$3,$B$4,5,$A11,"period_net_amount")</f>
        <v/>
      </c>
      <c r="I11" s="12">
        <f>-EPM($B$3,$B$4,6,$A11,"period_net_amount")</f>
        <v/>
      </c>
      <c r="J11" s="12">
        <f>-EPM($B$3,$B$4,"Q2",$A11,"period_net_amount")</f>
        <v/>
      </c>
      <c r="K11" s="12">
        <f>-EPM($B$3,$B$4,7,$A11,"period_net_amount")</f>
        <v/>
      </c>
      <c r="L11" s="12">
        <f>-EPM($B$3,$B$4,8,$A11,"period_net_amount")</f>
        <v/>
      </c>
      <c r="M11" s="12">
        <f>-EPM($B$3,$B$4,9,$A11,"period_net_amount")</f>
        <v/>
      </c>
      <c r="N11" s="12">
        <f>-EPM($B$3,$B$4,"Q3",$A11,"period_net_amount")</f>
        <v/>
      </c>
      <c r="O11" s="12">
        <f>-EPM($B$3,$B$4,10,$A11,"period_net_amount")</f>
        <v/>
      </c>
      <c r="P11" s="12">
        <f>-EPM($B$3,$B$4,11,$A11,"period_net_amount")</f>
        <v/>
      </c>
      <c r="Q11" s="12">
        <f>-EPM($B$3,$B$4,12,$A11,"period_net_amount")</f>
        <v/>
      </c>
      <c r="R11" s="12">
        <f>-EPM($B$3,$B$4,"Q4",$A11,"period_net_amount")</f>
        <v/>
      </c>
      <c r="S11" s="12">
        <f>-EPM($B$3,$B$4,"H1",$A11,"period_net_amount")</f>
        <v/>
      </c>
      <c r="T11" s="12">
        <f>-EPM($B$3,$B$4,"H2",$A11,"period_net_amount")</f>
        <v/>
      </c>
      <c r="U11" s="12">
        <f>-EPM($B$3,$B$4,"FY",$A11,"period_net_amount")</f>
        <v/>
      </c>
    </row>
    <row r="12">
      <c r="A12" s="7" t="inlineStr">
        <is>
          <t>402300</t>
        </is>
      </c>
      <c r="B12" s="8" t="inlineStr">
        <is>
          <t>Intercompany Sales</t>
        </is>
      </c>
      <c r="C12" s="9">
        <f>-EPM($B$3,$B$4,1,$A12,"period_net_amount")</f>
        <v/>
      </c>
      <c r="D12" s="9">
        <f>-EPM($B$3,$B$4,2,$A12,"period_net_amount")</f>
        <v/>
      </c>
      <c r="E12" s="9">
        <f>-EPM($B$3,$B$4,3,$A12,"period_net_amount")</f>
        <v/>
      </c>
      <c r="F12" s="9">
        <f>-EPM($B$3,$B$4,"Q1",$A12,"period_net_amount")</f>
        <v/>
      </c>
      <c r="G12" s="9">
        <f>-EPM($B$3,$B$4,4,$A12,"period_net_amount")</f>
        <v/>
      </c>
      <c r="H12" s="9">
        <f>-EPM($B$3,$B$4,5,$A12,"period_net_amount")</f>
        <v/>
      </c>
      <c r="I12" s="9">
        <f>-EPM($B$3,$B$4,6,$A12,"period_net_amount")</f>
        <v/>
      </c>
      <c r="J12" s="9">
        <f>-EPM($B$3,$B$4,"Q2",$A12,"period_net_amount")</f>
        <v/>
      </c>
      <c r="K12" s="9">
        <f>-EPM($B$3,$B$4,7,$A12,"period_net_amount")</f>
        <v/>
      </c>
      <c r="L12" s="9">
        <f>-EPM($B$3,$B$4,8,$A12,"period_net_amount")</f>
        <v/>
      </c>
      <c r="M12" s="9">
        <f>-EPM($B$3,$B$4,9,$A12,"period_net_amount")</f>
        <v/>
      </c>
      <c r="N12" s="9">
        <f>-EPM($B$3,$B$4,"Q3",$A12,"period_net_amount")</f>
        <v/>
      </c>
      <c r="O12" s="9">
        <f>-EPM($B$3,$B$4,10,$A12,"period_net_amount")</f>
        <v/>
      </c>
      <c r="P12" s="9">
        <f>-EPM($B$3,$B$4,11,$A12,"period_net_amount")</f>
        <v/>
      </c>
      <c r="Q12" s="9">
        <f>-EPM($B$3,$B$4,12,$A12,"period_net_amount")</f>
        <v/>
      </c>
      <c r="R12" s="9">
        <f>-EPM($B$3,$B$4,"Q4",$A12,"period_net_amount")</f>
        <v/>
      </c>
      <c r="S12" s="9">
        <f>-EPM($B$3,$B$4,"H1",$A12,"period_net_amount")</f>
        <v/>
      </c>
      <c r="T12" s="9">
        <f>-EPM($B$3,$B$4,"H2",$A12,"period_net_amount")</f>
        <v/>
      </c>
      <c r="U12" s="9">
        <f>-EPM($B$3,$B$4,"FY",$A12,"period_net_amount")</f>
        <v/>
      </c>
    </row>
    <row r="13">
      <c r="A13" s="10" t="inlineStr">
        <is>
          <t>403150</t>
        </is>
      </c>
      <c r="B13" s="11" t="inlineStr">
        <is>
          <t>Miscellaneous Charges</t>
        </is>
      </c>
      <c r="C13" s="12">
        <f>-EPM($B$3,$B$4,1,$A13,"period_net_amount")</f>
        <v/>
      </c>
      <c r="D13" s="12">
        <f>-EPM($B$3,$B$4,2,$A13,"period_net_amount")</f>
        <v/>
      </c>
      <c r="E13" s="12">
        <f>-EPM($B$3,$B$4,3,$A13,"period_net_amount")</f>
        <v/>
      </c>
      <c r="F13" s="12">
        <f>-EPM($B$3,$B$4,"Q1",$A13,"period_net_amount")</f>
        <v/>
      </c>
      <c r="G13" s="12">
        <f>-EPM($B$3,$B$4,4,$A13,"period_net_amount")</f>
        <v/>
      </c>
      <c r="H13" s="12">
        <f>-EPM($B$3,$B$4,5,$A13,"period_net_amount")</f>
        <v/>
      </c>
      <c r="I13" s="12">
        <f>-EPM($B$3,$B$4,6,$A13,"period_net_amount")</f>
        <v/>
      </c>
      <c r="J13" s="12">
        <f>-EPM($B$3,$B$4,"Q2",$A13,"period_net_amount")</f>
        <v/>
      </c>
      <c r="K13" s="12">
        <f>-EPM($B$3,$B$4,7,$A13,"period_net_amount")</f>
        <v/>
      </c>
      <c r="L13" s="12">
        <f>-EPM($B$3,$B$4,8,$A13,"period_net_amount")</f>
        <v/>
      </c>
      <c r="M13" s="12">
        <f>-EPM($B$3,$B$4,9,$A13,"period_net_amount")</f>
        <v/>
      </c>
      <c r="N13" s="12">
        <f>-EPM($B$3,$B$4,"Q3",$A13,"period_net_amount")</f>
        <v/>
      </c>
      <c r="O13" s="12">
        <f>-EPM($B$3,$B$4,10,$A13,"period_net_amount")</f>
        <v/>
      </c>
      <c r="P13" s="12">
        <f>-EPM($B$3,$B$4,11,$A13,"period_net_amount")</f>
        <v/>
      </c>
      <c r="Q13" s="12">
        <f>-EPM($B$3,$B$4,12,$A13,"period_net_amount")</f>
        <v/>
      </c>
      <c r="R13" s="12">
        <f>-EPM($B$3,$B$4,"Q4",$A13,"period_net_amount")</f>
        <v/>
      </c>
      <c r="S13" s="12">
        <f>-EPM($B$3,$B$4,"H1",$A13,"period_net_amount")</f>
        <v/>
      </c>
      <c r="T13" s="12">
        <f>-EPM($B$3,$B$4,"H2",$A13,"period_net_amount")</f>
        <v/>
      </c>
      <c r="U13" s="12">
        <f>-EPM($B$3,$B$4,"FY",$A13,"period_net_amount")</f>
        <v/>
      </c>
    </row>
    <row r="14">
      <c r="A14" s="7" t="inlineStr">
        <is>
          <t>403300</t>
        </is>
      </c>
      <c r="B14" s="8" t="inlineStr">
        <is>
          <t>Customer Cash Discounts</t>
        </is>
      </c>
      <c r="C14" s="9">
        <f>-EPM($B$3,$B$4,1,$A14,"period_net_amount")</f>
        <v/>
      </c>
      <c r="D14" s="9">
        <f>-EPM($B$3,$B$4,2,$A14,"period_net_amount")</f>
        <v/>
      </c>
      <c r="E14" s="9">
        <f>-EPM($B$3,$B$4,3,$A14,"period_net_amount")</f>
        <v/>
      </c>
      <c r="F14" s="9">
        <f>-EPM($B$3,$B$4,"Q1",$A14,"period_net_amount")</f>
        <v/>
      </c>
      <c r="G14" s="9">
        <f>-EPM($B$3,$B$4,4,$A14,"period_net_amount")</f>
        <v/>
      </c>
      <c r="H14" s="9">
        <f>-EPM($B$3,$B$4,5,$A14,"period_net_amount")</f>
        <v/>
      </c>
      <c r="I14" s="9">
        <f>-EPM($B$3,$B$4,6,$A14,"period_net_amount")</f>
        <v/>
      </c>
      <c r="J14" s="9">
        <f>-EPM($B$3,$B$4,"Q2",$A14,"period_net_amount")</f>
        <v/>
      </c>
      <c r="K14" s="9">
        <f>-EPM($B$3,$B$4,7,$A14,"period_net_amount")</f>
        <v/>
      </c>
      <c r="L14" s="9">
        <f>-EPM($B$3,$B$4,8,$A14,"period_net_amount")</f>
        <v/>
      </c>
      <c r="M14" s="9">
        <f>-EPM($B$3,$B$4,9,$A14,"period_net_amount")</f>
        <v/>
      </c>
      <c r="N14" s="9">
        <f>-EPM($B$3,$B$4,"Q3",$A14,"period_net_amount")</f>
        <v/>
      </c>
      <c r="O14" s="9">
        <f>-EPM($B$3,$B$4,10,$A14,"period_net_amount")</f>
        <v/>
      </c>
      <c r="P14" s="9">
        <f>-EPM($B$3,$B$4,11,$A14,"period_net_amount")</f>
        <v/>
      </c>
      <c r="Q14" s="9">
        <f>-EPM($B$3,$B$4,12,$A14,"period_net_amount")</f>
        <v/>
      </c>
      <c r="R14" s="9">
        <f>-EPM($B$3,$B$4,"Q4",$A14,"period_net_amount")</f>
        <v/>
      </c>
      <c r="S14" s="9">
        <f>-EPM($B$3,$B$4,"H1",$A14,"period_net_amount")</f>
        <v/>
      </c>
      <c r="T14" s="9">
        <f>-EPM($B$3,$B$4,"H2",$A14,"period_net_amount")</f>
        <v/>
      </c>
      <c r="U14" s="9">
        <f>-EPM($B$3,$B$4,"FY",$A14,"period_net_amount")</f>
        <v/>
      </c>
    </row>
    <row r="15">
      <c r="A15" s="10" t="inlineStr">
        <is>
          <t>411100</t>
        </is>
      </c>
      <c r="B15" s="11" t="inlineStr">
        <is>
          <t>Revenue - Labor</t>
        </is>
      </c>
      <c r="C15" s="12">
        <f>-EPM($B$3,$B$4,1,$A15,"period_net_amount")</f>
        <v/>
      </c>
      <c r="D15" s="12">
        <f>-EPM($B$3,$B$4,2,$A15,"period_net_amount")</f>
        <v/>
      </c>
      <c r="E15" s="12">
        <f>-EPM($B$3,$B$4,3,$A15,"period_net_amount")</f>
        <v/>
      </c>
      <c r="F15" s="12">
        <f>-EPM($B$3,$B$4,"Q1",$A15,"period_net_amount")</f>
        <v/>
      </c>
      <c r="G15" s="12">
        <f>-EPM($B$3,$B$4,4,$A15,"period_net_amount")</f>
        <v/>
      </c>
      <c r="H15" s="12">
        <f>-EPM($B$3,$B$4,5,$A15,"period_net_amount")</f>
        <v/>
      </c>
      <c r="I15" s="12">
        <f>-EPM($B$3,$B$4,6,$A15,"period_net_amount")</f>
        <v/>
      </c>
      <c r="J15" s="12">
        <f>-EPM($B$3,$B$4,"Q2",$A15,"period_net_amount")</f>
        <v/>
      </c>
      <c r="K15" s="12">
        <f>-EPM($B$3,$B$4,7,$A15,"period_net_amount")</f>
        <v/>
      </c>
      <c r="L15" s="12">
        <f>-EPM($B$3,$B$4,8,$A15,"period_net_amount")</f>
        <v/>
      </c>
      <c r="M15" s="12">
        <f>-EPM($B$3,$B$4,9,$A15,"period_net_amount")</f>
        <v/>
      </c>
      <c r="N15" s="12">
        <f>-EPM($B$3,$B$4,"Q3",$A15,"period_net_amount")</f>
        <v/>
      </c>
      <c r="O15" s="12">
        <f>-EPM($B$3,$B$4,10,$A15,"period_net_amount")</f>
        <v/>
      </c>
      <c r="P15" s="12">
        <f>-EPM($B$3,$B$4,11,$A15,"period_net_amount")</f>
        <v/>
      </c>
      <c r="Q15" s="12">
        <f>-EPM($B$3,$B$4,12,$A15,"period_net_amount")</f>
        <v/>
      </c>
      <c r="R15" s="12">
        <f>-EPM($B$3,$B$4,"Q4",$A15,"period_net_amount")</f>
        <v/>
      </c>
      <c r="S15" s="12">
        <f>-EPM($B$3,$B$4,"H1",$A15,"period_net_amount")</f>
        <v/>
      </c>
      <c r="T15" s="12">
        <f>-EPM($B$3,$B$4,"H2",$A15,"period_net_amount")</f>
        <v/>
      </c>
      <c r="U15" s="12">
        <f>-EPM($B$3,$B$4,"FY",$A15,"period_net_amount")</f>
        <v/>
      </c>
    </row>
    <row r="16">
      <c r="A16" s="7" t="inlineStr">
        <is>
          <t>411400</t>
        </is>
      </c>
      <c r="B16" s="8" t="inlineStr">
        <is>
          <t>Revenue - Fees</t>
        </is>
      </c>
      <c r="C16" s="9">
        <f>-EPM($B$3,$B$4,1,$A16,"period_net_amount")</f>
        <v/>
      </c>
      <c r="D16" s="9">
        <f>-EPM($B$3,$B$4,2,$A16,"period_net_amount")</f>
        <v/>
      </c>
      <c r="E16" s="9">
        <f>-EPM($B$3,$B$4,3,$A16,"period_net_amount")</f>
        <v/>
      </c>
      <c r="F16" s="9">
        <f>-EPM($B$3,$B$4,"Q1",$A16,"period_net_amount")</f>
        <v/>
      </c>
      <c r="G16" s="9">
        <f>-EPM($B$3,$B$4,4,$A16,"period_net_amount")</f>
        <v/>
      </c>
      <c r="H16" s="9">
        <f>-EPM($B$3,$B$4,5,$A16,"period_net_amount")</f>
        <v/>
      </c>
      <c r="I16" s="9">
        <f>-EPM($B$3,$B$4,6,$A16,"period_net_amount")</f>
        <v/>
      </c>
      <c r="J16" s="9">
        <f>-EPM($B$3,$B$4,"Q2",$A16,"period_net_amount")</f>
        <v/>
      </c>
      <c r="K16" s="9">
        <f>-EPM($B$3,$B$4,7,$A16,"period_net_amount")</f>
        <v/>
      </c>
      <c r="L16" s="9">
        <f>-EPM($B$3,$B$4,8,$A16,"period_net_amount")</f>
        <v/>
      </c>
      <c r="M16" s="9">
        <f>-EPM($B$3,$B$4,9,$A16,"period_net_amount")</f>
        <v/>
      </c>
      <c r="N16" s="9">
        <f>-EPM($B$3,$B$4,"Q3",$A16,"period_net_amount")</f>
        <v/>
      </c>
      <c r="O16" s="9">
        <f>-EPM($B$3,$B$4,10,$A16,"period_net_amount")</f>
        <v/>
      </c>
      <c r="P16" s="9">
        <f>-EPM($B$3,$B$4,11,$A16,"period_net_amount")</f>
        <v/>
      </c>
      <c r="Q16" s="9">
        <f>-EPM($B$3,$B$4,12,$A16,"period_net_amount")</f>
        <v/>
      </c>
      <c r="R16" s="9">
        <f>-EPM($B$3,$B$4,"Q4",$A16,"period_net_amount")</f>
        <v/>
      </c>
      <c r="S16" s="9">
        <f>-EPM($B$3,$B$4,"H1",$A16,"period_net_amount")</f>
        <v/>
      </c>
      <c r="T16" s="9">
        <f>-EPM($B$3,$B$4,"H2",$A16,"period_net_amount")</f>
        <v/>
      </c>
      <c r="U16" s="9">
        <f>-EPM($B$3,$B$4,"FY",$A16,"period_net_amount")</f>
        <v/>
      </c>
    </row>
    <row r="17">
      <c r="A17" s="10" t="inlineStr">
        <is>
          <t>420200</t>
        </is>
      </c>
      <c r="B17" s="11" t="inlineStr">
        <is>
          <t>Accrued Revenue</t>
        </is>
      </c>
      <c r="C17" s="12">
        <f>-EPM($B$3,$B$4,1,$A17,"period_net_amount")</f>
        <v/>
      </c>
      <c r="D17" s="12">
        <f>-EPM($B$3,$B$4,2,$A17,"period_net_amount")</f>
        <v/>
      </c>
      <c r="E17" s="12">
        <f>-EPM($B$3,$B$4,3,$A17,"period_net_amount")</f>
        <v/>
      </c>
      <c r="F17" s="12">
        <f>-EPM($B$3,$B$4,"Q1",$A17,"period_net_amount")</f>
        <v/>
      </c>
      <c r="G17" s="12">
        <f>-EPM($B$3,$B$4,4,$A17,"period_net_amount")</f>
        <v/>
      </c>
      <c r="H17" s="12">
        <f>-EPM($B$3,$B$4,5,$A17,"period_net_amount")</f>
        <v/>
      </c>
      <c r="I17" s="12">
        <f>-EPM($B$3,$B$4,6,$A17,"period_net_amount")</f>
        <v/>
      </c>
      <c r="J17" s="12">
        <f>-EPM($B$3,$B$4,"Q2",$A17,"period_net_amount")</f>
        <v/>
      </c>
      <c r="K17" s="12">
        <f>-EPM($B$3,$B$4,7,$A17,"period_net_amount")</f>
        <v/>
      </c>
      <c r="L17" s="12">
        <f>-EPM($B$3,$B$4,8,$A17,"period_net_amount")</f>
        <v/>
      </c>
      <c r="M17" s="12">
        <f>-EPM($B$3,$B$4,9,$A17,"period_net_amount")</f>
        <v/>
      </c>
      <c r="N17" s="12">
        <f>-EPM($B$3,$B$4,"Q3",$A17,"period_net_amount")</f>
        <v/>
      </c>
      <c r="O17" s="12">
        <f>-EPM($B$3,$B$4,10,$A17,"period_net_amount")</f>
        <v/>
      </c>
      <c r="P17" s="12">
        <f>-EPM($B$3,$B$4,11,$A17,"period_net_amount")</f>
        <v/>
      </c>
      <c r="Q17" s="12">
        <f>-EPM($B$3,$B$4,12,$A17,"period_net_amount")</f>
        <v/>
      </c>
      <c r="R17" s="12">
        <f>-EPM($B$3,$B$4,"Q4",$A17,"period_net_amount")</f>
        <v/>
      </c>
      <c r="S17" s="12">
        <f>-EPM($B$3,$B$4,"H1",$A17,"period_net_amount")</f>
        <v/>
      </c>
      <c r="T17" s="12">
        <f>-EPM($B$3,$B$4,"H2",$A17,"period_net_amount")</f>
        <v/>
      </c>
      <c r="U17" s="12">
        <f>-EPM($B$3,$B$4,"FY",$A17,"period_net_amount")</f>
        <v/>
      </c>
    </row>
    <row r="18">
      <c r="A18" s="13" t="n"/>
      <c r="B18" s="14" t="inlineStr">
        <is>
          <t>Total Revenue</t>
        </is>
      </c>
      <c r="C18" s="15">
        <f>C8+C9+C10+C11+C12+C13+C14+C15+C16+C17</f>
        <v/>
      </c>
      <c r="D18" s="15">
        <f>D8+D9+D10+D11+D12+D13+D14+D15+D16+D17</f>
        <v/>
      </c>
      <c r="E18" s="15">
        <f>E8+E9+E10+E11+E12+E13+E14+E15+E16+E17</f>
        <v/>
      </c>
      <c r="F18" s="15">
        <f>F8+F9+F10+F11+F12+F13+F14+F15+F16+F17</f>
        <v/>
      </c>
      <c r="G18" s="15">
        <f>G8+G9+G10+G11+G12+G13+G14+G15+G16+G17</f>
        <v/>
      </c>
      <c r="H18" s="15">
        <f>H8+H9+H10+H11+H12+H13+H14+H15+H16+H17</f>
        <v/>
      </c>
      <c r="I18" s="15">
        <f>I8+I9+I10+I11+I12+I13+I14+I15+I16+I17</f>
        <v/>
      </c>
      <c r="J18" s="15">
        <f>J8+J9+J10+J11+J12+J13+J14+J15+J16+J17</f>
        <v/>
      </c>
      <c r="K18" s="15">
        <f>K8+K9+K10+K11+K12+K13+K14+K15+K16+K17</f>
        <v/>
      </c>
      <c r="L18" s="15">
        <f>L8+L9+L10+L11+L12+L13+L14+L15+L16+L17</f>
        <v/>
      </c>
      <c r="M18" s="15">
        <f>M8+M9+M10+M11+M12+M13+M14+M15+M16+M17</f>
        <v/>
      </c>
      <c r="N18" s="15">
        <f>N8+N9+N10+N11+N12+N13+N14+N15+N16+N17</f>
        <v/>
      </c>
      <c r="O18" s="15">
        <f>O8+O9+O10+O11+O12+O13+O14+O15+O16+O17</f>
        <v/>
      </c>
      <c r="P18" s="15">
        <f>P8+P9+P10+P11+P12+P13+P14+P15+P16+P17</f>
        <v/>
      </c>
      <c r="Q18" s="15">
        <f>Q8+Q9+Q10+Q11+Q12+Q13+Q14+Q15+Q16+Q17</f>
        <v/>
      </c>
      <c r="R18" s="15">
        <f>R8+R9+R10+R11+R12+R13+R14+R15+R16+R17</f>
        <v/>
      </c>
      <c r="S18" s="15">
        <f>S8+S9+S10+S11+S12+S13+S14+S15+S16+S17</f>
        <v/>
      </c>
      <c r="T18" s="15">
        <f>T8+T9+T10+T11+T12+T13+T14+T15+T16+T17</f>
        <v/>
      </c>
      <c r="U18" s="15">
        <f>U8+U9+U10+U11+U12+U13+U14+U15+U16+U17</f>
        <v/>
      </c>
    </row>
    <row r="20">
      <c r="B20" s="3" t="inlineStr">
        <is>
          <t>Cost of Goods Sold</t>
        </is>
      </c>
    </row>
    <row r="21">
      <c r="A21" s="7" t="inlineStr">
        <is>
          <t>500100</t>
        </is>
      </c>
      <c r="B21" s="8" t="inlineStr">
        <is>
          <t>COGS - Finished Goods</t>
        </is>
      </c>
      <c r="C21" s="9">
        <f>-EPM($B$3,$B$4,1,$A21,"period_net_amount")</f>
        <v/>
      </c>
      <c r="D21" s="9">
        <f>-EPM($B$3,$B$4,2,$A21,"period_net_amount")</f>
        <v/>
      </c>
      <c r="E21" s="9">
        <f>-EPM($B$3,$B$4,3,$A21,"period_net_amount")</f>
        <v/>
      </c>
      <c r="F21" s="9">
        <f>-EPM($B$3,$B$4,"Q1",$A21,"period_net_amount")</f>
        <v/>
      </c>
      <c r="G21" s="9">
        <f>-EPM($B$3,$B$4,4,$A21,"period_net_amount")</f>
        <v/>
      </c>
      <c r="H21" s="9">
        <f>-EPM($B$3,$B$4,5,$A21,"period_net_amount")</f>
        <v/>
      </c>
      <c r="I21" s="9">
        <f>-EPM($B$3,$B$4,6,$A21,"period_net_amount")</f>
        <v/>
      </c>
      <c r="J21" s="9">
        <f>-EPM($B$3,$B$4,"Q2",$A21,"period_net_amount")</f>
        <v/>
      </c>
      <c r="K21" s="9">
        <f>-EPM($B$3,$B$4,7,$A21,"period_net_amount")</f>
        <v/>
      </c>
      <c r="L21" s="9">
        <f>-EPM($B$3,$B$4,8,$A21,"period_net_amount")</f>
        <v/>
      </c>
      <c r="M21" s="9">
        <f>-EPM($B$3,$B$4,9,$A21,"period_net_amount")</f>
        <v/>
      </c>
      <c r="N21" s="9">
        <f>-EPM($B$3,$B$4,"Q3",$A21,"period_net_amount")</f>
        <v/>
      </c>
      <c r="O21" s="9">
        <f>-EPM($B$3,$B$4,10,$A21,"period_net_amount")</f>
        <v/>
      </c>
      <c r="P21" s="9">
        <f>-EPM($B$3,$B$4,11,$A21,"period_net_amount")</f>
        <v/>
      </c>
      <c r="Q21" s="9">
        <f>-EPM($B$3,$B$4,12,$A21,"period_net_amount")</f>
        <v/>
      </c>
      <c r="R21" s="9">
        <f>-EPM($B$3,$B$4,"Q4",$A21,"period_net_amount")</f>
        <v/>
      </c>
      <c r="S21" s="9">
        <f>-EPM($B$3,$B$4,"H1",$A21,"period_net_amount")</f>
        <v/>
      </c>
      <c r="T21" s="9">
        <f>-EPM($B$3,$B$4,"H2",$A21,"period_net_amount")</f>
        <v/>
      </c>
      <c r="U21" s="9">
        <f>-EPM($B$3,$B$4,"FY",$A21,"period_net_amount")</f>
        <v/>
      </c>
    </row>
    <row r="22">
      <c r="A22" s="10" t="inlineStr">
        <is>
          <t>500150</t>
        </is>
      </c>
      <c r="B22" s="11" t="inlineStr">
        <is>
          <t>Deferred COGS</t>
        </is>
      </c>
      <c r="C22" s="12">
        <f>-EPM($B$3,$B$4,1,$A22,"period_net_amount")</f>
        <v/>
      </c>
      <c r="D22" s="12">
        <f>-EPM($B$3,$B$4,2,$A22,"period_net_amount")</f>
        <v/>
      </c>
      <c r="E22" s="12">
        <f>-EPM($B$3,$B$4,3,$A22,"period_net_amount")</f>
        <v/>
      </c>
      <c r="F22" s="12">
        <f>-EPM($B$3,$B$4,"Q1",$A22,"period_net_amount")</f>
        <v/>
      </c>
      <c r="G22" s="12">
        <f>-EPM($B$3,$B$4,4,$A22,"period_net_amount")</f>
        <v/>
      </c>
      <c r="H22" s="12">
        <f>-EPM($B$3,$B$4,5,$A22,"period_net_amount")</f>
        <v/>
      </c>
      <c r="I22" s="12">
        <f>-EPM($B$3,$B$4,6,$A22,"period_net_amount")</f>
        <v/>
      </c>
      <c r="J22" s="12">
        <f>-EPM($B$3,$B$4,"Q2",$A22,"period_net_amount")</f>
        <v/>
      </c>
      <c r="K22" s="12">
        <f>-EPM($B$3,$B$4,7,$A22,"period_net_amount")</f>
        <v/>
      </c>
      <c r="L22" s="12">
        <f>-EPM($B$3,$B$4,8,$A22,"period_net_amount")</f>
        <v/>
      </c>
      <c r="M22" s="12">
        <f>-EPM($B$3,$B$4,9,$A22,"period_net_amount")</f>
        <v/>
      </c>
      <c r="N22" s="12">
        <f>-EPM($B$3,$B$4,"Q3",$A22,"period_net_amount")</f>
        <v/>
      </c>
      <c r="O22" s="12">
        <f>-EPM($B$3,$B$4,10,$A22,"period_net_amount")</f>
        <v/>
      </c>
      <c r="P22" s="12">
        <f>-EPM($B$3,$B$4,11,$A22,"period_net_amount")</f>
        <v/>
      </c>
      <c r="Q22" s="12">
        <f>-EPM($B$3,$B$4,12,$A22,"period_net_amount")</f>
        <v/>
      </c>
      <c r="R22" s="12">
        <f>-EPM($B$3,$B$4,"Q4",$A22,"period_net_amount")</f>
        <v/>
      </c>
      <c r="S22" s="12">
        <f>-EPM($B$3,$B$4,"H1",$A22,"period_net_amount")</f>
        <v/>
      </c>
      <c r="T22" s="12">
        <f>-EPM($B$3,$B$4,"H2",$A22,"period_net_amount")</f>
        <v/>
      </c>
      <c r="U22" s="12">
        <f>-EPM($B$3,$B$4,"FY",$A22,"period_net_amount")</f>
        <v/>
      </c>
    </row>
    <row r="23">
      <c r="A23" s="7" t="inlineStr">
        <is>
          <t>510310</t>
        </is>
      </c>
      <c r="B23" s="8" t="inlineStr">
        <is>
          <t>Purchase Price Variance</t>
        </is>
      </c>
      <c r="C23" s="9">
        <f>-EPM($B$3,$B$4,1,$A23,"period_net_amount")</f>
        <v/>
      </c>
      <c r="D23" s="9">
        <f>-EPM($B$3,$B$4,2,$A23,"period_net_amount")</f>
        <v/>
      </c>
      <c r="E23" s="9">
        <f>-EPM($B$3,$B$4,3,$A23,"period_net_amount")</f>
        <v/>
      </c>
      <c r="F23" s="9">
        <f>-EPM($B$3,$B$4,"Q1",$A23,"period_net_amount")</f>
        <v/>
      </c>
      <c r="G23" s="9">
        <f>-EPM($B$3,$B$4,4,$A23,"period_net_amount")</f>
        <v/>
      </c>
      <c r="H23" s="9">
        <f>-EPM($B$3,$B$4,5,$A23,"period_net_amount")</f>
        <v/>
      </c>
      <c r="I23" s="9">
        <f>-EPM($B$3,$B$4,6,$A23,"period_net_amount")</f>
        <v/>
      </c>
      <c r="J23" s="9">
        <f>-EPM($B$3,$B$4,"Q2",$A23,"period_net_amount")</f>
        <v/>
      </c>
      <c r="K23" s="9">
        <f>-EPM($B$3,$B$4,7,$A23,"period_net_amount")</f>
        <v/>
      </c>
      <c r="L23" s="9">
        <f>-EPM($B$3,$B$4,8,$A23,"period_net_amount")</f>
        <v/>
      </c>
      <c r="M23" s="9">
        <f>-EPM($B$3,$B$4,9,$A23,"period_net_amount")</f>
        <v/>
      </c>
      <c r="N23" s="9">
        <f>-EPM($B$3,$B$4,"Q3",$A23,"period_net_amount")</f>
        <v/>
      </c>
      <c r="O23" s="9">
        <f>-EPM($B$3,$B$4,10,$A23,"period_net_amount")</f>
        <v/>
      </c>
      <c r="P23" s="9">
        <f>-EPM($B$3,$B$4,11,$A23,"period_net_amount")</f>
        <v/>
      </c>
      <c r="Q23" s="9">
        <f>-EPM($B$3,$B$4,12,$A23,"period_net_amount")</f>
        <v/>
      </c>
      <c r="R23" s="9">
        <f>-EPM($B$3,$B$4,"Q4",$A23,"period_net_amount")</f>
        <v/>
      </c>
      <c r="S23" s="9">
        <f>-EPM($B$3,$B$4,"H1",$A23,"period_net_amount")</f>
        <v/>
      </c>
      <c r="T23" s="9">
        <f>-EPM($B$3,$B$4,"H2",$A23,"period_net_amount")</f>
        <v/>
      </c>
      <c r="U23" s="9">
        <f>-EPM($B$3,$B$4,"FY",$A23,"period_net_amount")</f>
        <v/>
      </c>
    </row>
    <row r="24">
      <c r="A24" s="10" t="inlineStr">
        <is>
          <t>510500</t>
        </is>
      </c>
      <c r="B24" s="11" t="inlineStr">
        <is>
          <t>Inventory Profit/Loss</t>
        </is>
      </c>
      <c r="C24" s="12">
        <f>-EPM($B$3,$B$4,1,$A24,"period_net_amount")</f>
        <v/>
      </c>
      <c r="D24" s="12">
        <f>-EPM($B$3,$B$4,2,$A24,"period_net_amount")</f>
        <v/>
      </c>
      <c r="E24" s="12">
        <f>-EPM($B$3,$B$4,3,$A24,"period_net_amount")</f>
        <v/>
      </c>
      <c r="F24" s="12">
        <f>-EPM($B$3,$B$4,"Q1",$A24,"period_net_amount")</f>
        <v/>
      </c>
      <c r="G24" s="12">
        <f>-EPM($B$3,$B$4,4,$A24,"period_net_amount")</f>
        <v/>
      </c>
      <c r="H24" s="12">
        <f>-EPM($B$3,$B$4,5,$A24,"period_net_amount")</f>
        <v/>
      </c>
      <c r="I24" s="12">
        <f>-EPM($B$3,$B$4,6,$A24,"period_net_amount")</f>
        <v/>
      </c>
      <c r="J24" s="12">
        <f>-EPM($B$3,$B$4,"Q2",$A24,"period_net_amount")</f>
        <v/>
      </c>
      <c r="K24" s="12">
        <f>-EPM($B$3,$B$4,7,$A24,"period_net_amount")</f>
        <v/>
      </c>
      <c r="L24" s="12">
        <f>-EPM($B$3,$B$4,8,$A24,"period_net_amount")</f>
        <v/>
      </c>
      <c r="M24" s="12">
        <f>-EPM($B$3,$B$4,9,$A24,"period_net_amount")</f>
        <v/>
      </c>
      <c r="N24" s="12">
        <f>-EPM($B$3,$B$4,"Q3",$A24,"period_net_amount")</f>
        <v/>
      </c>
      <c r="O24" s="12">
        <f>-EPM($B$3,$B$4,10,$A24,"period_net_amount")</f>
        <v/>
      </c>
      <c r="P24" s="12">
        <f>-EPM($B$3,$B$4,11,$A24,"period_net_amount")</f>
        <v/>
      </c>
      <c r="Q24" s="12">
        <f>-EPM($B$3,$B$4,12,$A24,"period_net_amount")</f>
        <v/>
      </c>
      <c r="R24" s="12">
        <f>-EPM($B$3,$B$4,"Q4",$A24,"period_net_amount")</f>
        <v/>
      </c>
      <c r="S24" s="12">
        <f>-EPM($B$3,$B$4,"H1",$A24,"period_net_amount")</f>
        <v/>
      </c>
      <c r="T24" s="12">
        <f>-EPM($B$3,$B$4,"H2",$A24,"period_net_amount")</f>
        <v/>
      </c>
      <c r="U24" s="12">
        <f>-EPM($B$3,$B$4,"FY",$A24,"period_net_amount")</f>
        <v/>
      </c>
    </row>
    <row r="25">
      <c r="A25" s="7" t="inlineStr">
        <is>
          <t>510520</t>
        </is>
      </c>
      <c r="B25" s="8" t="inlineStr">
        <is>
          <t>Inventory Adjustment</t>
        </is>
      </c>
      <c r="C25" s="9">
        <f>-EPM($B$3,$B$4,1,$A25,"period_net_amount")</f>
        <v/>
      </c>
      <c r="D25" s="9">
        <f>-EPM($B$3,$B$4,2,$A25,"period_net_amount")</f>
        <v/>
      </c>
      <c r="E25" s="9">
        <f>-EPM($B$3,$B$4,3,$A25,"period_net_amount")</f>
        <v/>
      </c>
      <c r="F25" s="9">
        <f>-EPM($B$3,$B$4,"Q1",$A25,"period_net_amount")</f>
        <v/>
      </c>
      <c r="G25" s="9">
        <f>-EPM($B$3,$B$4,4,$A25,"period_net_amount")</f>
        <v/>
      </c>
      <c r="H25" s="9">
        <f>-EPM($B$3,$B$4,5,$A25,"period_net_amount")</f>
        <v/>
      </c>
      <c r="I25" s="9">
        <f>-EPM($B$3,$B$4,6,$A25,"period_net_amount")</f>
        <v/>
      </c>
      <c r="J25" s="9">
        <f>-EPM($B$3,$B$4,"Q2",$A25,"period_net_amount")</f>
        <v/>
      </c>
      <c r="K25" s="9">
        <f>-EPM($B$3,$B$4,7,$A25,"period_net_amount")</f>
        <v/>
      </c>
      <c r="L25" s="9">
        <f>-EPM($B$3,$B$4,8,$A25,"period_net_amount")</f>
        <v/>
      </c>
      <c r="M25" s="9">
        <f>-EPM($B$3,$B$4,9,$A25,"period_net_amount")</f>
        <v/>
      </c>
      <c r="N25" s="9">
        <f>-EPM($B$3,$B$4,"Q3",$A25,"period_net_amount")</f>
        <v/>
      </c>
      <c r="O25" s="9">
        <f>-EPM($B$3,$B$4,10,$A25,"period_net_amount")</f>
        <v/>
      </c>
      <c r="P25" s="9">
        <f>-EPM($B$3,$B$4,11,$A25,"period_net_amount")</f>
        <v/>
      </c>
      <c r="Q25" s="9">
        <f>-EPM($B$3,$B$4,12,$A25,"period_net_amount")</f>
        <v/>
      </c>
      <c r="R25" s="9">
        <f>-EPM($B$3,$B$4,"Q4",$A25,"period_net_amount")</f>
        <v/>
      </c>
      <c r="S25" s="9">
        <f>-EPM($B$3,$B$4,"H1",$A25,"period_net_amount")</f>
        <v/>
      </c>
      <c r="T25" s="9">
        <f>-EPM($B$3,$B$4,"H2",$A25,"period_net_amount")</f>
        <v/>
      </c>
      <c r="U25" s="9">
        <f>-EPM($B$3,$B$4,"FY",$A25,"period_net_amount")</f>
        <v/>
      </c>
    </row>
    <row r="26">
      <c r="A26" s="10" t="inlineStr">
        <is>
          <t>540100</t>
        </is>
      </c>
      <c r="B26" s="11" t="inlineStr">
        <is>
          <t>Cost of Project - Labor</t>
        </is>
      </c>
      <c r="C26" s="12">
        <f>-EPM($B$3,$B$4,1,$A26,"period_net_amount")</f>
        <v/>
      </c>
      <c r="D26" s="12">
        <f>-EPM($B$3,$B$4,2,$A26,"period_net_amount")</f>
        <v/>
      </c>
      <c r="E26" s="12">
        <f>-EPM($B$3,$B$4,3,$A26,"period_net_amount")</f>
        <v/>
      </c>
      <c r="F26" s="12">
        <f>-EPM($B$3,$B$4,"Q1",$A26,"period_net_amount")</f>
        <v/>
      </c>
      <c r="G26" s="12">
        <f>-EPM($B$3,$B$4,4,$A26,"period_net_amount")</f>
        <v/>
      </c>
      <c r="H26" s="12">
        <f>-EPM($B$3,$B$4,5,$A26,"period_net_amount")</f>
        <v/>
      </c>
      <c r="I26" s="12">
        <f>-EPM($B$3,$B$4,6,$A26,"period_net_amount")</f>
        <v/>
      </c>
      <c r="J26" s="12">
        <f>-EPM($B$3,$B$4,"Q2",$A26,"period_net_amount")</f>
        <v/>
      </c>
      <c r="K26" s="12">
        <f>-EPM($B$3,$B$4,7,$A26,"period_net_amount")</f>
        <v/>
      </c>
      <c r="L26" s="12">
        <f>-EPM($B$3,$B$4,8,$A26,"period_net_amount")</f>
        <v/>
      </c>
      <c r="M26" s="12">
        <f>-EPM($B$3,$B$4,9,$A26,"period_net_amount")</f>
        <v/>
      </c>
      <c r="N26" s="12">
        <f>-EPM($B$3,$B$4,"Q3",$A26,"period_net_amount")</f>
        <v/>
      </c>
      <c r="O26" s="12">
        <f>-EPM($B$3,$B$4,10,$A26,"period_net_amount")</f>
        <v/>
      </c>
      <c r="P26" s="12">
        <f>-EPM($B$3,$B$4,11,$A26,"period_net_amount")</f>
        <v/>
      </c>
      <c r="Q26" s="12">
        <f>-EPM($B$3,$B$4,12,$A26,"period_net_amount")</f>
        <v/>
      </c>
      <c r="R26" s="12">
        <f>-EPM($B$3,$B$4,"Q4",$A26,"period_net_amount")</f>
        <v/>
      </c>
      <c r="S26" s="12">
        <f>-EPM($B$3,$B$4,"H1",$A26,"period_net_amount")</f>
        <v/>
      </c>
      <c r="T26" s="12">
        <f>-EPM($B$3,$B$4,"H2",$A26,"period_net_amount")</f>
        <v/>
      </c>
      <c r="U26" s="12">
        <f>-EPM($B$3,$B$4,"FY",$A26,"period_net_amount")</f>
        <v/>
      </c>
    </row>
    <row r="27">
      <c r="A27" s="7" t="inlineStr">
        <is>
          <t>540110</t>
        </is>
      </c>
      <c r="B27" s="8" t="inlineStr">
        <is>
          <t>Cost of Project - Products</t>
        </is>
      </c>
      <c r="C27" s="9">
        <f>-EPM($B$3,$B$4,1,$A27,"period_net_amount")</f>
        <v/>
      </c>
      <c r="D27" s="9">
        <f>-EPM($B$3,$B$4,2,$A27,"period_net_amount")</f>
        <v/>
      </c>
      <c r="E27" s="9">
        <f>-EPM($B$3,$B$4,3,$A27,"period_net_amount")</f>
        <v/>
      </c>
      <c r="F27" s="9">
        <f>-EPM($B$3,$B$4,"Q1",$A27,"period_net_amount")</f>
        <v/>
      </c>
      <c r="G27" s="9">
        <f>-EPM($B$3,$B$4,4,$A27,"period_net_amount")</f>
        <v/>
      </c>
      <c r="H27" s="9">
        <f>-EPM($B$3,$B$4,5,$A27,"period_net_amount")</f>
        <v/>
      </c>
      <c r="I27" s="9">
        <f>-EPM($B$3,$B$4,6,$A27,"period_net_amount")</f>
        <v/>
      </c>
      <c r="J27" s="9">
        <f>-EPM($B$3,$B$4,"Q2",$A27,"period_net_amount")</f>
        <v/>
      </c>
      <c r="K27" s="9">
        <f>-EPM($B$3,$B$4,7,$A27,"period_net_amount")</f>
        <v/>
      </c>
      <c r="L27" s="9">
        <f>-EPM($B$3,$B$4,8,$A27,"period_net_amount")</f>
        <v/>
      </c>
      <c r="M27" s="9">
        <f>-EPM($B$3,$B$4,9,$A27,"period_net_amount")</f>
        <v/>
      </c>
      <c r="N27" s="9">
        <f>-EPM($B$3,$B$4,"Q3",$A27,"period_net_amount")</f>
        <v/>
      </c>
      <c r="O27" s="9">
        <f>-EPM($B$3,$B$4,10,$A27,"period_net_amount")</f>
        <v/>
      </c>
      <c r="P27" s="9">
        <f>-EPM($B$3,$B$4,11,$A27,"period_net_amount")</f>
        <v/>
      </c>
      <c r="Q27" s="9">
        <f>-EPM($B$3,$B$4,12,$A27,"period_net_amount")</f>
        <v/>
      </c>
      <c r="R27" s="9">
        <f>-EPM($B$3,$B$4,"Q4",$A27,"period_net_amount")</f>
        <v/>
      </c>
      <c r="S27" s="9">
        <f>-EPM($B$3,$B$4,"H1",$A27,"period_net_amount")</f>
        <v/>
      </c>
      <c r="T27" s="9">
        <f>-EPM($B$3,$B$4,"H2",$A27,"period_net_amount")</f>
        <v/>
      </c>
      <c r="U27" s="9">
        <f>-EPM($B$3,$B$4,"FY",$A27,"period_net_amount")</f>
        <v/>
      </c>
    </row>
    <row r="28">
      <c r="A28" s="10" t="inlineStr">
        <is>
          <t>6112015</t>
        </is>
      </c>
      <c r="B28" s="11" t="inlineStr">
        <is>
          <t>COGS - Materials &amp; Services</t>
        </is>
      </c>
      <c r="C28" s="12">
        <f>-EPM($B$3,$B$4,1,$A28,"period_net_amount")</f>
        <v/>
      </c>
      <c r="D28" s="12">
        <f>-EPM($B$3,$B$4,2,$A28,"period_net_amount")</f>
        <v/>
      </c>
      <c r="E28" s="12">
        <f>-EPM($B$3,$B$4,3,$A28,"period_net_amount")</f>
        <v/>
      </c>
      <c r="F28" s="12">
        <f>-EPM($B$3,$B$4,"Q1",$A28,"period_net_amount")</f>
        <v/>
      </c>
      <c r="G28" s="12">
        <f>-EPM($B$3,$B$4,4,$A28,"period_net_amount")</f>
        <v/>
      </c>
      <c r="H28" s="12">
        <f>-EPM($B$3,$B$4,5,$A28,"period_net_amount")</f>
        <v/>
      </c>
      <c r="I28" s="12">
        <f>-EPM($B$3,$B$4,6,$A28,"period_net_amount")</f>
        <v/>
      </c>
      <c r="J28" s="12">
        <f>-EPM($B$3,$B$4,"Q2",$A28,"period_net_amount")</f>
        <v/>
      </c>
      <c r="K28" s="12">
        <f>-EPM($B$3,$B$4,7,$A28,"period_net_amount")</f>
        <v/>
      </c>
      <c r="L28" s="12">
        <f>-EPM($B$3,$B$4,8,$A28,"period_net_amount")</f>
        <v/>
      </c>
      <c r="M28" s="12">
        <f>-EPM($B$3,$B$4,9,$A28,"period_net_amount")</f>
        <v/>
      </c>
      <c r="N28" s="12">
        <f>-EPM($B$3,$B$4,"Q3",$A28,"period_net_amount")</f>
        <v/>
      </c>
      <c r="O28" s="12">
        <f>-EPM($B$3,$B$4,10,$A28,"period_net_amount")</f>
        <v/>
      </c>
      <c r="P28" s="12">
        <f>-EPM($B$3,$B$4,11,$A28,"period_net_amount")</f>
        <v/>
      </c>
      <c r="Q28" s="12">
        <f>-EPM($B$3,$B$4,12,$A28,"period_net_amount")</f>
        <v/>
      </c>
      <c r="R28" s="12">
        <f>-EPM($B$3,$B$4,"Q4",$A28,"period_net_amount")</f>
        <v/>
      </c>
      <c r="S28" s="12">
        <f>-EPM($B$3,$B$4,"H1",$A28,"period_net_amount")</f>
        <v/>
      </c>
      <c r="T28" s="12">
        <f>-EPM($B$3,$B$4,"H2",$A28,"period_net_amount")</f>
        <v/>
      </c>
      <c r="U28" s="12">
        <f>-EPM($B$3,$B$4,"FY",$A28,"period_net_amount")</f>
        <v/>
      </c>
    </row>
    <row r="29">
      <c r="A29" s="13" t="n"/>
      <c r="B29" s="14" t="inlineStr">
        <is>
          <t>Total COGS</t>
        </is>
      </c>
      <c r="C29" s="15">
        <f>C21+C22+C23+C24+C25+C26+C27+C28</f>
        <v/>
      </c>
      <c r="D29" s="15">
        <f>D21+D22+D23+D24+D25+D26+D27+D28</f>
        <v/>
      </c>
      <c r="E29" s="15">
        <f>E21+E22+E23+E24+E25+E26+E27+E28</f>
        <v/>
      </c>
      <c r="F29" s="15">
        <f>F21+F22+F23+F24+F25+F26+F27+F28</f>
        <v/>
      </c>
      <c r="G29" s="15">
        <f>G21+G22+G23+G24+G25+G26+G27+G28</f>
        <v/>
      </c>
      <c r="H29" s="15">
        <f>H21+H22+H23+H24+H25+H26+H27+H28</f>
        <v/>
      </c>
      <c r="I29" s="15">
        <f>I21+I22+I23+I24+I25+I26+I27+I28</f>
        <v/>
      </c>
      <c r="J29" s="15">
        <f>J21+J22+J23+J24+J25+J26+J27+J28</f>
        <v/>
      </c>
      <c r="K29" s="15">
        <f>K21+K22+K23+K24+K25+K26+K27+K28</f>
        <v/>
      </c>
      <c r="L29" s="15">
        <f>L21+L22+L23+L24+L25+L26+L27+L28</f>
        <v/>
      </c>
      <c r="M29" s="15">
        <f>M21+M22+M23+M24+M25+M26+M27+M28</f>
        <v/>
      </c>
      <c r="N29" s="15">
        <f>N21+N22+N23+N24+N25+N26+N27+N28</f>
        <v/>
      </c>
      <c r="O29" s="15">
        <f>O21+O22+O23+O24+O25+O26+O27+O28</f>
        <v/>
      </c>
      <c r="P29" s="15">
        <f>P21+P22+P23+P24+P25+P26+P27+P28</f>
        <v/>
      </c>
      <c r="Q29" s="15">
        <f>Q21+Q22+Q23+Q24+Q25+Q26+Q27+Q28</f>
        <v/>
      </c>
      <c r="R29" s="15">
        <f>R21+R22+R23+R24+R25+R26+R27+R28</f>
        <v/>
      </c>
      <c r="S29" s="15">
        <f>S21+S22+S23+S24+S25+S26+S27+S28</f>
        <v/>
      </c>
      <c r="T29" s="15">
        <f>T21+T22+T23+T24+T25+T26+T27+T28</f>
        <v/>
      </c>
      <c r="U29" s="15">
        <f>U21+U22+U23+U24+U25+U26+U27+U28</f>
        <v/>
      </c>
    </row>
    <row r="31">
      <c r="A31" s="13" t="n"/>
      <c r="B31" s="16" t="inlineStr">
        <is>
          <t>Gross Profit</t>
        </is>
      </c>
      <c r="C31" s="17">
        <f>C18+C29</f>
        <v/>
      </c>
      <c r="D31" s="17">
        <f>D18+D29</f>
        <v/>
      </c>
      <c r="E31" s="17">
        <f>E18+E29</f>
        <v/>
      </c>
      <c r="F31" s="17">
        <f>F18+F29</f>
        <v/>
      </c>
      <c r="G31" s="17">
        <f>G18+G29</f>
        <v/>
      </c>
      <c r="H31" s="17">
        <f>H18+H29</f>
        <v/>
      </c>
      <c r="I31" s="17">
        <f>I18+I29</f>
        <v/>
      </c>
      <c r="J31" s="17">
        <f>J18+J29</f>
        <v/>
      </c>
      <c r="K31" s="17">
        <f>K18+K29</f>
        <v/>
      </c>
      <c r="L31" s="17">
        <f>L18+L29</f>
        <v/>
      </c>
      <c r="M31" s="17">
        <f>M18+M29</f>
        <v/>
      </c>
      <c r="N31" s="17">
        <f>N18+N29</f>
        <v/>
      </c>
      <c r="O31" s="17">
        <f>O18+O29</f>
        <v/>
      </c>
      <c r="P31" s="17">
        <f>P18+P29</f>
        <v/>
      </c>
      <c r="Q31" s="17">
        <f>Q18+Q29</f>
        <v/>
      </c>
      <c r="R31" s="17">
        <f>R18+R29</f>
        <v/>
      </c>
      <c r="S31" s="17">
        <f>S18+S29</f>
        <v/>
      </c>
      <c r="T31" s="17">
        <f>T18+T29</f>
        <v/>
      </c>
      <c r="U31" s="17">
        <f>U18+U29</f>
        <v/>
      </c>
    </row>
    <row r="33">
      <c r="B33" s="3" t="inlineStr">
        <is>
          <t>Operating Expenses</t>
        </is>
      </c>
    </row>
    <row r="34">
      <c r="A34" s="7" t="inlineStr">
        <is>
          <t>600180</t>
        </is>
      </c>
      <c r="B34" s="8" t="inlineStr">
        <is>
          <t>Raw Materials Receipts</t>
        </is>
      </c>
      <c r="C34" s="9">
        <f>-EPM($B$3,$B$4,1,$A34,"period_net_amount")</f>
        <v/>
      </c>
      <c r="D34" s="9">
        <f>-EPM($B$3,$B$4,2,$A34,"period_net_amount")</f>
        <v/>
      </c>
      <c r="E34" s="9">
        <f>-EPM($B$3,$B$4,3,$A34,"period_net_amount")</f>
        <v/>
      </c>
      <c r="F34" s="9">
        <f>-EPM($B$3,$B$4,"Q1",$A34,"period_net_amount")</f>
        <v/>
      </c>
      <c r="G34" s="9">
        <f>-EPM($B$3,$B$4,4,$A34,"period_net_amount")</f>
        <v/>
      </c>
      <c r="H34" s="9">
        <f>-EPM($B$3,$B$4,5,$A34,"period_net_amount")</f>
        <v/>
      </c>
      <c r="I34" s="9">
        <f>-EPM($B$3,$B$4,6,$A34,"period_net_amount")</f>
        <v/>
      </c>
      <c r="J34" s="9">
        <f>-EPM($B$3,$B$4,"Q2",$A34,"period_net_amount")</f>
        <v/>
      </c>
      <c r="K34" s="9">
        <f>-EPM($B$3,$B$4,7,$A34,"period_net_amount")</f>
        <v/>
      </c>
      <c r="L34" s="9">
        <f>-EPM($B$3,$B$4,8,$A34,"period_net_amount")</f>
        <v/>
      </c>
      <c r="M34" s="9">
        <f>-EPM($B$3,$B$4,9,$A34,"period_net_amount")</f>
        <v/>
      </c>
      <c r="N34" s="9">
        <f>-EPM($B$3,$B$4,"Q3",$A34,"period_net_amount")</f>
        <v/>
      </c>
      <c r="O34" s="9">
        <f>-EPM($B$3,$B$4,10,$A34,"period_net_amount")</f>
        <v/>
      </c>
      <c r="P34" s="9">
        <f>-EPM($B$3,$B$4,11,$A34,"period_net_amount")</f>
        <v/>
      </c>
      <c r="Q34" s="9">
        <f>-EPM($B$3,$B$4,12,$A34,"period_net_amount")</f>
        <v/>
      </c>
      <c r="R34" s="9">
        <f>-EPM($B$3,$B$4,"Q4",$A34,"period_net_amount")</f>
        <v/>
      </c>
      <c r="S34" s="9">
        <f>-EPM($B$3,$B$4,"H1",$A34,"period_net_amount")</f>
        <v/>
      </c>
      <c r="T34" s="9">
        <f>-EPM($B$3,$B$4,"H2",$A34,"period_net_amount")</f>
        <v/>
      </c>
      <c r="U34" s="9">
        <f>-EPM($B$3,$B$4,"FY",$A34,"period_net_amount")</f>
        <v/>
      </c>
    </row>
    <row r="35">
      <c r="A35" s="10" t="inlineStr">
        <is>
          <t>601200</t>
        </is>
      </c>
      <c r="B35" s="11" t="inlineStr">
        <is>
          <t>Selling Expense</t>
        </is>
      </c>
      <c r="C35" s="12">
        <f>-EPM($B$3,$B$4,1,$A35,"period_net_amount")</f>
        <v/>
      </c>
      <c r="D35" s="12">
        <f>-EPM($B$3,$B$4,2,$A35,"period_net_amount")</f>
        <v/>
      </c>
      <c r="E35" s="12">
        <f>-EPM($B$3,$B$4,3,$A35,"period_net_amount")</f>
        <v/>
      </c>
      <c r="F35" s="12">
        <f>-EPM($B$3,$B$4,"Q1",$A35,"period_net_amount")</f>
        <v/>
      </c>
      <c r="G35" s="12">
        <f>-EPM($B$3,$B$4,4,$A35,"period_net_amount")</f>
        <v/>
      </c>
      <c r="H35" s="12">
        <f>-EPM($B$3,$B$4,5,$A35,"period_net_amount")</f>
        <v/>
      </c>
      <c r="I35" s="12">
        <f>-EPM($B$3,$B$4,6,$A35,"period_net_amount")</f>
        <v/>
      </c>
      <c r="J35" s="12">
        <f>-EPM($B$3,$B$4,"Q2",$A35,"period_net_amount")</f>
        <v/>
      </c>
      <c r="K35" s="12">
        <f>-EPM($B$3,$B$4,7,$A35,"period_net_amount")</f>
        <v/>
      </c>
      <c r="L35" s="12">
        <f>-EPM($B$3,$B$4,8,$A35,"period_net_amount")</f>
        <v/>
      </c>
      <c r="M35" s="12">
        <f>-EPM($B$3,$B$4,9,$A35,"period_net_amount")</f>
        <v/>
      </c>
      <c r="N35" s="12">
        <f>-EPM($B$3,$B$4,"Q3",$A35,"period_net_amount")</f>
        <v/>
      </c>
      <c r="O35" s="12">
        <f>-EPM($B$3,$B$4,10,$A35,"period_net_amount")</f>
        <v/>
      </c>
      <c r="P35" s="12">
        <f>-EPM($B$3,$B$4,11,$A35,"period_net_amount")</f>
        <v/>
      </c>
      <c r="Q35" s="12">
        <f>-EPM($B$3,$B$4,12,$A35,"period_net_amount")</f>
        <v/>
      </c>
      <c r="R35" s="12">
        <f>-EPM($B$3,$B$4,"Q4",$A35,"period_net_amount")</f>
        <v/>
      </c>
      <c r="S35" s="12">
        <f>-EPM($B$3,$B$4,"H1",$A35,"period_net_amount")</f>
        <v/>
      </c>
      <c r="T35" s="12">
        <f>-EPM($B$3,$B$4,"H2",$A35,"period_net_amount")</f>
        <v/>
      </c>
      <c r="U35" s="12">
        <f>-EPM($B$3,$B$4,"FY",$A35,"period_net_amount")</f>
        <v/>
      </c>
    </row>
    <row r="36">
      <c r="A36" s="7" t="inlineStr">
        <is>
          <t>601300</t>
        </is>
      </c>
      <c r="B36" s="8" t="inlineStr">
        <is>
          <t>Advertising Expense</t>
        </is>
      </c>
      <c r="C36" s="9">
        <f>-EPM($B$3,$B$4,1,$A36,"period_net_amount")</f>
        <v/>
      </c>
      <c r="D36" s="9">
        <f>-EPM($B$3,$B$4,2,$A36,"period_net_amount")</f>
        <v/>
      </c>
      <c r="E36" s="9">
        <f>-EPM($B$3,$B$4,3,$A36,"period_net_amount")</f>
        <v/>
      </c>
      <c r="F36" s="9">
        <f>-EPM($B$3,$B$4,"Q1",$A36,"period_net_amount")</f>
        <v/>
      </c>
      <c r="G36" s="9">
        <f>-EPM($B$3,$B$4,4,$A36,"period_net_amount")</f>
        <v/>
      </c>
      <c r="H36" s="9">
        <f>-EPM($B$3,$B$4,5,$A36,"period_net_amount")</f>
        <v/>
      </c>
      <c r="I36" s="9">
        <f>-EPM($B$3,$B$4,6,$A36,"period_net_amount")</f>
        <v/>
      </c>
      <c r="J36" s="9">
        <f>-EPM($B$3,$B$4,"Q2",$A36,"period_net_amount")</f>
        <v/>
      </c>
      <c r="K36" s="9">
        <f>-EPM($B$3,$B$4,7,$A36,"period_net_amount")</f>
        <v/>
      </c>
      <c r="L36" s="9">
        <f>-EPM($B$3,$B$4,8,$A36,"period_net_amount")</f>
        <v/>
      </c>
      <c r="M36" s="9">
        <f>-EPM($B$3,$B$4,9,$A36,"period_net_amount")</f>
        <v/>
      </c>
      <c r="N36" s="9">
        <f>-EPM($B$3,$B$4,"Q3",$A36,"period_net_amount")</f>
        <v/>
      </c>
      <c r="O36" s="9">
        <f>-EPM($B$3,$B$4,10,$A36,"period_net_amount")</f>
        <v/>
      </c>
      <c r="P36" s="9">
        <f>-EPM($B$3,$B$4,11,$A36,"period_net_amount")</f>
        <v/>
      </c>
      <c r="Q36" s="9">
        <f>-EPM($B$3,$B$4,12,$A36,"period_net_amount")</f>
        <v/>
      </c>
      <c r="R36" s="9">
        <f>-EPM($B$3,$B$4,"Q4",$A36,"period_net_amount")</f>
        <v/>
      </c>
      <c r="S36" s="9">
        <f>-EPM($B$3,$B$4,"H1",$A36,"period_net_amount")</f>
        <v/>
      </c>
      <c r="T36" s="9">
        <f>-EPM($B$3,$B$4,"H2",$A36,"period_net_amount")</f>
        <v/>
      </c>
      <c r="U36" s="9">
        <f>-EPM($B$3,$B$4,"FY",$A36,"period_net_amount")</f>
        <v/>
      </c>
    </row>
    <row r="37">
      <c r="A37" s="10" t="inlineStr">
        <is>
          <t>601500</t>
        </is>
      </c>
      <c r="B37" s="11" t="inlineStr">
        <is>
          <t>Travel Expense</t>
        </is>
      </c>
      <c r="C37" s="12">
        <f>-EPM($B$3,$B$4,1,$A37,"period_net_amount")</f>
        <v/>
      </c>
      <c r="D37" s="12">
        <f>-EPM($B$3,$B$4,2,$A37,"period_net_amount")</f>
        <v/>
      </c>
      <c r="E37" s="12">
        <f>-EPM($B$3,$B$4,3,$A37,"period_net_amount")</f>
        <v/>
      </c>
      <c r="F37" s="12">
        <f>-EPM($B$3,$B$4,"Q1",$A37,"period_net_amount")</f>
        <v/>
      </c>
      <c r="G37" s="12">
        <f>-EPM($B$3,$B$4,4,$A37,"period_net_amount")</f>
        <v/>
      </c>
      <c r="H37" s="12">
        <f>-EPM($B$3,$B$4,5,$A37,"period_net_amount")</f>
        <v/>
      </c>
      <c r="I37" s="12">
        <f>-EPM($B$3,$B$4,6,$A37,"period_net_amount")</f>
        <v/>
      </c>
      <c r="J37" s="12">
        <f>-EPM($B$3,$B$4,"Q2",$A37,"period_net_amount")</f>
        <v/>
      </c>
      <c r="K37" s="12">
        <f>-EPM($B$3,$B$4,7,$A37,"period_net_amount")</f>
        <v/>
      </c>
      <c r="L37" s="12">
        <f>-EPM($B$3,$B$4,8,$A37,"period_net_amount")</f>
        <v/>
      </c>
      <c r="M37" s="12">
        <f>-EPM($B$3,$B$4,9,$A37,"period_net_amount")</f>
        <v/>
      </c>
      <c r="N37" s="12">
        <f>-EPM($B$3,$B$4,"Q3",$A37,"period_net_amount")</f>
        <v/>
      </c>
      <c r="O37" s="12">
        <f>-EPM($B$3,$B$4,10,$A37,"period_net_amount")</f>
        <v/>
      </c>
      <c r="P37" s="12">
        <f>-EPM($B$3,$B$4,11,$A37,"period_net_amount")</f>
        <v/>
      </c>
      <c r="Q37" s="12">
        <f>-EPM($B$3,$B$4,12,$A37,"period_net_amount")</f>
        <v/>
      </c>
      <c r="R37" s="12">
        <f>-EPM($B$3,$B$4,"Q4",$A37,"period_net_amount")</f>
        <v/>
      </c>
      <c r="S37" s="12">
        <f>-EPM($B$3,$B$4,"H1",$A37,"period_net_amount")</f>
        <v/>
      </c>
      <c r="T37" s="12">
        <f>-EPM($B$3,$B$4,"H2",$A37,"period_net_amount")</f>
        <v/>
      </c>
      <c r="U37" s="12">
        <f>-EPM($B$3,$B$4,"FY",$A37,"period_net_amount")</f>
        <v/>
      </c>
    </row>
    <row r="38">
      <c r="A38" s="7" t="inlineStr">
        <is>
          <t>602100</t>
        </is>
      </c>
      <c r="B38" s="8" t="inlineStr">
        <is>
          <t>Salaries &amp; Wages</t>
        </is>
      </c>
      <c r="C38" s="9">
        <f>-EPM($B$3,$B$4,1,$A38,"period_net_amount")</f>
        <v/>
      </c>
      <c r="D38" s="9">
        <f>-EPM($B$3,$B$4,2,$A38,"period_net_amount")</f>
        <v/>
      </c>
      <c r="E38" s="9">
        <f>-EPM($B$3,$B$4,3,$A38,"period_net_amount")</f>
        <v/>
      </c>
      <c r="F38" s="9">
        <f>-EPM($B$3,$B$4,"Q1",$A38,"period_net_amount")</f>
        <v/>
      </c>
      <c r="G38" s="9">
        <f>-EPM($B$3,$B$4,4,$A38,"period_net_amount")</f>
        <v/>
      </c>
      <c r="H38" s="9">
        <f>-EPM($B$3,$B$4,5,$A38,"period_net_amount")</f>
        <v/>
      </c>
      <c r="I38" s="9">
        <f>-EPM($B$3,$B$4,6,$A38,"period_net_amount")</f>
        <v/>
      </c>
      <c r="J38" s="9">
        <f>-EPM($B$3,$B$4,"Q2",$A38,"period_net_amount")</f>
        <v/>
      </c>
      <c r="K38" s="9">
        <f>-EPM($B$3,$B$4,7,$A38,"period_net_amount")</f>
        <v/>
      </c>
      <c r="L38" s="9">
        <f>-EPM($B$3,$B$4,8,$A38,"period_net_amount")</f>
        <v/>
      </c>
      <c r="M38" s="9">
        <f>-EPM($B$3,$B$4,9,$A38,"period_net_amount")</f>
        <v/>
      </c>
      <c r="N38" s="9">
        <f>-EPM($B$3,$B$4,"Q3",$A38,"period_net_amount")</f>
        <v/>
      </c>
      <c r="O38" s="9">
        <f>-EPM($B$3,$B$4,10,$A38,"period_net_amount")</f>
        <v/>
      </c>
      <c r="P38" s="9">
        <f>-EPM($B$3,$B$4,11,$A38,"period_net_amount")</f>
        <v/>
      </c>
      <c r="Q38" s="9">
        <f>-EPM($B$3,$B$4,12,$A38,"period_net_amount")</f>
        <v/>
      </c>
      <c r="R38" s="9">
        <f>-EPM($B$3,$B$4,"Q4",$A38,"period_net_amount")</f>
        <v/>
      </c>
      <c r="S38" s="9">
        <f>-EPM($B$3,$B$4,"H1",$A38,"period_net_amount")</f>
        <v/>
      </c>
      <c r="T38" s="9">
        <f>-EPM($B$3,$B$4,"H2",$A38,"period_net_amount")</f>
        <v/>
      </c>
      <c r="U38" s="9">
        <f>-EPM($B$3,$B$4,"FY",$A38,"period_net_amount")</f>
        <v/>
      </c>
    </row>
    <row r="39">
      <c r="A39" s="10" t="inlineStr">
        <is>
          <t>602120</t>
        </is>
      </c>
      <c r="B39" s="11" t="inlineStr">
        <is>
          <t>Payroll Tax</t>
        </is>
      </c>
      <c r="C39" s="12">
        <f>-EPM($B$3,$B$4,1,$A39,"period_net_amount")</f>
        <v/>
      </c>
      <c r="D39" s="12">
        <f>-EPM($B$3,$B$4,2,$A39,"period_net_amount")</f>
        <v/>
      </c>
      <c r="E39" s="12">
        <f>-EPM($B$3,$B$4,3,$A39,"period_net_amount")</f>
        <v/>
      </c>
      <c r="F39" s="12">
        <f>-EPM($B$3,$B$4,"Q1",$A39,"period_net_amount")</f>
        <v/>
      </c>
      <c r="G39" s="12">
        <f>-EPM($B$3,$B$4,4,$A39,"period_net_amount")</f>
        <v/>
      </c>
      <c r="H39" s="12">
        <f>-EPM($B$3,$B$4,5,$A39,"period_net_amount")</f>
        <v/>
      </c>
      <c r="I39" s="12">
        <f>-EPM($B$3,$B$4,6,$A39,"period_net_amount")</f>
        <v/>
      </c>
      <c r="J39" s="12">
        <f>-EPM($B$3,$B$4,"Q2",$A39,"period_net_amount")</f>
        <v/>
      </c>
      <c r="K39" s="12">
        <f>-EPM($B$3,$B$4,7,$A39,"period_net_amount")</f>
        <v/>
      </c>
      <c r="L39" s="12">
        <f>-EPM($B$3,$B$4,8,$A39,"period_net_amount")</f>
        <v/>
      </c>
      <c r="M39" s="12">
        <f>-EPM($B$3,$B$4,9,$A39,"period_net_amount")</f>
        <v/>
      </c>
      <c r="N39" s="12">
        <f>-EPM($B$3,$B$4,"Q3",$A39,"period_net_amount")</f>
        <v/>
      </c>
      <c r="O39" s="12">
        <f>-EPM($B$3,$B$4,10,$A39,"period_net_amount")</f>
        <v/>
      </c>
      <c r="P39" s="12">
        <f>-EPM($B$3,$B$4,11,$A39,"period_net_amount")</f>
        <v/>
      </c>
      <c r="Q39" s="12">
        <f>-EPM($B$3,$B$4,12,$A39,"period_net_amount")</f>
        <v/>
      </c>
      <c r="R39" s="12">
        <f>-EPM($B$3,$B$4,"Q4",$A39,"period_net_amount")</f>
        <v/>
      </c>
      <c r="S39" s="12">
        <f>-EPM($B$3,$B$4,"H1",$A39,"period_net_amount")</f>
        <v/>
      </c>
      <c r="T39" s="12">
        <f>-EPM($B$3,$B$4,"H2",$A39,"period_net_amount")</f>
        <v/>
      </c>
      <c r="U39" s="12">
        <f>-EPM($B$3,$B$4,"FY",$A39,"period_net_amount")</f>
        <v/>
      </c>
    </row>
    <row r="40">
      <c r="A40" s="7" t="inlineStr">
        <is>
          <t>602130</t>
        </is>
      </c>
      <c r="B40" s="8" t="inlineStr">
        <is>
          <t>Health/Life Insurance</t>
        </is>
      </c>
      <c r="C40" s="9">
        <f>-EPM($B$3,$B$4,1,$A40,"period_net_amount")</f>
        <v/>
      </c>
      <c r="D40" s="9">
        <f>-EPM($B$3,$B$4,2,$A40,"period_net_amount")</f>
        <v/>
      </c>
      <c r="E40" s="9">
        <f>-EPM($B$3,$B$4,3,$A40,"period_net_amount")</f>
        <v/>
      </c>
      <c r="F40" s="9">
        <f>-EPM($B$3,$B$4,"Q1",$A40,"period_net_amount")</f>
        <v/>
      </c>
      <c r="G40" s="9">
        <f>-EPM($B$3,$B$4,4,$A40,"period_net_amount")</f>
        <v/>
      </c>
      <c r="H40" s="9">
        <f>-EPM($B$3,$B$4,5,$A40,"period_net_amount")</f>
        <v/>
      </c>
      <c r="I40" s="9">
        <f>-EPM($B$3,$B$4,6,$A40,"period_net_amount")</f>
        <v/>
      </c>
      <c r="J40" s="9">
        <f>-EPM($B$3,$B$4,"Q2",$A40,"period_net_amount")</f>
        <v/>
      </c>
      <c r="K40" s="9">
        <f>-EPM($B$3,$B$4,7,$A40,"period_net_amount")</f>
        <v/>
      </c>
      <c r="L40" s="9">
        <f>-EPM($B$3,$B$4,8,$A40,"period_net_amount")</f>
        <v/>
      </c>
      <c r="M40" s="9">
        <f>-EPM($B$3,$B$4,9,$A40,"period_net_amount")</f>
        <v/>
      </c>
      <c r="N40" s="9">
        <f>-EPM($B$3,$B$4,"Q3",$A40,"period_net_amount")</f>
        <v/>
      </c>
      <c r="O40" s="9">
        <f>-EPM($B$3,$B$4,10,$A40,"period_net_amount")</f>
        <v/>
      </c>
      <c r="P40" s="9">
        <f>-EPM($B$3,$B$4,11,$A40,"period_net_amount")</f>
        <v/>
      </c>
      <c r="Q40" s="9">
        <f>-EPM($B$3,$B$4,12,$A40,"period_net_amount")</f>
        <v/>
      </c>
      <c r="R40" s="9">
        <f>-EPM($B$3,$B$4,"Q4",$A40,"period_net_amount")</f>
        <v/>
      </c>
      <c r="S40" s="9">
        <f>-EPM($B$3,$B$4,"H1",$A40,"period_net_amount")</f>
        <v/>
      </c>
      <c r="T40" s="9">
        <f>-EPM($B$3,$B$4,"H2",$A40,"period_net_amount")</f>
        <v/>
      </c>
      <c r="U40" s="9">
        <f>-EPM($B$3,$B$4,"FY",$A40,"period_net_amount")</f>
        <v/>
      </c>
    </row>
    <row r="41">
      <c r="A41" s="10" t="inlineStr">
        <is>
          <t>602180</t>
        </is>
      </c>
      <c r="B41" s="11" t="inlineStr">
        <is>
          <t>Pension/Profit-Sharing</t>
        </is>
      </c>
      <c r="C41" s="12">
        <f>-EPM($B$3,$B$4,1,$A41,"period_net_amount")</f>
        <v/>
      </c>
      <c r="D41" s="12">
        <f>-EPM($B$3,$B$4,2,$A41,"period_net_amount")</f>
        <v/>
      </c>
      <c r="E41" s="12">
        <f>-EPM($B$3,$B$4,3,$A41,"period_net_amount")</f>
        <v/>
      </c>
      <c r="F41" s="12">
        <f>-EPM($B$3,$B$4,"Q1",$A41,"period_net_amount")</f>
        <v/>
      </c>
      <c r="G41" s="12">
        <f>-EPM($B$3,$B$4,4,$A41,"period_net_amount")</f>
        <v/>
      </c>
      <c r="H41" s="12">
        <f>-EPM($B$3,$B$4,5,$A41,"period_net_amount")</f>
        <v/>
      </c>
      <c r="I41" s="12">
        <f>-EPM($B$3,$B$4,6,$A41,"period_net_amount")</f>
        <v/>
      </c>
      <c r="J41" s="12">
        <f>-EPM($B$3,$B$4,"Q2",$A41,"period_net_amount")</f>
        <v/>
      </c>
      <c r="K41" s="12">
        <f>-EPM($B$3,$B$4,7,$A41,"period_net_amount")</f>
        <v/>
      </c>
      <c r="L41" s="12">
        <f>-EPM($B$3,$B$4,8,$A41,"period_net_amount")</f>
        <v/>
      </c>
      <c r="M41" s="12">
        <f>-EPM($B$3,$B$4,9,$A41,"period_net_amount")</f>
        <v/>
      </c>
      <c r="N41" s="12">
        <f>-EPM($B$3,$B$4,"Q3",$A41,"period_net_amount")</f>
        <v/>
      </c>
      <c r="O41" s="12">
        <f>-EPM($B$3,$B$4,10,$A41,"period_net_amount")</f>
        <v/>
      </c>
      <c r="P41" s="12">
        <f>-EPM($B$3,$B$4,11,$A41,"period_net_amount")</f>
        <v/>
      </c>
      <c r="Q41" s="12">
        <f>-EPM($B$3,$B$4,12,$A41,"period_net_amount")</f>
        <v/>
      </c>
      <c r="R41" s="12">
        <f>-EPM($B$3,$B$4,"Q4",$A41,"period_net_amount")</f>
        <v/>
      </c>
      <c r="S41" s="12">
        <f>-EPM($B$3,$B$4,"H1",$A41,"period_net_amount")</f>
        <v/>
      </c>
      <c r="T41" s="12">
        <f>-EPM($B$3,$B$4,"H2",$A41,"period_net_amount")</f>
        <v/>
      </c>
      <c r="U41" s="12">
        <f>-EPM($B$3,$B$4,"FY",$A41,"period_net_amount")</f>
        <v/>
      </c>
    </row>
    <row r="42">
      <c r="A42" s="7" t="inlineStr">
        <is>
          <t>604500</t>
        </is>
      </c>
      <c r="B42" s="8" t="inlineStr">
        <is>
          <t>Lease Expense</t>
        </is>
      </c>
      <c r="C42" s="9">
        <f>-EPM($B$3,$B$4,1,$A42,"period_net_amount")</f>
        <v/>
      </c>
      <c r="D42" s="9">
        <f>-EPM($B$3,$B$4,2,$A42,"period_net_amount")</f>
        <v/>
      </c>
      <c r="E42" s="9">
        <f>-EPM($B$3,$B$4,3,$A42,"period_net_amount")</f>
        <v/>
      </c>
      <c r="F42" s="9">
        <f>-EPM($B$3,$B$4,"Q1",$A42,"period_net_amount")</f>
        <v/>
      </c>
      <c r="G42" s="9">
        <f>-EPM($B$3,$B$4,4,$A42,"period_net_amount")</f>
        <v/>
      </c>
      <c r="H42" s="9">
        <f>-EPM($B$3,$B$4,5,$A42,"period_net_amount")</f>
        <v/>
      </c>
      <c r="I42" s="9">
        <f>-EPM($B$3,$B$4,6,$A42,"period_net_amount")</f>
        <v/>
      </c>
      <c r="J42" s="9">
        <f>-EPM($B$3,$B$4,"Q2",$A42,"period_net_amount")</f>
        <v/>
      </c>
      <c r="K42" s="9">
        <f>-EPM($B$3,$B$4,7,$A42,"period_net_amount")</f>
        <v/>
      </c>
      <c r="L42" s="9">
        <f>-EPM($B$3,$B$4,8,$A42,"period_net_amount")</f>
        <v/>
      </c>
      <c r="M42" s="9">
        <f>-EPM($B$3,$B$4,9,$A42,"period_net_amount")</f>
        <v/>
      </c>
      <c r="N42" s="9">
        <f>-EPM($B$3,$B$4,"Q3",$A42,"period_net_amount")</f>
        <v/>
      </c>
      <c r="O42" s="9">
        <f>-EPM($B$3,$B$4,10,$A42,"period_net_amount")</f>
        <v/>
      </c>
      <c r="P42" s="9">
        <f>-EPM($B$3,$B$4,11,$A42,"period_net_amount")</f>
        <v/>
      </c>
      <c r="Q42" s="9">
        <f>-EPM($B$3,$B$4,12,$A42,"period_net_amount")</f>
        <v/>
      </c>
      <c r="R42" s="9">
        <f>-EPM($B$3,$B$4,"Q4",$A42,"period_net_amount")</f>
        <v/>
      </c>
      <c r="S42" s="9">
        <f>-EPM($B$3,$B$4,"H1",$A42,"period_net_amount")</f>
        <v/>
      </c>
      <c r="T42" s="9">
        <f>-EPM($B$3,$B$4,"H2",$A42,"period_net_amount")</f>
        <v/>
      </c>
      <c r="U42" s="9">
        <f>-EPM($B$3,$B$4,"FY",$A42,"period_net_amount")</f>
        <v/>
      </c>
    </row>
    <row r="43">
      <c r="A43" s="10" t="inlineStr">
        <is>
          <t>605150</t>
        </is>
      </c>
      <c r="B43" s="11" t="inlineStr">
        <is>
          <t>Rent Expense</t>
        </is>
      </c>
      <c r="C43" s="12">
        <f>-EPM($B$3,$B$4,1,$A43,"period_net_amount")</f>
        <v/>
      </c>
      <c r="D43" s="12">
        <f>-EPM($B$3,$B$4,2,$A43,"period_net_amount")</f>
        <v/>
      </c>
      <c r="E43" s="12">
        <f>-EPM($B$3,$B$4,3,$A43,"period_net_amount")</f>
        <v/>
      </c>
      <c r="F43" s="12">
        <f>-EPM($B$3,$B$4,"Q1",$A43,"period_net_amount")</f>
        <v/>
      </c>
      <c r="G43" s="12">
        <f>-EPM($B$3,$B$4,4,$A43,"period_net_amount")</f>
        <v/>
      </c>
      <c r="H43" s="12">
        <f>-EPM($B$3,$B$4,5,$A43,"period_net_amount")</f>
        <v/>
      </c>
      <c r="I43" s="12">
        <f>-EPM($B$3,$B$4,6,$A43,"period_net_amount")</f>
        <v/>
      </c>
      <c r="J43" s="12">
        <f>-EPM($B$3,$B$4,"Q2",$A43,"period_net_amount")</f>
        <v/>
      </c>
      <c r="K43" s="12">
        <f>-EPM($B$3,$B$4,7,$A43,"period_net_amount")</f>
        <v/>
      </c>
      <c r="L43" s="12">
        <f>-EPM($B$3,$B$4,8,$A43,"period_net_amount")</f>
        <v/>
      </c>
      <c r="M43" s="12">
        <f>-EPM($B$3,$B$4,9,$A43,"period_net_amount")</f>
        <v/>
      </c>
      <c r="N43" s="12">
        <f>-EPM($B$3,$B$4,"Q3",$A43,"period_net_amount")</f>
        <v/>
      </c>
      <c r="O43" s="12">
        <f>-EPM($B$3,$B$4,10,$A43,"period_net_amount")</f>
        <v/>
      </c>
      <c r="P43" s="12">
        <f>-EPM($B$3,$B$4,11,$A43,"period_net_amount")</f>
        <v/>
      </c>
      <c r="Q43" s="12">
        <f>-EPM($B$3,$B$4,12,$A43,"period_net_amount")</f>
        <v/>
      </c>
      <c r="R43" s="12">
        <f>-EPM($B$3,$B$4,"Q4",$A43,"period_net_amount")</f>
        <v/>
      </c>
      <c r="S43" s="12">
        <f>-EPM($B$3,$B$4,"H1",$A43,"period_net_amount")</f>
        <v/>
      </c>
      <c r="T43" s="12">
        <f>-EPM($B$3,$B$4,"H2",$A43,"period_net_amount")</f>
        <v/>
      </c>
      <c r="U43" s="12">
        <f>-EPM($B$3,$B$4,"FY",$A43,"period_net_amount")</f>
        <v/>
      </c>
    </row>
    <row r="44">
      <c r="A44" s="7" t="inlineStr">
        <is>
          <t>605160</t>
        </is>
      </c>
      <c r="B44" s="8" t="inlineStr">
        <is>
          <t>Utilities</t>
        </is>
      </c>
      <c r="C44" s="9">
        <f>-EPM($B$3,$B$4,1,$A44,"period_net_amount")</f>
        <v/>
      </c>
      <c r="D44" s="9">
        <f>-EPM($B$3,$B$4,2,$A44,"period_net_amount")</f>
        <v/>
      </c>
      <c r="E44" s="9">
        <f>-EPM($B$3,$B$4,3,$A44,"period_net_amount")</f>
        <v/>
      </c>
      <c r="F44" s="9">
        <f>-EPM($B$3,$B$4,"Q1",$A44,"period_net_amount")</f>
        <v/>
      </c>
      <c r="G44" s="9">
        <f>-EPM($B$3,$B$4,4,$A44,"period_net_amount")</f>
        <v/>
      </c>
      <c r="H44" s="9">
        <f>-EPM($B$3,$B$4,5,$A44,"period_net_amount")</f>
        <v/>
      </c>
      <c r="I44" s="9">
        <f>-EPM($B$3,$B$4,6,$A44,"period_net_amount")</f>
        <v/>
      </c>
      <c r="J44" s="9">
        <f>-EPM($B$3,$B$4,"Q2",$A44,"period_net_amount")</f>
        <v/>
      </c>
      <c r="K44" s="9">
        <f>-EPM($B$3,$B$4,7,$A44,"period_net_amount")</f>
        <v/>
      </c>
      <c r="L44" s="9">
        <f>-EPM($B$3,$B$4,8,$A44,"period_net_amount")</f>
        <v/>
      </c>
      <c r="M44" s="9">
        <f>-EPM($B$3,$B$4,9,$A44,"period_net_amount")</f>
        <v/>
      </c>
      <c r="N44" s="9">
        <f>-EPM($B$3,$B$4,"Q3",$A44,"period_net_amount")</f>
        <v/>
      </c>
      <c r="O44" s="9">
        <f>-EPM($B$3,$B$4,10,$A44,"period_net_amount")</f>
        <v/>
      </c>
      <c r="P44" s="9">
        <f>-EPM($B$3,$B$4,11,$A44,"period_net_amount")</f>
        <v/>
      </c>
      <c r="Q44" s="9">
        <f>-EPM($B$3,$B$4,12,$A44,"period_net_amount")</f>
        <v/>
      </c>
      <c r="R44" s="9">
        <f>-EPM($B$3,$B$4,"Q4",$A44,"period_net_amount")</f>
        <v/>
      </c>
      <c r="S44" s="9">
        <f>-EPM($B$3,$B$4,"H1",$A44,"period_net_amount")</f>
        <v/>
      </c>
      <c r="T44" s="9">
        <f>-EPM($B$3,$B$4,"H2",$A44,"period_net_amount")</f>
        <v/>
      </c>
      <c r="U44" s="9">
        <f>-EPM($B$3,$B$4,"FY",$A44,"period_net_amount")</f>
        <v/>
      </c>
    </row>
    <row r="45">
      <c r="A45" s="10" t="inlineStr">
        <is>
          <t>606200</t>
        </is>
      </c>
      <c r="B45" s="11" t="inlineStr">
        <is>
          <t>Insurance Expense</t>
        </is>
      </c>
      <c r="C45" s="12">
        <f>-EPM($B$3,$B$4,1,$A45,"period_net_amount")</f>
        <v/>
      </c>
      <c r="D45" s="12">
        <f>-EPM($B$3,$B$4,2,$A45,"period_net_amount")</f>
        <v/>
      </c>
      <c r="E45" s="12">
        <f>-EPM($B$3,$B$4,3,$A45,"period_net_amount")</f>
        <v/>
      </c>
      <c r="F45" s="12">
        <f>-EPM($B$3,$B$4,"Q1",$A45,"period_net_amount")</f>
        <v/>
      </c>
      <c r="G45" s="12">
        <f>-EPM($B$3,$B$4,4,$A45,"period_net_amount")</f>
        <v/>
      </c>
      <c r="H45" s="12">
        <f>-EPM($B$3,$B$4,5,$A45,"period_net_amount")</f>
        <v/>
      </c>
      <c r="I45" s="12">
        <f>-EPM($B$3,$B$4,6,$A45,"period_net_amount")</f>
        <v/>
      </c>
      <c r="J45" s="12">
        <f>-EPM($B$3,$B$4,"Q2",$A45,"period_net_amount")</f>
        <v/>
      </c>
      <c r="K45" s="12">
        <f>-EPM($B$3,$B$4,7,$A45,"period_net_amount")</f>
        <v/>
      </c>
      <c r="L45" s="12">
        <f>-EPM($B$3,$B$4,8,$A45,"period_net_amount")</f>
        <v/>
      </c>
      <c r="M45" s="12">
        <f>-EPM($B$3,$B$4,9,$A45,"period_net_amount")</f>
        <v/>
      </c>
      <c r="N45" s="12">
        <f>-EPM($B$3,$B$4,"Q3",$A45,"period_net_amount")</f>
        <v/>
      </c>
      <c r="O45" s="12">
        <f>-EPM($B$3,$B$4,10,$A45,"period_net_amount")</f>
        <v/>
      </c>
      <c r="P45" s="12">
        <f>-EPM($B$3,$B$4,11,$A45,"period_net_amount")</f>
        <v/>
      </c>
      <c r="Q45" s="12">
        <f>-EPM($B$3,$B$4,12,$A45,"period_net_amount")</f>
        <v/>
      </c>
      <c r="R45" s="12">
        <f>-EPM($B$3,$B$4,"Q4",$A45,"period_net_amount")</f>
        <v/>
      </c>
      <c r="S45" s="12">
        <f>-EPM($B$3,$B$4,"H1",$A45,"period_net_amount")</f>
        <v/>
      </c>
      <c r="T45" s="12">
        <f>-EPM($B$3,$B$4,"H2",$A45,"period_net_amount")</f>
        <v/>
      </c>
      <c r="U45" s="12">
        <f>-EPM($B$3,$B$4,"FY",$A45,"period_net_amount")</f>
        <v/>
      </c>
    </row>
    <row r="46">
      <c r="A46" s="7" t="inlineStr">
        <is>
          <t>606300</t>
        </is>
      </c>
      <c r="B46" s="8" t="inlineStr">
        <is>
          <t>Office Expense</t>
        </is>
      </c>
      <c r="C46" s="9">
        <f>-EPM($B$3,$B$4,1,$A46,"period_net_amount")</f>
        <v/>
      </c>
      <c r="D46" s="9">
        <f>-EPM($B$3,$B$4,2,$A46,"period_net_amount")</f>
        <v/>
      </c>
      <c r="E46" s="9">
        <f>-EPM($B$3,$B$4,3,$A46,"period_net_amount")</f>
        <v/>
      </c>
      <c r="F46" s="9">
        <f>-EPM($B$3,$B$4,"Q1",$A46,"period_net_amount")</f>
        <v/>
      </c>
      <c r="G46" s="9">
        <f>-EPM($B$3,$B$4,4,$A46,"period_net_amount")</f>
        <v/>
      </c>
      <c r="H46" s="9">
        <f>-EPM($B$3,$B$4,5,$A46,"period_net_amount")</f>
        <v/>
      </c>
      <c r="I46" s="9">
        <f>-EPM($B$3,$B$4,6,$A46,"period_net_amount")</f>
        <v/>
      </c>
      <c r="J46" s="9">
        <f>-EPM($B$3,$B$4,"Q2",$A46,"period_net_amount")</f>
        <v/>
      </c>
      <c r="K46" s="9">
        <f>-EPM($B$3,$B$4,7,$A46,"period_net_amount")</f>
        <v/>
      </c>
      <c r="L46" s="9">
        <f>-EPM($B$3,$B$4,8,$A46,"period_net_amount")</f>
        <v/>
      </c>
      <c r="M46" s="9">
        <f>-EPM($B$3,$B$4,9,$A46,"period_net_amount")</f>
        <v/>
      </c>
      <c r="N46" s="9">
        <f>-EPM($B$3,$B$4,"Q3",$A46,"period_net_amount")</f>
        <v/>
      </c>
      <c r="O46" s="9">
        <f>-EPM($B$3,$B$4,10,$A46,"period_net_amount")</f>
        <v/>
      </c>
      <c r="P46" s="9">
        <f>-EPM($B$3,$B$4,11,$A46,"period_net_amount")</f>
        <v/>
      </c>
      <c r="Q46" s="9">
        <f>-EPM($B$3,$B$4,12,$A46,"period_net_amount")</f>
        <v/>
      </c>
      <c r="R46" s="9">
        <f>-EPM($B$3,$B$4,"Q4",$A46,"period_net_amount")</f>
        <v/>
      </c>
      <c r="S46" s="9">
        <f>-EPM($B$3,$B$4,"H1",$A46,"period_net_amount")</f>
        <v/>
      </c>
      <c r="T46" s="9">
        <f>-EPM($B$3,$B$4,"H2",$A46,"period_net_amount")</f>
        <v/>
      </c>
      <c r="U46" s="9">
        <f>-EPM($B$3,$B$4,"FY",$A46,"period_net_amount")</f>
        <v/>
      </c>
    </row>
    <row r="47">
      <c r="A47" s="10" t="inlineStr">
        <is>
          <t>607200</t>
        </is>
      </c>
      <c r="B47" s="11" t="inlineStr">
        <is>
          <t>Depreciation - Tangible</t>
        </is>
      </c>
      <c r="C47" s="12">
        <f>-EPM($B$3,$B$4,1,$A47,"period_net_amount")</f>
        <v/>
      </c>
      <c r="D47" s="12">
        <f>-EPM($B$3,$B$4,2,$A47,"period_net_amount")</f>
        <v/>
      </c>
      <c r="E47" s="12">
        <f>-EPM($B$3,$B$4,3,$A47,"period_net_amount")</f>
        <v/>
      </c>
      <c r="F47" s="12">
        <f>-EPM($B$3,$B$4,"Q1",$A47,"period_net_amount")</f>
        <v/>
      </c>
      <c r="G47" s="12">
        <f>-EPM($B$3,$B$4,4,$A47,"period_net_amount")</f>
        <v/>
      </c>
      <c r="H47" s="12">
        <f>-EPM($B$3,$B$4,5,$A47,"period_net_amount")</f>
        <v/>
      </c>
      <c r="I47" s="12">
        <f>-EPM($B$3,$B$4,6,$A47,"period_net_amount")</f>
        <v/>
      </c>
      <c r="J47" s="12">
        <f>-EPM($B$3,$B$4,"Q2",$A47,"period_net_amount")</f>
        <v/>
      </c>
      <c r="K47" s="12">
        <f>-EPM($B$3,$B$4,7,$A47,"period_net_amount")</f>
        <v/>
      </c>
      <c r="L47" s="12">
        <f>-EPM($B$3,$B$4,8,$A47,"period_net_amount")</f>
        <v/>
      </c>
      <c r="M47" s="12">
        <f>-EPM($B$3,$B$4,9,$A47,"period_net_amount")</f>
        <v/>
      </c>
      <c r="N47" s="12">
        <f>-EPM($B$3,$B$4,"Q3",$A47,"period_net_amount")</f>
        <v/>
      </c>
      <c r="O47" s="12">
        <f>-EPM($B$3,$B$4,10,$A47,"period_net_amount")</f>
        <v/>
      </c>
      <c r="P47" s="12">
        <f>-EPM($B$3,$B$4,11,$A47,"period_net_amount")</f>
        <v/>
      </c>
      <c r="Q47" s="12">
        <f>-EPM($B$3,$B$4,12,$A47,"period_net_amount")</f>
        <v/>
      </c>
      <c r="R47" s="12">
        <f>-EPM($B$3,$B$4,"Q4",$A47,"period_net_amount")</f>
        <v/>
      </c>
      <c r="S47" s="12">
        <f>-EPM($B$3,$B$4,"H1",$A47,"period_net_amount")</f>
        <v/>
      </c>
      <c r="T47" s="12">
        <f>-EPM($B$3,$B$4,"H2",$A47,"period_net_amount")</f>
        <v/>
      </c>
      <c r="U47" s="12">
        <f>-EPM($B$3,$B$4,"FY",$A47,"period_net_amount")</f>
        <v/>
      </c>
    </row>
    <row r="48">
      <c r="A48" s="7" t="inlineStr">
        <is>
          <t>618900</t>
        </is>
      </c>
      <c r="B48" s="8" t="inlineStr">
        <is>
          <t>Miscellaneous Expense</t>
        </is>
      </c>
      <c r="C48" s="9">
        <f>-EPM($B$3,$B$4,1,$A48,"period_net_amount")</f>
        <v/>
      </c>
      <c r="D48" s="9">
        <f>-EPM($B$3,$B$4,2,$A48,"period_net_amount")</f>
        <v/>
      </c>
      <c r="E48" s="9">
        <f>-EPM($B$3,$B$4,3,$A48,"period_net_amount")</f>
        <v/>
      </c>
      <c r="F48" s="9">
        <f>-EPM($B$3,$B$4,"Q1",$A48,"period_net_amount")</f>
        <v/>
      </c>
      <c r="G48" s="9">
        <f>-EPM($B$3,$B$4,4,$A48,"period_net_amount")</f>
        <v/>
      </c>
      <c r="H48" s="9">
        <f>-EPM($B$3,$B$4,5,$A48,"period_net_amount")</f>
        <v/>
      </c>
      <c r="I48" s="9">
        <f>-EPM($B$3,$B$4,6,$A48,"period_net_amount")</f>
        <v/>
      </c>
      <c r="J48" s="9">
        <f>-EPM($B$3,$B$4,"Q2",$A48,"period_net_amount")</f>
        <v/>
      </c>
      <c r="K48" s="9">
        <f>-EPM($B$3,$B$4,7,$A48,"period_net_amount")</f>
        <v/>
      </c>
      <c r="L48" s="9">
        <f>-EPM($B$3,$B$4,8,$A48,"period_net_amount")</f>
        <v/>
      </c>
      <c r="M48" s="9">
        <f>-EPM($B$3,$B$4,9,$A48,"period_net_amount")</f>
        <v/>
      </c>
      <c r="N48" s="9">
        <f>-EPM($B$3,$B$4,"Q3",$A48,"period_net_amount")</f>
        <v/>
      </c>
      <c r="O48" s="9">
        <f>-EPM($B$3,$B$4,10,$A48,"period_net_amount")</f>
        <v/>
      </c>
      <c r="P48" s="9">
        <f>-EPM($B$3,$B$4,11,$A48,"period_net_amount")</f>
        <v/>
      </c>
      <c r="Q48" s="9">
        <f>-EPM($B$3,$B$4,12,$A48,"period_net_amount")</f>
        <v/>
      </c>
      <c r="R48" s="9">
        <f>-EPM($B$3,$B$4,"Q4",$A48,"period_net_amount")</f>
        <v/>
      </c>
      <c r="S48" s="9">
        <f>-EPM($B$3,$B$4,"H1",$A48,"period_net_amount")</f>
        <v/>
      </c>
      <c r="T48" s="9">
        <f>-EPM($B$3,$B$4,"H2",$A48,"period_net_amount")</f>
        <v/>
      </c>
      <c r="U48" s="9">
        <f>-EPM($B$3,$B$4,"FY",$A48,"period_net_amount")</f>
        <v/>
      </c>
    </row>
    <row r="49">
      <c r="A49" s="13" t="n"/>
      <c r="B49" s="14" t="inlineStr">
        <is>
          <t>Total Operating Expenses</t>
        </is>
      </c>
      <c r="C49" s="15">
        <f>C34+C35+C36+C37+C38+C39+C40+C41+C42+C43+C44+C45+C46+C47+C48</f>
        <v/>
      </c>
      <c r="D49" s="15">
        <f>D34+D35+D36+D37+D38+D39+D40+D41+D42+D43+D44+D45+D46+D47+D48</f>
        <v/>
      </c>
      <c r="E49" s="15">
        <f>E34+E35+E36+E37+E38+E39+E40+E41+E42+E43+E44+E45+E46+E47+E48</f>
        <v/>
      </c>
      <c r="F49" s="15">
        <f>F34+F35+F36+F37+F38+F39+F40+F41+F42+F43+F44+F45+F46+F47+F48</f>
        <v/>
      </c>
      <c r="G49" s="15">
        <f>G34+G35+G36+G37+G38+G39+G40+G41+G42+G43+G44+G45+G46+G47+G48</f>
        <v/>
      </c>
      <c r="H49" s="15">
        <f>H34+H35+H36+H37+H38+H39+H40+H41+H42+H43+H44+H45+H46+H47+H48</f>
        <v/>
      </c>
      <c r="I49" s="15">
        <f>I34+I35+I36+I37+I38+I39+I40+I41+I42+I43+I44+I45+I46+I47+I48</f>
        <v/>
      </c>
      <c r="J49" s="15">
        <f>J34+J35+J36+J37+J38+J39+J40+J41+J42+J43+J44+J45+J46+J47+J48</f>
        <v/>
      </c>
      <c r="K49" s="15">
        <f>K34+K35+K36+K37+K38+K39+K40+K41+K42+K43+K44+K45+K46+K47+K48</f>
        <v/>
      </c>
      <c r="L49" s="15">
        <f>L34+L35+L36+L37+L38+L39+L40+L41+L42+L43+L44+L45+L46+L47+L48</f>
        <v/>
      </c>
      <c r="M49" s="15">
        <f>M34+M35+M36+M37+M38+M39+M40+M41+M42+M43+M44+M45+M46+M47+M48</f>
        <v/>
      </c>
      <c r="N49" s="15">
        <f>N34+N35+N36+N37+N38+N39+N40+N41+N42+N43+N44+N45+N46+N47+N48</f>
        <v/>
      </c>
      <c r="O49" s="15">
        <f>O34+O35+O36+O37+O38+O39+O40+O41+O42+O43+O44+O45+O46+O47+O48</f>
        <v/>
      </c>
      <c r="P49" s="15">
        <f>P34+P35+P36+P37+P38+P39+P40+P41+P42+P43+P44+P45+P46+P47+P48</f>
        <v/>
      </c>
      <c r="Q49" s="15">
        <f>Q34+Q35+Q36+Q37+Q38+Q39+Q40+Q41+Q42+Q43+Q44+Q45+Q46+Q47+Q48</f>
        <v/>
      </c>
      <c r="R49" s="15">
        <f>R34+R35+R36+R37+R38+R39+R40+R41+R42+R43+R44+R45+R46+R47+R48</f>
        <v/>
      </c>
      <c r="S49" s="15">
        <f>S34+S35+S36+S37+S38+S39+S40+S41+S42+S43+S44+S45+S46+S47+S48</f>
        <v/>
      </c>
      <c r="T49" s="15">
        <f>T34+T35+T36+T37+T38+T39+T40+T41+T42+T43+T44+T45+T46+T47+T48</f>
        <v/>
      </c>
      <c r="U49" s="15">
        <f>U34+U35+U36+U37+U38+U39+U40+U41+U42+U43+U44+U45+U46+U47+U48</f>
        <v/>
      </c>
    </row>
    <row r="51">
      <c r="A51" s="13" t="n"/>
      <c r="B51" s="16" t="inlineStr">
        <is>
          <t>Operating Income</t>
        </is>
      </c>
      <c r="C51" s="17">
        <f>C31-C49</f>
        <v/>
      </c>
      <c r="D51" s="17">
        <f>D31-D49</f>
        <v/>
      </c>
      <c r="E51" s="17">
        <f>E31-E49</f>
        <v/>
      </c>
      <c r="F51" s="17">
        <f>F31-F49</f>
        <v/>
      </c>
      <c r="G51" s="17">
        <f>G31-G49</f>
        <v/>
      </c>
      <c r="H51" s="17">
        <f>H31-H49</f>
        <v/>
      </c>
      <c r="I51" s="17">
        <f>I31-I49</f>
        <v/>
      </c>
      <c r="J51" s="17">
        <f>J31-J49</f>
        <v/>
      </c>
      <c r="K51" s="17">
        <f>K31-K49</f>
        <v/>
      </c>
      <c r="L51" s="17">
        <f>L31-L49</f>
        <v/>
      </c>
      <c r="M51" s="17">
        <f>M31-M49</f>
        <v/>
      </c>
      <c r="N51" s="17">
        <f>N31-N49</f>
        <v/>
      </c>
      <c r="O51" s="17">
        <f>O31-O49</f>
        <v/>
      </c>
      <c r="P51" s="17">
        <f>P31-P49</f>
        <v/>
      </c>
      <c r="Q51" s="17">
        <f>Q31-Q49</f>
        <v/>
      </c>
      <c r="R51" s="17">
        <f>R31-R49</f>
        <v/>
      </c>
      <c r="S51" s="17">
        <f>S31-S49</f>
        <v/>
      </c>
      <c r="T51" s="17">
        <f>T31-T49</f>
        <v/>
      </c>
      <c r="U51" s="17">
        <f>U31-U49</f>
        <v/>
      </c>
    </row>
    <row r="53">
      <c r="B53" s="3" t="inlineStr">
        <is>
          <t>Other Income / Expense</t>
        </is>
      </c>
    </row>
    <row r="54">
      <c r="A54" s="7" t="inlineStr">
        <is>
          <t>700200</t>
        </is>
      </c>
      <c r="B54" s="8" t="inlineStr">
        <is>
          <t>Interest Income - Customers</t>
        </is>
      </c>
      <c r="C54" s="9">
        <f>-EPM($B$3,$B$4,1,$A54,"period_net_amount")</f>
        <v/>
      </c>
      <c r="D54" s="9">
        <f>-EPM($B$3,$B$4,2,$A54,"period_net_amount")</f>
        <v/>
      </c>
      <c r="E54" s="9">
        <f>-EPM($B$3,$B$4,3,$A54,"period_net_amount")</f>
        <v/>
      </c>
      <c r="F54" s="9">
        <f>-EPM($B$3,$B$4,"Q1",$A54,"period_net_amount")</f>
        <v/>
      </c>
      <c r="G54" s="9">
        <f>-EPM($B$3,$B$4,4,$A54,"period_net_amount")</f>
        <v/>
      </c>
      <c r="H54" s="9">
        <f>-EPM($B$3,$B$4,5,$A54,"period_net_amount")</f>
        <v/>
      </c>
      <c r="I54" s="9">
        <f>-EPM($B$3,$B$4,6,$A54,"period_net_amount")</f>
        <v/>
      </c>
      <c r="J54" s="9">
        <f>-EPM($B$3,$B$4,"Q2",$A54,"period_net_amount")</f>
        <v/>
      </c>
      <c r="K54" s="9">
        <f>-EPM($B$3,$B$4,7,$A54,"period_net_amount")</f>
        <v/>
      </c>
      <c r="L54" s="9">
        <f>-EPM($B$3,$B$4,8,$A54,"period_net_amount")</f>
        <v/>
      </c>
      <c r="M54" s="9">
        <f>-EPM($B$3,$B$4,9,$A54,"period_net_amount")</f>
        <v/>
      </c>
      <c r="N54" s="9">
        <f>-EPM($B$3,$B$4,"Q3",$A54,"period_net_amount")</f>
        <v/>
      </c>
      <c r="O54" s="9">
        <f>-EPM($B$3,$B$4,10,$A54,"period_net_amount")</f>
        <v/>
      </c>
      <c r="P54" s="9">
        <f>-EPM($B$3,$B$4,11,$A54,"period_net_amount")</f>
        <v/>
      </c>
      <c r="Q54" s="9">
        <f>-EPM($B$3,$B$4,12,$A54,"period_net_amount")</f>
        <v/>
      </c>
      <c r="R54" s="9">
        <f>-EPM($B$3,$B$4,"Q4",$A54,"period_net_amount")</f>
        <v/>
      </c>
      <c r="S54" s="9">
        <f>-EPM($B$3,$B$4,"H1",$A54,"period_net_amount")</f>
        <v/>
      </c>
      <c r="T54" s="9">
        <f>-EPM($B$3,$B$4,"H2",$A54,"period_net_amount")</f>
        <v/>
      </c>
      <c r="U54" s="9">
        <f>-EPM($B$3,$B$4,"FY",$A54,"period_net_amount")</f>
        <v/>
      </c>
    </row>
    <row r="55">
      <c r="A55" s="10" t="inlineStr">
        <is>
          <t>800200</t>
        </is>
      </c>
      <c r="B55" s="11" t="inlineStr">
        <is>
          <t>Partners - Interest</t>
        </is>
      </c>
      <c r="C55" s="12">
        <f>-EPM($B$3,$B$4,1,$A55,"period_net_amount")</f>
        <v/>
      </c>
      <c r="D55" s="12">
        <f>-EPM($B$3,$B$4,2,$A55,"period_net_amount")</f>
        <v/>
      </c>
      <c r="E55" s="12">
        <f>-EPM($B$3,$B$4,3,$A55,"period_net_amount")</f>
        <v/>
      </c>
      <c r="F55" s="12">
        <f>-EPM($B$3,$B$4,"Q1",$A55,"period_net_amount")</f>
        <v/>
      </c>
      <c r="G55" s="12">
        <f>-EPM($B$3,$B$4,4,$A55,"period_net_amount")</f>
        <v/>
      </c>
      <c r="H55" s="12">
        <f>-EPM($B$3,$B$4,5,$A55,"period_net_amount")</f>
        <v/>
      </c>
      <c r="I55" s="12">
        <f>-EPM($B$3,$B$4,6,$A55,"period_net_amount")</f>
        <v/>
      </c>
      <c r="J55" s="12">
        <f>-EPM($B$3,$B$4,"Q2",$A55,"period_net_amount")</f>
        <v/>
      </c>
      <c r="K55" s="12">
        <f>-EPM($B$3,$B$4,7,$A55,"period_net_amount")</f>
        <v/>
      </c>
      <c r="L55" s="12">
        <f>-EPM($B$3,$B$4,8,$A55,"period_net_amount")</f>
        <v/>
      </c>
      <c r="M55" s="12">
        <f>-EPM($B$3,$B$4,9,$A55,"period_net_amount")</f>
        <v/>
      </c>
      <c r="N55" s="12">
        <f>-EPM($B$3,$B$4,"Q3",$A55,"period_net_amount")</f>
        <v/>
      </c>
      <c r="O55" s="12">
        <f>-EPM($B$3,$B$4,10,$A55,"period_net_amount")</f>
        <v/>
      </c>
      <c r="P55" s="12">
        <f>-EPM($B$3,$B$4,11,$A55,"period_net_amount")</f>
        <v/>
      </c>
      <c r="Q55" s="12">
        <f>-EPM($B$3,$B$4,12,$A55,"period_net_amount")</f>
        <v/>
      </c>
      <c r="R55" s="12">
        <f>-EPM($B$3,$B$4,"Q4",$A55,"period_net_amount")</f>
        <v/>
      </c>
      <c r="S55" s="12">
        <f>-EPM($B$3,$B$4,"H1",$A55,"period_net_amount")</f>
        <v/>
      </c>
      <c r="T55" s="12">
        <f>-EPM($B$3,$B$4,"H2",$A55,"period_net_amount")</f>
        <v/>
      </c>
      <c r="U55" s="12">
        <f>-EPM($B$3,$B$4,"FY",$A55,"period_net_amount")</f>
        <v/>
      </c>
    </row>
    <row r="56">
      <c r="A56" s="7" t="inlineStr">
        <is>
          <t>801100</t>
        </is>
      </c>
      <c r="B56" s="8" t="inlineStr">
        <is>
          <t>Gain/Loss - Disposal of Assets</t>
        </is>
      </c>
      <c r="C56" s="9">
        <f>-EPM($B$3,$B$4,1,$A56,"period_net_amount")</f>
        <v/>
      </c>
      <c r="D56" s="9">
        <f>-EPM($B$3,$B$4,2,$A56,"period_net_amount")</f>
        <v/>
      </c>
      <c r="E56" s="9">
        <f>-EPM($B$3,$B$4,3,$A56,"period_net_amount")</f>
        <v/>
      </c>
      <c r="F56" s="9">
        <f>-EPM($B$3,$B$4,"Q1",$A56,"period_net_amount")</f>
        <v/>
      </c>
      <c r="G56" s="9">
        <f>-EPM($B$3,$B$4,4,$A56,"period_net_amount")</f>
        <v/>
      </c>
      <c r="H56" s="9">
        <f>-EPM($B$3,$B$4,5,$A56,"period_net_amount")</f>
        <v/>
      </c>
      <c r="I56" s="9">
        <f>-EPM($B$3,$B$4,6,$A56,"period_net_amount")</f>
        <v/>
      </c>
      <c r="J56" s="9">
        <f>-EPM($B$3,$B$4,"Q2",$A56,"period_net_amount")</f>
        <v/>
      </c>
      <c r="K56" s="9">
        <f>-EPM($B$3,$B$4,7,$A56,"period_net_amount")</f>
        <v/>
      </c>
      <c r="L56" s="9">
        <f>-EPM($B$3,$B$4,8,$A56,"period_net_amount")</f>
        <v/>
      </c>
      <c r="M56" s="9">
        <f>-EPM($B$3,$B$4,9,$A56,"period_net_amount")</f>
        <v/>
      </c>
      <c r="N56" s="9">
        <f>-EPM($B$3,$B$4,"Q3",$A56,"period_net_amount")</f>
        <v/>
      </c>
      <c r="O56" s="9">
        <f>-EPM($B$3,$B$4,10,$A56,"period_net_amount")</f>
        <v/>
      </c>
      <c r="P56" s="9">
        <f>-EPM($B$3,$B$4,11,$A56,"period_net_amount")</f>
        <v/>
      </c>
      <c r="Q56" s="9">
        <f>-EPM($B$3,$B$4,12,$A56,"period_net_amount")</f>
        <v/>
      </c>
      <c r="R56" s="9">
        <f>-EPM($B$3,$B$4,"Q4",$A56,"period_net_amount")</f>
        <v/>
      </c>
      <c r="S56" s="9">
        <f>-EPM($B$3,$B$4,"H1",$A56,"period_net_amount")</f>
        <v/>
      </c>
      <c r="T56" s="9">
        <f>-EPM($B$3,$B$4,"H2",$A56,"period_net_amount")</f>
        <v/>
      </c>
      <c r="U56" s="9">
        <f>-EPM($B$3,$B$4,"FY",$A56,"period_net_amount")</f>
        <v/>
      </c>
    </row>
    <row r="57">
      <c r="A57" s="10" t="inlineStr">
        <is>
          <t>801200</t>
        </is>
      </c>
      <c r="B57" s="11" t="inlineStr">
        <is>
          <t>Gain/Loss - Revaluation</t>
        </is>
      </c>
      <c r="C57" s="12">
        <f>-EPM($B$3,$B$4,1,$A57,"period_net_amount")</f>
        <v/>
      </c>
      <c r="D57" s="12">
        <f>-EPM($B$3,$B$4,2,$A57,"period_net_amount")</f>
        <v/>
      </c>
      <c r="E57" s="12">
        <f>-EPM($B$3,$B$4,3,$A57,"period_net_amount")</f>
        <v/>
      </c>
      <c r="F57" s="12">
        <f>-EPM($B$3,$B$4,"Q1",$A57,"period_net_amount")</f>
        <v/>
      </c>
      <c r="G57" s="12">
        <f>-EPM($B$3,$B$4,4,$A57,"period_net_amount")</f>
        <v/>
      </c>
      <c r="H57" s="12">
        <f>-EPM($B$3,$B$4,5,$A57,"period_net_amount")</f>
        <v/>
      </c>
      <c r="I57" s="12">
        <f>-EPM($B$3,$B$4,6,$A57,"period_net_amount")</f>
        <v/>
      </c>
      <c r="J57" s="12">
        <f>-EPM($B$3,$B$4,"Q2",$A57,"period_net_amount")</f>
        <v/>
      </c>
      <c r="K57" s="12">
        <f>-EPM($B$3,$B$4,7,$A57,"period_net_amount")</f>
        <v/>
      </c>
      <c r="L57" s="12">
        <f>-EPM($B$3,$B$4,8,$A57,"period_net_amount")</f>
        <v/>
      </c>
      <c r="M57" s="12">
        <f>-EPM($B$3,$B$4,9,$A57,"period_net_amount")</f>
        <v/>
      </c>
      <c r="N57" s="12">
        <f>-EPM($B$3,$B$4,"Q3",$A57,"period_net_amount")</f>
        <v/>
      </c>
      <c r="O57" s="12">
        <f>-EPM($B$3,$B$4,10,$A57,"period_net_amount")</f>
        <v/>
      </c>
      <c r="P57" s="12">
        <f>-EPM($B$3,$B$4,11,$A57,"period_net_amount")</f>
        <v/>
      </c>
      <c r="Q57" s="12">
        <f>-EPM($B$3,$B$4,12,$A57,"period_net_amount")</f>
        <v/>
      </c>
      <c r="R57" s="12">
        <f>-EPM($B$3,$B$4,"Q4",$A57,"period_net_amount")</f>
        <v/>
      </c>
      <c r="S57" s="12">
        <f>-EPM($B$3,$B$4,"H1",$A57,"period_net_amount")</f>
        <v/>
      </c>
      <c r="T57" s="12">
        <f>-EPM($B$3,$B$4,"H2",$A57,"period_net_amount")</f>
        <v/>
      </c>
      <c r="U57" s="12">
        <f>-EPM($B$3,$B$4,"FY",$A57,"period_net_amount")</f>
        <v/>
      </c>
    </row>
    <row r="58">
      <c r="A58" s="7" t="inlineStr">
        <is>
          <t>801400</t>
        </is>
      </c>
      <c r="B58" s="8" t="inlineStr">
        <is>
          <t>Currency Loss - Realized</t>
        </is>
      </c>
      <c r="C58" s="9">
        <f>-EPM($B$3,$B$4,1,$A58,"period_net_amount")</f>
        <v/>
      </c>
      <c r="D58" s="9">
        <f>-EPM($B$3,$B$4,2,$A58,"period_net_amount")</f>
        <v/>
      </c>
      <c r="E58" s="9">
        <f>-EPM($B$3,$B$4,3,$A58,"period_net_amount")</f>
        <v/>
      </c>
      <c r="F58" s="9">
        <f>-EPM($B$3,$B$4,"Q1",$A58,"period_net_amount")</f>
        <v/>
      </c>
      <c r="G58" s="9">
        <f>-EPM($B$3,$B$4,4,$A58,"period_net_amount")</f>
        <v/>
      </c>
      <c r="H58" s="9">
        <f>-EPM($B$3,$B$4,5,$A58,"period_net_amount")</f>
        <v/>
      </c>
      <c r="I58" s="9">
        <f>-EPM($B$3,$B$4,6,$A58,"period_net_amount")</f>
        <v/>
      </c>
      <c r="J58" s="9">
        <f>-EPM($B$3,$B$4,"Q2",$A58,"period_net_amount")</f>
        <v/>
      </c>
      <c r="K58" s="9">
        <f>-EPM($B$3,$B$4,7,$A58,"period_net_amount")</f>
        <v/>
      </c>
      <c r="L58" s="9">
        <f>-EPM($B$3,$B$4,8,$A58,"period_net_amount")</f>
        <v/>
      </c>
      <c r="M58" s="9">
        <f>-EPM($B$3,$B$4,9,$A58,"period_net_amount")</f>
        <v/>
      </c>
      <c r="N58" s="9">
        <f>-EPM($B$3,$B$4,"Q3",$A58,"period_net_amount")</f>
        <v/>
      </c>
      <c r="O58" s="9">
        <f>-EPM($B$3,$B$4,10,$A58,"period_net_amount")</f>
        <v/>
      </c>
      <c r="P58" s="9">
        <f>-EPM($B$3,$B$4,11,$A58,"period_net_amount")</f>
        <v/>
      </c>
      <c r="Q58" s="9">
        <f>-EPM($B$3,$B$4,12,$A58,"period_net_amount")</f>
        <v/>
      </c>
      <c r="R58" s="9">
        <f>-EPM($B$3,$B$4,"Q4",$A58,"period_net_amount")</f>
        <v/>
      </c>
      <c r="S58" s="9">
        <f>-EPM($B$3,$B$4,"H1",$A58,"period_net_amount")</f>
        <v/>
      </c>
      <c r="T58" s="9">
        <f>-EPM($B$3,$B$4,"H2",$A58,"period_net_amount")</f>
        <v/>
      </c>
      <c r="U58" s="9">
        <f>-EPM($B$3,$B$4,"FY",$A58,"period_net_amount")</f>
        <v/>
      </c>
    </row>
    <row r="59">
      <c r="A59" s="10" t="inlineStr">
        <is>
          <t>801500</t>
        </is>
      </c>
      <c r="B59" s="11" t="inlineStr">
        <is>
          <t>Currency Gain - Realized</t>
        </is>
      </c>
      <c r="C59" s="12">
        <f>-EPM($B$3,$B$4,1,$A59,"period_net_amount")</f>
        <v/>
      </c>
      <c r="D59" s="12">
        <f>-EPM($B$3,$B$4,2,$A59,"period_net_amount")</f>
        <v/>
      </c>
      <c r="E59" s="12">
        <f>-EPM($B$3,$B$4,3,$A59,"period_net_amount")</f>
        <v/>
      </c>
      <c r="F59" s="12">
        <f>-EPM($B$3,$B$4,"Q1",$A59,"period_net_amount")</f>
        <v/>
      </c>
      <c r="G59" s="12">
        <f>-EPM($B$3,$B$4,4,$A59,"period_net_amount")</f>
        <v/>
      </c>
      <c r="H59" s="12">
        <f>-EPM($B$3,$B$4,5,$A59,"period_net_amount")</f>
        <v/>
      </c>
      <c r="I59" s="12">
        <f>-EPM($B$3,$B$4,6,$A59,"period_net_amount")</f>
        <v/>
      </c>
      <c r="J59" s="12">
        <f>-EPM($B$3,$B$4,"Q2",$A59,"period_net_amount")</f>
        <v/>
      </c>
      <c r="K59" s="12">
        <f>-EPM($B$3,$B$4,7,$A59,"period_net_amount")</f>
        <v/>
      </c>
      <c r="L59" s="12">
        <f>-EPM($B$3,$B$4,8,$A59,"period_net_amount")</f>
        <v/>
      </c>
      <c r="M59" s="12">
        <f>-EPM($B$3,$B$4,9,$A59,"period_net_amount")</f>
        <v/>
      </c>
      <c r="N59" s="12">
        <f>-EPM($B$3,$B$4,"Q3",$A59,"period_net_amount")</f>
        <v/>
      </c>
      <c r="O59" s="12">
        <f>-EPM($B$3,$B$4,10,$A59,"period_net_amount")</f>
        <v/>
      </c>
      <c r="P59" s="12">
        <f>-EPM($B$3,$B$4,11,$A59,"period_net_amount")</f>
        <v/>
      </c>
      <c r="Q59" s="12">
        <f>-EPM($B$3,$B$4,12,$A59,"period_net_amount")</f>
        <v/>
      </c>
      <c r="R59" s="12">
        <f>-EPM($B$3,$B$4,"Q4",$A59,"period_net_amount")</f>
        <v/>
      </c>
      <c r="S59" s="12">
        <f>-EPM($B$3,$B$4,"H1",$A59,"period_net_amount")</f>
        <v/>
      </c>
      <c r="T59" s="12">
        <f>-EPM($B$3,$B$4,"H2",$A59,"period_net_amount")</f>
        <v/>
      </c>
      <c r="U59" s="12">
        <f>-EPM($B$3,$B$4,"FY",$A59,"period_net_amount")</f>
        <v/>
      </c>
    </row>
    <row r="60">
      <c r="A60" s="13" t="n"/>
      <c r="B60" s="14" t="inlineStr">
        <is>
          <t>Total Other Income/Expense</t>
        </is>
      </c>
      <c r="C60" s="15">
        <f>C54+C55+C56+C57+C58+C59</f>
        <v/>
      </c>
      <c r="D60" s="15">
        <f>D54+D55+D56+D57+D58+D59</f>
        <v/>
      </c>
      <c r="E60" s="15">
        <f>E54+E55+E56+E57+E58+E59</f>
        <v/>
      </c>
      <c r="F60" s="15">
        <f>F54+F55+F56+F57+F58+F59</f>
        <v/>
      </c>
      <c r="G60" s="15">
        <f>G54+G55+G56+G57+G58+G59</f>
        <v/>
      </c>
      <c r="H60" s="15">
        <f>H54+H55+H56+H57+H58+H59</f>
        <v/>
      </c>
      <c r="I60" s="15">
        <f>I54+I55+I56+I57+I58+I59</f>
        <v/>
      </c>
      <c r="J60" s="15">
        <f>J54+J55+J56+J57+J58+J59</f>
        <v/>
      </c>
      <c r="K60" s="15">
        <f>K54+K55+K56+K57+K58+K59</f>
        <v/>
      </c>
      <c r="L60" s="15">
        <f>L54+L55+L56+L57+L58+L59</f>
        <v/>
      </c>
      <c r="M60" s="15">
        <f>M54+M55+M56+M57+M58+M59</f>
        <v/>
      </c>
      <c r="N60" s="15">
        <f>N54+N55+N56+N57+N58+N59</f>
        <v/>
      </c>
      <c r="O60" s="15">
        <f>O54+O55+O56+O57+O58+O59</f>
        <v/>
      </c>
      <c r="P60" s="15">
        <f>P54+P55+P56+P57+P58+P59</f>
        <v/>
      </c>
      <c r="Q60" s="15">
        <f>Q54+Q55+Q56+Q57+Q58+Q59</f>
        <v/>
      </c>
      <c r="R60" s="15">
        <f>R54+R55+R56+R57+R58+R59</f>
        <v/>
      </c>
      <c r="S60" s="15">
        <f>S54+S55+S56+S57+S58+S59</f>
        <v/>
      </c>
      <c r="T60" s="15">
        <f>T54+T55+T56+T57+T58+T59</f>
        <v/>
      </c>
      <c r="U60" s="15">
        <f>U54+U55+U56+U57+U58+U59</f>
        <v/>
      </c>
    </row>
    <row r="62">
      <c r="A62" s="13" t="n"/>
      <c r="B62" s="16" t="inlineStr">
        <is>
          <t>Net Income Before Tax</t>
        </is>
      </c>
      <c r="C62" s="17">
        <f>C51+C60</f>
        <v/>
      </c>
      <c r="D62" s="17">
        <f>D51+D60</f>
        <v/>
      </c>
      <c r="E62" s="17">
        <f>E51+E60</f>
        <v/>
      </c>
      <c r="F62" s="17">
        <f>F51+F60</f>
        <v/>
      </c>
      <c r="G62" s="17">
        <f>G51+G60</f>
        <v/>
      </c>
      <c r="H62" s="17">
        <f>H51+H60</f>
        <v/>
      </c>
      <c r="I62" s="17">
        <f>I51+I60</f>
        <v/>
      </c>
      <c r="J62" s="17">
        <f>J51+J60</f>
        <v/>
      </c>
      <c r="K62" s="17">
        <f>K51+K60</f>
        <v/>
      </c>
      <c r="L62" s="17">
        <f>L51+L60</f>
        <v/>
      </c>
      <c r="M62" s="17">
        <f>M51+M60</f>
        <v/>
      </c>
      <c r="N62" s="17">
        <f>N51+N60</f>
        <v/>
      </c>
      <c r="O62" s="17">
        <f>O51+O60</f>
        <v/>
      </c>
      <c r="P62" s="17">
        <f>P51+P60</f>
        <v/>
      </c>
      <c r="Q62" s="17">
        <f>Q51+Q60</f>
        <v/>
      </c>
      <c r="R62" s="17">
        <f>R51+R60</f>
        <v/>
      </c>
      <c r="S62" s="17">
        <f>S51+S60</f>
        <v/>
      </c>
      <c r="T62" s="17">
        <f>T51+T60</f>
        <v/>
      </c>
      <c r="U62" s="17">
        <f>U51+U60</f>
        <v/>
      </c>
    </row>
    <row r="64">
      <c r="B64" s="3" t="inlineStr">
        <is>
          <t>Income Tax</t>
        </is>
      </c>
    </row>
    <row r="65">
      <c r="A65" s="7" t="inlineStr">
        <is>
          <t>802100</t>
        </is>
      </c>
      <c r="B65" s="8" t="inlineStr">
        <is>
          <t>Federal Income Tax</t>
        </is>
      </c>
      <c r="C65" s="9">
        <f>-EPM($B$3,$B$4,1,$A65,"period_net_amount")</f>
        <v/>
      </c>
      <c r="D65" s="9">
        <f>-EPM($B$3,$B$4,2,$A65,"period_net_amount")</f>
        <v/>
      </c>
      <c r="E65" s="9">
        <f>-EPM($B$3,$B$4,3,$A65,"period_net_amount")</f>
        <v/>
      </c>
      <c r="F65" s="9">
        <f>-EPM($B$3,$B$4,"Q1",$A65,"period_net_amount")</f>
        <v/>
      </c>
      <c r="G65" s="9">
        <f>-EPM($B$3,$B$4,4,$A65,"period_net_amount")</f>
        <v/>
      </c>
      <c r="H65" s="9">
        <f>-EPM($B$3,$B$4,5,$A65,"period_net_amount")</f>
        <v/>
      </c>
      <c r="I65" s="9">
        <f>-EPM($B$3,$B$4,6,$A65,"period_net_amount")</f>
        <v/>
      </c>
      <c r="J65" s="9">
        <f>-EPM($B$3,$B$4,"Q2",$A65,"period_net_amount")</f>
        <v/>
      </c>
      <c r="K65" s="9">
        <f>-EPM($B$3,$B$4,7,$A65,"period_net_amount")</f>
        <v/>
      </c>
      <c r="L65" s="9">
        <f>-EPM($B$3,$B$4,8,$A65,"period_net_amount")</f>
        <v/>
      </c>
      <c r="M65" s="9">
        <f>-EPM($B$3,$B$4,9,$A65,"period_net_amount")</f>
        <v/>
      </c>
      <c r="N65" s="9">
        <f>-EPM($B$3,$B$4,"Q3",$A65,"period_net_amount")</f>
        <v/>
      </c>
      <c r="O65" s="9">
        <f>-EPM($B$3,$B$4,10,$A65,"period_net_amount")</f>
        <v/>
      </c>
      <c r="P65" s="9">
        <f>-EPM($B$3,$B$4,11,$A65,"period_net_amount")</f>
        <v/>
      </c>
      <c r="Q65" s="9">
        <f>-EPM($B$3,$B$4,12,$A65,"period_net_amount")</f>
        <v/>
      </c>
      <c r="R65" s="9">
        <f>-EPM($B$3,$B$4,"Q4",$A65,"period_net_amount")</f>
        <v/>
      </c>
      <c r="S65" s="9">
        <f>-EPM($B$3,$B$4,"H1",$A65,"period_net_amount")</f>
        <v/>
      </c>
      <c r="T65" s="9">
        <f>-EPM($B$3,$B$4,"H2",$A65,"period_net_amount")</f>
        <v/>
      </c>
      <c r="U65" s="9">
        <f>-EPM($B$3,$B$4,"FY",$A65,"period_net_amount")</f>
        <v/>
      </c>
    </row>
    <row r="66">
      <c r="A66" s="10" t="inlineStr">
        <is>
          <t>802200</t>
        </is>
      </c>
      <c r="B66" s="11" t="inlineStr">
        <is>
          <t>State Income Tax</t>
        </is>
      </c>
      <c r="C66" s="12">
        <f>-EPM($B$3,$B$4,1,$A66,"period_net_amount")</f>
        <v/>
      </c>
      <c r="D66" s="12">
        <f>-EPM($B$3,$B$4,2,$A66,"period_net_amount")</f>
        <v/>
      </c>
      <c r="E66" s="12">
        <f>-EPM($B$3,$B$4,3,$A66,"period_net_amount")</f>
        <v/>
      </c>
      <c r="F66" s="12">
        <f>-EPM($B$3,$B$4,"Q1",$A66,"period_net_amount")</f>
        <v/>
      </c>
      <c r="G66" s="12">
        <f>-EPM($B$3,$B$4,4,$A66,"period_net_amount")</f>
        <v/>
      </c>
      <c r="H66" s="12">
        <f>-EPM($B$3,$B$4,5,$A66,"period_net_amount")</f>
        <v/>
      </c>
      <c r="I66" s="12">
        <f>-EPM($B$3,$B$4,6,$A66,"period_net_amount")</f>
        <v/>
      </c>
      <c r="J66" s="12">
        <f>-EPM($B$3,$B$4,"Q2",$A66,"period_net_amount")</f>
        <v/>
      </c>
      <c r="K66" s="12">
        <f>-EPM($B$3,$B$4,7,$A66,"period_net_amount")</f>
        <v/>
      </c>
      <c r="L66" s="12">
        <f>-EPM($B$3,$B$4,8,$A66,"period_net_amount")</f>
        <v/>
      </c>
      <c r="M66" s="12">
        <f>-EPM($B$3,$B$4,9,$A66,"period_net_amount")</f>
        <v/>
      </c>
      <c r="N66" s="12">
        <f>-EPM($B$3,$B$4,"Q3",$A66,"period_net_amount")</f>
        <v/>
      </c>
      <c r="O66" s="12">
        <f>-EPM($B$3,$B$4,10,$A66,"period_net_amount")</f>
        <v/>
      </c>
      <c r="P66" s="12">
        <f>-EPM($B$3,$B$4,11,$A66,"period_net_amount")</f>
        <v/>
      </c>
      <c r="Q66" s="12">
        <f>-EPM($B$3,$B$4,12,$A66,"period_net_amount")</f>
        <v/>
      </c>
      <c r="R66" s="12">
        <f>-EPM($B$3,$B$4,"Q4",$A66,"period_net_amount")</f>
        <v/>
      </c>
      <c r="S66" s="12">
        <f>-EPM($B$3,$B$4,"H1",$A66,"period_net_amount")</f>
        <v/>
      </c>
      <c r="T66" s="12">
        <f>-EPM($B$3,$B$4,"H2",$A66,"period_net_amount")</f>
        <v/>
      </c>
      <c r="U66" s="12">
        <f>-EPM($B$3,$B$4,"FY",$A66,"period_net_amount")</f>
        <v/>
      </c>
    </row>
    <row r="67">
      <c r="A67" s="13" t="n"/>
      <c r="B67" s="14" t="inlineStr">
        <is>
          <t>Total Income Tax</t>
        </is>
      </c>
      <c r="C67" s="15">
        <f>C65+C66</f>
        <v/>
      </c>
      <c r="D67" s="15">
        <f>D65+D66</f>
        <v/>
      </c>
      <c r="E67" s="15">
        <f>E65+E66</f>
        <v/>
      </c>
      <c r="F67" s="15">
        <f>F65+F66</f>
        <v/>
      </c>
      <c r="G67" s="15">
        <f>G65+G66</f>
        <v/>
      </c>
      <c r="H67" s="15">
        <f>H65+H66</f>
        <v/>
      </c>
      <c r="I67" s="15">
        <f>I65+I66</f>
        <v/>
      </c>
      <c r="J67" s="15">
        <f>J65+J66</f>
        <v/>
      </c>
      <c r="K67" s="15">
        <f>K65+K66</f>
        <v/>
      </c>
      <c r="L67" s="15">
        <f>L65+L66</f>
        <v/>
      </c>
      <c r="M67" s="15">
        <f>M65+M66</f>
        <v/>
      </c>
      <c r="N67" s="15">
        <f>N65+N66</f>
        <v/>
      </c>
      <c r="O67" s="15">
        <f>O65+O66</f>
        <v/>
      </c>
      <c r="P67" s="15">
        <f>P65+P66</f>
        <v/>
      </c>
      <c r="Q67" s="15">
        <f>Q65+Q66</f>
        <v/>
      </c>
      <c r="R67" s="15">
        <f>R65+R66</f>
        <v/>
      </c>
      <c r="S67" s="15">
        <f>S65+S66</f>
        <v/>
      </c>
      <c r="T67" s="15">
        <f>T65+T66</f>
        <v/>
      </c>
      <c r="U67" s="15">
        <f>U65+U66</f>
        <v/>
      </c>
    </row>
    <row r="69">
      <c r="A69" s="13" t="n"/>
      <c r="B69" s="16" t="inlineStr">
        <is>
          <t>Net Income</t>
        </is>
      </c>
      <c r="C69" s="18">
        <f>C62-C67</f>
        <v/>
      </c>
      <c r="D69" s="18">
        <f>D62-D67</f>
        <v/>
      </c>
      <c r="E69" s="18">
        <f>E62-E67</f>
        <v/>
      </c>
      <c r="F69" s="18">
        <f>F62-F67</f>
        <v/>
      </c>
      <c r="G69" s="18">
        <f>G62-G67</f>
        <v/>
      </c>
      <c r="H69" s="18">
        <f>H62-H67</f>
        <v/>
      </c>
      <c r="I69" s="18">
        <f>I62-I67</f>
        <v/>
      </c>
      <c r="J69" s="18">
        <f>J62-J67</f>
        <v/>
      </c>
      <c r="K69" s="18">
        <f>K62-K67</f>
        <v/>
      </c>
      <c r="L69" s="18">
        <f>L62-L67</f>
        <v/>
      </c>
      <c r="M69" s="18">
        <f>M62-M67</f>
        <v/>
      </c>
      <c r="N69" s="18">
        <f>N62-N67</f>
        <v/>
      </c>
      <c r="O69" s="18">
        <f>O62-O67</f>
        <v/>
      </c>
      <c r="P69" s="18">
        <f>P62-P67</f>
        <v/>
      </c>
      <c r="Q69" s="18">
        <f>Q62-Q67</f>
        <v/>
      </c>
      <c r="R69" s="18">
        <f>R62-R67</f>
        <v/>
      </c>
      <c r="S69" s="18">
        <f>S62-S67</f>
        <v/>
      </c>
      <c r="T69" s="18">
        <f>T62-T67</f>
        <v/>
      </c>
      <c r="U69" s="18">
        <f>U62-U67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9" t="inlineStr">
        <is>
          <t>Balance Sheet</t>
        </is>
      </c>
      <c r="B1" s="20" t="n"/>
      <c r="C1" s="20" t="n"/>
      <c r="D1" s="20" t="n"/>
      <c r="E1" s="20" t="n"/>
      <c r="F1" s="20" t="n"/>
    </row>
    <row r="3">
      <c r="A3" s="21" t="inlineStr">
        <is>
          <t>Entity</t>
        </is>
      </c>
      <c r="B3" s="4" t="inlineStr">
        <is>
          <t>USMF</t>
        </is>
      </c>
      <c r="D3" s="21" t="inlineStr">
        <is>
          <t>Measure</t>
        </is>
      </c>
      <c r="E3" s="4" t="inlineStr">
        <is>
          <t>ytd_net_amount</t>
        </is>
      </c>
    </row>
    <row r="4">
      <c r="A4" s="21" t="inlineStr">
        <is>
          <t>Year</t>
        </is>
      </c>
      <c r="B4" s="4" t="n">
        <v>2025</v>
      </c>
    </row>
    <row r="6">
      <c r="A6" s="22" t="inlineStr">
        <is>
          <t>Account</t>
        </is>
      </c>
      <c r="B6" s="22" t="inlineStr">
        <is>
          <t>Description</t>
        </is>
      </c>
      <c r="C6" s="23" t="inlineStr">
        <is>
          <t>Q1</t>
        </is>
      </c>
      <c r="D6" s="23" t="inlineStr">
        <is>
          <t>Q2</t>
        </is>
      </c>
      <c r="E6" s="23" t="inlineStr">
        <is>
          <t>Q3</t>
        </is>
      </c>
      <c r="F6" s="23" t="inlineStr">
        <is>
          <t>Q4</t>
        </is>
      </c>
    </row>
    <row r="7">
      <c r="B7" s="21" t="inlineStr">
        <is>
          <t>Current Assets</t>
        </is>
      </c>
    </row>
    <row r="8">
      <c r="A8" s="7" t="inlineStr">
        <is>
          <t>110110</t>
        </is>
      </c>
      <c r="B8" s="8" t="inlineStr">
        <is>
          <t>Bank Account - USD</t>
        </is>
      </c>
      <c r="C8" s="9">
        <f>-EPM($B$3,$B$4,3,$A8,"ytd_net_amount")</f>
        <v/>
      </c>
      <c r="D8" s="9">
        <f>-EPM($B$3,$B$4,6,$A8,"ytd_net_amount")</f>
        <v/>
      </c>
      <c r="E8" s="9">
        <f>-EPM($B$3,$B$4,9,$A8,"ytd_net_amount")</f>
        <v/>
      </c>
      <c r="F8" s="9">
        <f>-EPM($B$3,$B$4,12,$A8,"ytd_net_amount")</f>
        <v/>
      </c>
    </row>
    <row r="9">
      <c r="A9" s="10" t="inlineStr">
        <is>
          <t>110112</t>
        </is>
      </c>
      <c r="B9" s="11" t="inlineStr">
        <is>
          <t>Bank Account - JPY</t>
        </is>
      </c>
      <c r="C9" s="12">
        <f>-EPM($B$3,$B$4,3,$A9,"ytd_net_amount")</f>
        <v/>
      </c>
      <c r="D9" s="12">
        <f>-EPM($B$3,$B$4,6,$A9,"ytd_net_amount")</f>
        <v/>
      </c>
      <c r="E9" s="12">
        <f>-EPM($B$3,$B$4,9,$A9,"ytd_net_amount")</f>
        <v/>
      </c>
      <c r="F9" s="12">
        <f>-EPM($B$3,$B$4,12,$A9,"ytd_net_amount")</f>
        <v/>
      </c>
    </row>
    <row r="10">
      <c r="A10" s="7" t="inlineStr">
        <is>
          <t>110115</t>
        </is>
      </c>
      <c r="B10" s="8" t="inlineStr">
        <is>
          <t>Bank Account - CAD</t>
        </is>
      </c>
      <c r="C10" s="9">
        <f>-EPM($B$3,$B$4,3,$A10,"ytd_net_amount")</f>
        <v/>
      </c>
      <c r="D10" s="9">
        <f>-EPM($B$3,$B$4,6,$A10,"ytd_net_amount")</f>
        <v/>
      </c>
      <c r="E10" s="9">
        <f>-EPM($B$3,$B$4,9,$A10,"ytd_net_amount")</f>
        <v/>
      </c>
      <c r="F10" s="9">
        <f>-EPM($B$3,$B$4,12,$A10,"ytd_net_amount")</f>
        <v/>
      </c>
    </row>
    <row r="11">
      <c r="A11" s="10" t="inlineStr">
        <is>
          <t>110125</t>
        </is>
      </c>
      <c r="B11" s="11" t="inlineStr">
        <is>
          <t>Bank Account - AUD</t>
        </is>
      </c>
      <c r="C11" s="12">
        <f>-EPM($B$3,$B$4,3,$A11,"ytd_net_amount")</f>
        <v/>
      </c>
      <c r="D11" s="12">
        <f>-EPM($B$3,$B$4,6,$A11,"ytd_net_amount")</f>
        <v/>
      </c>
      <c r="E11" s="12">
        <f>-EPM($B$3,$B$4,9,$A11,"ytd_net_amount")</f>
        <v/>
      </c>
      <c r="F11" s="12">
        <f>-EPM($B$3,$B$4,12,$A11,"ytd_net_amount")</f>
        <v/>
      </c>
    </row>
    <row r="12">
      <c r="A12" s="7" t="inlineStr">
        <is>
          <t>110130</t>
        </is>
      </c>
      <c r="B12" s="8" t="inlineStr">
        <is>
          <t>Bank Account - EUR</t>
        </is>
      </c>
      <c r="C12" s="9">
        <f>-EPM($B$3,$B$4,3,$A12,"ytd_net_amount")</f>
        <v/>
      </c>
      <c r="D12" s="9">
        <f>-EPM($B$3,$B$4,6,$A12,"ytd_net_amount")</f>
        <v/>
      </c>
      <c r="E12" s="9">
        <f>-EPM($B$3,$B$4,9,$A12,"ytd_net_amount")</f>
        <v/>
      </c>
      <c r="F12" s="9">
        <f>-EPM($B$3,$B$4,12,$A12,"ytd_net_amount")</f>
        <v/>
      </c>
    </row>
    <row r="13">
      <c r="A13" s="10" t="inlineStr">
        <is>
          <t>110140</t>
        </is>
      </c>
      <c r="B13" s="11" t="inlineStr">
        <is>
          <t>Bank Account - CHF</t>
        </is>
      </c>
      <c r="C13" s="12">
        <f>-EPM($B$3,$B$4,3,$A13,"ytd_net_amount")</f>
        <v/>
      </c>
      <c r="D13" s="12">
        <f>-EPM($B$3,$B$4,6,$A13,"ytd_net_amount")</f>
        <v/>
      </c>
      <c r="E13" s="12">
        <f>-EPM($B$3,$B$4,9,$A13,"ytd_net_amount")</f>
        <v/>
      </c>
      <c r="F13" s="12">
        <f>-EPM($B$3,$B$4,12,$A13,"ytd_net_amount")</f>
        <v/>
      </c>
    </row>
    <row r="14">
      <c r="A14" s="7" t="inlineStr">
        <is>
          <t>110150</t>
        </is>
      </c>
      <c r="B14" s="8" t="inlineStr">
        <is>
          <t>Bank Account - GBP</t>
        </is>
      </c>
      <c r="C14" s="9">
        <f>-EPM($B$3,$B$4,3,$A14,"ytd_net_amount")</f>
        <v/>
      </c>
      <c r="D14" s="9">
        <f>-EPM($B$3,$B$4,6,$A14,"ytd_net_amount")</f>
        <v/>
      </c>
      <c r="E14" s="9">
        <f>-EPM($B$3,$B$4,9,$A14,"ytd_net_amount")</f>
        <v/>
      </c>
      <c r="F14" s="9">
        <f>-EPM($B$3,$B$4,12,$A14,"ytd_net_amount")</f>
        <v/>
      </c>
    </row>
    <row r="15">
      <c r="A15" s="10" t="inlineStr">
        <is>
          <t>110160</t>
        </is>
      </c>
      <c r="B15" s="11" t="inlineStr">
        <is>
          <t>Bank Account - Payroll</t>
        </is>
      </c>
      <c r="C15" s="12">
        <f>-EPM($B$3,$B$4,3,$A15,"ytd_net_amount")</f>
        <v/>
      </c>
      <c r="D15" s="12">
        <f>-EPM($B$3,$B$4,6,$A15,"ytd_net_amount")</f>
        <v/>
      </c>
      <c r="E15" s="12">
        <f>-EPM($B$3,$B$4,9,$A15,"ytd_net_amount")</f>
        <v/>
      </c>
      <c r="F15" s="12">
        <f>-EPM($B$3,$B$4,12,$A15,"ytd_net_amount")</f>
        <v/>
      </c>
    </row>
    <row r="16">
      <c r="A16" s="7" t="inlineStr">
        <is>
          <t>110180</t>
        </is>
      </c>
      <c r="B16" s="8" t="inlineStr">
        <is>
          <t>Petty Cash</t>
        </is>
      </c>
      <c r="C16" s="9">
        <f>-EPM($B$3,$B$4,3,$A16,"ytd_net_amount")</f>
        <v/>
      </c>
      <c r="D16" s="9">
        <f>-EPM($B$3,$B$4,6,$A16,"ytd_net_amount")</f>
        <v/>
      </c>
      <c r="E16" s="9">
        <f>-EPM($B$3,$B$4,9,$A16,"ytd_net_amount")</f>
        <v/>
      </c>
      <c r="F16" s="9">
        <f>-EPM($B$3,$B$4,12,$A16,"ytd_net_amount")</f>
        <v/>
      </c>
    </row>
    <row r="17">
      <c r="A17" s="10" t="inlineStr">
        <is>
          <t>130100</t>
        </is>
      </c>
      <c r="B17" s="11" t="inlineStr">
        <is>
          <t>Accounts Receivable - Domestic</t>
        </is>
      </c>
      <c r="C17" s="12">
        <f>-EPM($B$3,$B$4,3,$A17,"ytd_net_amount")</f>
        <v/>
      </c>
      <c r="D17" s="12">
        <f>-EPM($B$3,$B$4,6,$A17,"ytd_net_amount")</f>
        <v/>
      </c>
      <c r="E17" s="12">
        <f>-EPM($B$3,$B$4,9,$A17,"ytd_net_amount")</f>
        <v/>
      </c>
      <c r="F17" s="12">
        <f>-EPM($B$3,$B$4,12,$A17,"ytd_net_amount")</f>
        <v/>
      </c>
    </row>
    <row r="18">
      <c r="A18" s="7" t="inlineStr">
        <is>
          <t>130110</t>
        </is>
      </c>
      <c r="B18" s="8" t="inlineStr">
        <is>
          <t>Accounts Receivable - Foreign</t>
        </is>
      </c>
      <c r="C18" s="9">
        <f>-EPM($B$3,$B$4,3,$A18,"ytd_net_amount")</f>
        <v/>
      </c>
      <c r="D18" s="9">
        <f>-EPM($B$3,$B$4,6,$A18,"ytd_net_amount")</f>
        <v/>
      </c>
      <c r="E18" s="9">
        <f>-EPM($B$3,$B$4,9,$A18,"ytd_net_amount")</f>
        <v/>
      </c>
      <c r="F18" s="9">
        <f>-EPM($B$3,$B$4,12,$A18,"ytd_net_amount")</f>
        <v/>
      </c>
    </row>
    <row r="19">
      <c r="A19" s="10" t="inlineStr">
        <is>
          <t>130300</t>
        </is>
      </c>
      <c r="B19" s="11" t="inlineStr">
        <is>
          <t>Accounts Receivable - Not Invoiced</t>
        </is>
      </c>
      <c r="C19" s="12">
        <f>-EPM($B$3,$B$4,3,$A19,"ytd_net_amount")</f>
        <v/>
      </c>
      <c r="D19" s="12">
        <f>-EPM($B$3,$B$4,6,$A19,"ytd_net_amount")</f>
        <v/>
      </c>
      <c r="E19" s="12">
        <f>-EPM($B$3,$B$4,9,$A19,"ytd_net_amount")</f>
        <v/>
      </c>
      <c r="F19" s="12">
        <f>-EPM($B$3,$B$4,12,$A19,"ytd_net_amount")</f>
        <v/>
      </c>
    </row>
    <row r="20">
      <c r="A20" s="7" t="inlineStr">
        <is>
          <t>130700</t>
        </is>
      </c>
      <c r="B20" s="8" t="inlineStr">
        <is>
          <t>Other Receivables</t>
        </is>
      </c>
      <c r="C20" s="9">
        <f>-EPM($B$3,$B$4,3,$A20,"ytd_net_amount")</f>
        <v/>
      </c>
      <c r="D20" s="9">
        <f>-EPM($B$3,$B$4,6,$A20,"ytd_net_amount")</f>
        <v/>
      </c>
      <c r="E20" s="9">
        <f>-EPM($B$3,$B$4,9,$A20,"ytd_net_amount")</f>
        <v/>
      </c>
      <c r="F20" s="9">
        <f>-EPM($B$3,$B$4,12,$A20,"ytd_net_amount")</f>
        <v/>
      </c>
    </row>
    <row r="21">
      <c r="A21" s="10" t="inlineStr">
        <is>
          <t>132190</t>
        </is>
      </c>
      <c r="B21" s="11" t="inlineStr">
        <is>
          <t>Prepaid Expenses</t>
        </is>
      </c>
      <c r="C21" s="12">
        <f>-EPM($B$3,$B$4,3,$A21,"ytd_net_amount")</f>
        <v/>
      </c>
      <c r="D21" s="12">
        <f>-EPM($B$3,$B$4,6,$A21,"ytd_net_amount")</f>
        <v/>
      </c>
      <c r="E21" s="12">
        <f>-EPM($B$3,$B$4,9,$A21,"ytd_net_amount")</f>
        <v/>
      </c>
      <c r="F21" s="12">
        <f>-EPM($B$3,$B$4,12,$A21,"ytd_net_amount")</f>
        <v/>
      </c>
    </row>
    <row r="22">
      <c r="A22" s="7" t="inlineStr">
        <is>
          <t>133300</t>
        </is>
      </c>
      <c r="B22" s="8" t="inlineStr">
        <is>
          <t>Intercompany Receivable - USMF/DEMF</t>
        </is>
      </c>
      <c r="C22" s="9">
        <f>-EPM($B$3,$B$4,3,$A22,"ytd_net_amount")</f>
        <v/>
      </c>
      <c r="D22" s="9">
        <f>-EPM($B$3,$B$4,6,$A22,"ytd_net_amount")</f>
        <v/>
      </c>
      <c r="E22" s="9">
        <f>-EPM($B$3,$B$4,9,$A22,"ytd_net_amount")</f>
        <v/>
      </c>
      <c r="F22" s="9">
        <f>-EPM($B$3,$B$4,12,$A22,"ytd_net_amount")</f>
        <v/>
      </c>
    </row>
    <row r="23">
      <c r="A23" s="10" t="inlineStr">
        <is>
          <t>133500</t>
        </is>
      </c>
      <c r="B23" s="11" t="inlineStr">
        <is>
          <t>Interunit Receivable</t>
        </is>
      </c>
      <c r="C23" s="12">
        <f>-EPM($B$3,$B$4,3,$A23,"ytd_net_amount")</f>
        <v/>
      </c>
      <c r="D23" s="12">
        <f>-EPM($B$3,$B$4,6,$A23,"ytd_net_amount")</f>
        <v/>
      </c>
      <c r="E23" s="12">
        <f>-EPM($B$3,$B$4,9,$A23,"ytd_net_amount")</f>
        <v/>
      </c>
      <c r="F23" s="12">
        <f>-EPM($B$3,$B$4,12,$A23,"ytd_net_amount")</f>
        <v/>
      </c>
    </row>
    <row r="24">
      <c r="A24" s="7" t="inlineStr">
        <is>
          <t>140100</t>
        </is>
      </c>
      <c r="B24" s="8" t="inlineStr">
        <is>
          <t>Raw Materials Inventory</t>
        </is>
      </c>
      <c r="C24" s="9">
        <f>-EPM($B$3,$B$4,3,$A24,"ytd_net_amount")</f>
        <v/>
      </c>
      <c r="D24" s="9">
        <f>-EPM($B$3,$B$4,6,$A24,"ytd_net_amount")</f>
        <v/>
      </c>
      <c r="E24" s="9">
        <f>-EPM($B$3,$B$4,9,$A24,"ytd_net_amount")</f>
        <v/>
      </c>
      <c r="F24" s="9">
        <f>-EPM($B$3,$B$4,12,$A24,"ytd_net_amount")</f>
        <v/>
      </c>
    </row>
    <row r="25">
      <c r="A25" s="10" t="inlineStr">
        <is>
          <t>140200</t>
        </is>
      </c>
      <c r="B25" s="11" t="inlineStr">
        <is>
          <t>Finished Goods Inventory</t>
        </is>
      </c>
      <c r="C25" s="12">
        <f>-EPM($B$3,$B$4,3,$A25,"ytd_net_amount")</f>
        <v/>
      </c>
      <c r="D25" s="12">
        <f>-EPM($B$3,$B$4,6,$A25,"ytd_net_amount")</f>
        <v/>
      </c>
      <c r="E25" s="12">
        <f>-EPM($B$3,$B$4,9,$A25,"ytd_net_amount")</f>
        <v/>
      </c>
      <c r="F25" s="12">
        <f>-EPM($B$3,$B$4,12,$A25,"ytd_net_amount")</f>
        <v/>
      </c>
    </row>
    <row r="26">
      <c r="A26" s="24" t="n"/>
      <c r="B26" s="25" t="inlineStr">
        <is>
          <t>Total Current Assets</t>
        </is>
      </c>
      <c r="C26" s="26">
        <f>C8+C9+C10+C11+C12+C13+C14+C15+C16+C17+C18+C19+C20+C21+C22+C23+C24+C25</f>
        <v/>
      </c>
      <c r="D26" s="26">
        <f>D8+D9+D10+D11+D12+D13+D14+D15+D16+D17+D18+D19+D20+D21+D22+D23+D24+D25</f>
        <v/>
      </c>
      <c r="E26" s="26">
        <f>E8+E9+E10+E11+E12+E13+E14+E15+E16+E17+E18+E19+E20+E21+E22+E23+E24+E25</f>
        <v/>
      </c>
      <c r="F26" s="26">
        <f>F8+F9+F10+F11+F12+F13+F14+F15+F16+F17+F18+F19+F20+F21+F22+F23+F24+F25</f>
        <v/>
      </c>
    </row>
    <row r="28">
      <c r="B28" s="21" t="inlineStr">
        <is>
          <t>Non-Current Assets</t>
        </is>
      </c>
    </row>
    <row r="29">
      <c r="A29" s="7" t="inlineStr">
        <is>
          <t>120200</t>
        </is>
      </c>
      <c r="B29" s="8" t="inlineStr">
        <is>
          <t>Marketable Securities</t>
        </is>
      </c>
      <c r="C29" s="9">
        <f>-EPM($B$3,$B$4,3,$A29,"ytd_net_amount")</f>
        <v/>
      </c>
      <c r="D29" s="9">
        <f>-EPM($B$3,$B$4,6,$A29,"ytd_net_amount")</f>
        <v/>
      </c>
      <c r="E29" s="9">
        <f>-EPM($B$3,$B$4,9,$A29,"ytd_net_amount")</f>
        <v/>
      </c>
      <c r="F29" s="9">
        <f>-EPM($B$3,$B$4,12,$A29,"ytd_net_amount")</f>
        <v/>
      </c>
    </row>
    <row r="30">
      <c r="A30" s="10" t="inlineStr">
        <is>
          <t>134000</t>
        </is>
      </c>
      <c r="B30" s="11" t="inlineStr">
        <is>
          <t>Investment in Subsidiary</t>
        </is>
      </c>
      <c r="C30" s="12">
        <f>-EPM($B$3,$B$4,3,$A30,"ytd_net_amount")</f>
        <v/>
      </c>
      <c r="D30" s="12">
        <f>-EPM($B$3,$B$4,6,$A30,"ytd_net_amount")</f>
        <v/>
      </c>
      <c r="E30" s="12">
        <f>-EPM($B$3,$B$4,9,$A30,"ytd_net_amount")</f>
        <v/>
      </c>
      <c r="F30" s="12">
        <f>-EPM($B$3,$B$4,12,$A30,"ytd_net_amount")</f>
        <v/>
      </c>
    </row>
    <row r="31">
      <c r="A31" s="7" t="inlineStr">
        <is>
          <t>170150</t>
        </is>
      </c>
      <c r="B31" s="8" t="inlineStr">
        <is>
          <t>Goodwill</t>
        </is>
      </c>
      <c r="C31" s="9">
        <f>-EPM($B$3,$B$4,3,$A31,"ytd_net_amount")</f>
        <v/>
      </c>
      <c r="D31" s="9">
        <f>-EPM($B$3,$B$4,6,$A31,"ytd_net_amount")</f>
        <v/>
      </c>
      <c r="E31" s="9">
        <f>-EPM($B$3,$B$4,9,$A31,"ytd_net_amount")</f>
        <v/>
      </c>
      <c r="F31" s="9">
        <f>-EPM($B$3,$B$4,12,$A31,"ytd_net_amount")</f>
        <v/>
      </c>
    </row>
    <row r="32">
      <c r="A32" s="10" t="inlineStr">
        <is>
          <t>180100</t>
        </is>
      </c>
      <c r="B32" s="11" t="inlineStr">
        <is>
          <t>Tangible Fixed Assets</t>
        </is>
      </c>
      <c r="C32" s="12">
        <f>-EPM($B$3,$B$4,3,$A32,"ytd_net_amount")</f>
        <v/>
      </c>
      <c r="D32" s="12">
        <f>-EPM($B$3,$B$4,6,$A32,"ytd_net_amount")</f>
        <v/>
      </c>
      <c r="E32" s="12">
        <f>-EPM($B$3,$B$4,9,$A32,"ytd_net_amount")</f>
        <v/>
      </c>
      <c r="F32" s="12">
        <f>-EPM($B$3,$B$4,12,$A32,"ytd_net_amount")</f>
        <v/>
      </c>
    </row>
    <row r="33">
      <c r="A33" s="7" t="inlineStr">
        <is>
          <t>180140</t>
        </is>
      </c>
      <c r="B33" s="8" t="inlineStr">
        <is>
          <t>Intangible Fixed Assets</t>
        </is>
      </c>
      <c r="C33" s="9">
        <f>-EPM($B$3,$B$4,3,$A33,"ytd_net_amount")</f>
        <v/>
      </c>
      <c r="D33" s="9">
        <f>-EPM($B$3,$B$4,6,$A33,"ytd_net_amount")</f>
        <v/>
      </c>
      <c r="E33" s="9">
        <f>-EPM($B$3,$B$4,9,$A33,"ytd_net_amount")</f>
        <v/>
      </c>
      <c r="F33" s="9">
        <f>-EPM($B$3,$B$4,12,$A33,"ytd_net_amount")</f>
        <v/>
      </c>
    </row>
    <row r="34">
      <c r="A34" s="10" t="inlineStr">
        <is>
          <t>180141</t>
        </is>
      </c>
      <c r="B34" s="11" t="inlineStr">
        <is>
          <t>Assets Under Construction</t>
        </is>
      </c>
      <c r="C34" s="12">
        <f>-EPM($B$3,$B$4,3,$A34,"ytd_net_amount")</f>
        <v/>
      </c>
      <c r="D34" s="12">
        <f>-EPM($B$3,$B$4,6,$A34,"ytd_net_amount")</f>
        <v/>
      </c>
      <c r="E34" s="12">
        <f>-EPM($B$3,$B$4,9,$A34,"ytd_net_amount")</f>
        <v/>
      </c>
      <c r="F34" s="12">
        <f>-EPM($B$3,$B$4,12,$A34,"ytd_net_amount")</f>
        <v/>
      </c>
    </row>
    <row r="35">
      <c r="A35" s="7" t="inlineStr">
        <is>
          <t>180150</t>
        </is>
      </c>
      <c r="B35" s="8" t="inlineStr">
        <is>
          <t>Right-of-Use Asset - Finance Leases</t>
        </is>
      </c>
      <c r="C35" s="9">
        <f>-EPM($B$3,$B$4,3,$A35,"ytd_net_amount")</f>
        <v/>
      </c>
      <c r="D35" s="9">
        <f>-EPM($B$3,$B$4,6,$A35,"ytd_net_amount")</f>
        <v/>
      </c>
      <c r="E35" s="9">
        <f>-EPM($B$3,$B$4,9,$A35,"ytd_net_amount")</f>
        <v/>
      </c>
      <c r="F35" s="9">
        <f>-EPM($B$3,$B$4,12,$A35,"ytd_net_amount")</f>
        <v/>
      </c>
    </row>
    <row r="36">
      <c r="A36" s="10" t="inlineStr">
        <is>
          <t>180160</t>
        </is>
      </c>
      <c r="B36" s="11" t="inlineStr">
        <is>
          <t>Right-of-Use Asset - Operating Leases</t>
        </is>
      </c>
      <c r="C36" s="12">
        <f>-EPM($B$3,$B$4,3,$A36,"ytd_net_amount")</f>
        <v/>
      </c>
      <c r="D36" s="12">
        <f>-EPM($B$3,$B$4,6,$A36,"ytd_net_amount")</f>
        <v/>
      </c>
      <c r="E36" s="12">
        <f>-EPM($B$3,$B$4,9,$A36,"ytd_net_amount")</f>
        <v/>
      </c>
      <c r="F36" s="12">
        <f>-EPM($B$3,$B$4,12,$A36,"ytd_net_amount")</f>
        <v/>
      </c>
    </row>
    <row r="37">
      <c r="A37" s="7" t="inlineStr">
        <is>
          <t>180200</t>
        </is>
      </c>
      <c r="B37" s="8" t="inlineStr">
        <is>
          <t>Accumulated Depreciation - Tangible</t>
        </is>
      </c>
      <c r="C37" s="9">
        <f>-EPM($B$3,$B$4,3,$A37,"ytd_net_amount")</f>
        <v/>
      </c>
      <c r="D37" s="9">
        <f>-EPM($B$3,$B$4,6,$A37,"ytd_net_amount")</f>
        <v/>
      </c>
      <c r="E37" s="9">
        <f>-EPM($B$3,$B$4,9,$A37,"ytd_net_amount")</f>
        <v/>
      </c>
      <c r="F37" s="9">
        <f>-EPM($B$3,$B$4,12,$A37,"ytd_net_amount")</f>
        <v/>
      </c>
    </row>
    <row r="38">
      <c r="A38" s="10" t="inlineStr">
        <is>
          <t>180240</t>
        </is>
      </c>
      <c r="B38" s="11" t="inlineStr">
        <is>
          <t>Accumulated Amortization - Intangible</t>
        </is>
      </c>
      <c r="C38" s="12">
        <f>-EPM($B$3,$B$4,3,$A38,"ytd_net_amount")</f>
        <v/>
      </c>
      <c r="D38" s="12">
        <f>-EPM($B$3,$B$4,6,$A38,"ytd_net_amount")</f>
        <v/>
      </c>
      <c r="E38" s="12">
        <f>-EPM($B$3,$B$4,9,$A38,"ytd_net_amount")</f>
        <v/>
      </c>
      <c r="F38" s="12">
        <f>-EPM($B$3,$B$4,12,$A38,"ytd_net_amount")</f>
        <v/>
      </c>
    </row>
    <row r="39">
      <c r="A39" s="7" t="inlineStr">
        <is>
          <t>180295</t>
        </is>
      </c>
      <c r="B39" s="8" t="inlineStr">
        <is>
          <t>Other Assets</t>
        </is>
      </c>
      <c r="C39" s="9">
        <f>-EPM($B$3,$B$4,3,$A39,"ytd_net_amount")</f>
        <v/>
      </c>
      <c r="D39" s="9">
        <f>-EPM($B$3,$B$4,6,$A39,"ytd_net_amount")</f>
        <v/>
      </c>
      <c r="E39" s="9">
        <f>-EPM($B$3,$B$4,9,$A39,"ytd_net_amount")</f>
        <v/>
      </c>
      <c r="F39" s="9">
        <f>-EPM($B$3,$B$4,12,$A39,"ytd_net_amount")</f>
        <v/>
      </c>
    </row>
    <row r="40">
      <c r="A40" s="24" t="n"/>
      <c r="B40" s="25" t="inlineStr">
        <is>
          <t>Total Non-Current Assets</t>
        </is>
      </c>
      <c r="C40" s="26">
        <f>C29+C30+C31+C32+C33+C34+C35+C36+C37+C38+C39</f>
        <v/>
      </c>
      <c r="D40" s="26">
        <f>D29+D30+D31+D32+D33+D34+D35+D36+D37+D38+D39</f>
        <v/>
      </c>
      <c r="E40" s="26">
        <f>E29+E30+E31+E32+E33+E34+E35+E36+E37+E38+E39</f>
        <v/>
      </c>
      <c r="F40" s="26">
        <f>F29+F30+F31+F32+F33+F34+F35+F36+F37+F38+F39</f>
        <v/>
      </c>
    </row>
    <row r="42">
      <c r="A42" s="24" t="n"/>
      <c r="B42" s="27" t="inlineStr">
        <is>
          <t>Total Assets</t>
        </is>
      </c>
      <c r="C42" s="28">
        <f>C26+C40</f>
        <v/>
      </c>
      <c r="D42" s="28">
        <f>D26+D40</f>
        <v/>
      </c>
      <c r="E42" s="28">
        <f>E26+E40</f>
        <v/>
      </c>
      <c r="F42" s="28">
        <f>F26+F40</f>
        <v/>
      </c>
    </row>
    <row r="44">
      <c r="B44" s="21" t="inlineStr">
        <is>
          <t>Current Liabilities</t>
        </is>
      </c>
    </row>
    <row r="45">
      <c r="A45" s="7" t="inlineStr">
        <is>
          <t>200100</t>
        </is>
      </c>
      <c r="B45" s="8" t="inlineStr">
        <is>
          <t>Accounts Payable - Domestic</t>
        </is>
      </c>
      <c r="C45" s="9">
        <f>-EPM($B$3,$B$4,3,$A45,"ytd_net_amount")</f>
        <v/>
      </c>
      <c r="D45" s="9">
        <f>-EPM($B$3,$B$4,6,$A45,"ytd_net_amount")</f>
        <v/>
      </c>
      <c r="E45" s="9">
        <f>-EPM($B$3,$B$4,9,$A45,"ytd_net_amount")</f>
        <v/>
      </c>
      <c r="F45" s="9">
        <f>-EPM($B$3,$B$4,12,$A45,"ytd_net_amount")</f>
        <v/>
      </c>
    </row>
    <row r="46">
      <c r="A46" s="10" t="inlineStr">
        <is>
          <t>200110A</t>
        </is>
      </c>
      <c r="B46" s="11" t="inlineStr">
        <is>
          <t>Accounts Payable - Other</t>
        </is>
      </c>
      <c r="C46" s="12">
        <f>-EPM($B$3,$B$4,3,$A46,"ytd_net_amount")</f>
        <v/>
      </c>
      <c r="D46" s="12">
        <f>-EPM($B$3,$B$4,6,$A46,"ytd_net_amount")</f>
        <v/>
      </c>
      <c r="E46" s="12">
        <f>-EPM($B$3,$B$4,9,$A46,"ytd_net_amount")</f>
        <v/>
      </c>
      <c r="F46" s="12">
        <f>-EPM($B$3,$B$4,12,$A46,"ytd_net_amount")</f>
        <v/>
      </c>
    </row>
    <row r="47">
      <c r="A47" s="7" t="inlineStr">
        <is>
          <t>200130</t>
        </is>
      </c>
      <c r="B47" s="8" t="inlineStr">
        <is>
          <t>Invoice Pending Approval</t>
        </is>
      </c>
      <c r="C47" s="9">
        <f>-EPM($B$3,$B$4,3,$A47,"ytd_net_amount")</f>
        <v/>
      </c>
      <c r="D47" s="9">
        <f>-EPM($B$3,$B$4,6,$A47,"ytd_net_amount")</f>
        <v/>
      </c>
      <c r="E47" s="9">
        <f>-EPM($B$3,$B$4,9,$A47,"ytd_net_amount")</f>
        <v/>
      </c>
      <c r="F47" s="9">
        <f>-EPM($B$3,$B$4,12,$A47,"ytd_net_amount")</f>
        <v/>
      </c>
    </row>
    <row r="48">
      <c r="A48" s="10" t="inlineStr">
        <is>
          <t>200140</t>
        </is>
      </c>
      <c r="B48" s="11" t="inlineStr">
        <is>
          <t>Accrued Purchases - Received Not Invoiced</t>
        </is>
      </c>
      <c r="C48" s="12">
        <f>-EPM($B$3,$B$4,3,$A48,"ytd_net_amount")</f>
        <v/>
      </c>
      <c r="D48" s="12">
        <f>-EPM($B$3,$B$4,6,$A48,"ytd_net_amount")</f>
        <v/>
      </c>
      <c r="E48" s="12">
        <f>-EPM($B$3,$B$4,9,$A48,"ytd_net_amount")</f>
        <v/>
      </c>
      <c r="F48" s="12">
        <f>-EPM($B$3,$B$4,12,$A48,"ytd_net_amount")</f>
        <v/>
      </c>
    </row>
    <row r="49">
      <c r="A49" s="7" t="inlineStr">
        <is>
          <t>200190</t>
        </is>
      </c>
      <c r="B49" s="8" t="inlineStr">
        <is>
          <t>Accrued Purchases</t>
        </is>
      </c>
      <c r="C49" s="9">
        <f>-EPM($B$3,$B$4,3,$A49,"ytd_net_amount")</f>
        <v/>
      </c>
      <c r="D49" s="9">
        <f>-EPM($B$3,$B$4,6,$A49,"ytd_net_amount")</f>
        <v/>
      </c>
      <c r="E49" s="9">
        <f>-EPM($B$3,$B$4,9,$A49,"ytd_net_amount")</f>
        <v/>
      </c>
      <c r="F49" s="9">
        <f>-EPM($B$3,$B$4,12,$A49,"ytd_net_amount")</f>
        <v/>
      </c>
    </row>
    <row r="50">
      <c r="A50" s="10" t="inlineStr">
        <is>
          <t>201100</t>
        </is>
      </c>
      <c r="B50" s="11" t="inlineStr">
        <is>
          <t>Salaries &amp; Wages Payable</t>
        </is>
      </c>
      <c r="C50" s="12">
        <f>-EPM($B$3,$B$4,3,$A50,"ytd_net_amount")</f>
        <v/>
      </c>
      <c r="D50" s="12">
        <f>-EPM($B$3,$B$4,6,$A50,"ytd_net_amount")</f>
        <v/>
      </c>
      <c r="E50" s="12">
        <f>-EPM($B$3,$B$4,9,$A50,"ytd_net_amount")</f>
        <v/>
      </c>
      <c r="F50" s="12">
        <f>-EPM($B$3,$B$4,12,$A50,"ytd_net_amount")</f>
        <v/>
      </c>
    </row>
    <row r="51">
      <c r="A51" s="7" t="inlineStr">
        <is>
          <t>201110</t>
        </is>
      </c>
      <c r="B51" s="8" t="inlineStr">
        <is>
          <t>Commissions Payable</t>
        </is>
      </c>
      <c r="C51" s="9">
        <f>-EPM($B$3,$B$4,3,$A51,"ytd_net_amount")</f>
        <v/>
      </c>
      <c r="D51" s="9">
        <f>-EPM($B$3,$B$4,6,$A51,"ytd_net_amount")</f>
        <v/>
      </c>
      <c r="E51" s="9">
        <f>-EPM($B$3,$B$4,9,$A51,"ytd_net_amount")</f>
        <v/>
      </c>
      <c r="F51" s="9">
        <f>-EPM($B$3,$B$4,12,$A51,"ytd_net_amount")</f>
        <v/>
      </c>
    </row>
    <row r="52">
      <c r="A52" s="10" t="inlineStr">
        <is>
          <t>212160</t>
        </is>
      </c>
      <c r="B52" s="11" t="inlineStr">
        <is>
          <t>Customer Deposits</t>
        </is>
      </c>
      <c r="C52" s="12">
        <f>-EPM($B$3,$B$4,3,$A52,"ytd_net_amount")</f>
        <v/>
      </c>
      <c r="D52" s="12">
        <f>-EPM($B$3,$B$4,6,$A52,"ytd_net_amount")</f>
        <v/>
      </c>
      <c r="E52" s="12">
        <f>-EPM($B$3,$B$4,9,$A52,"ytd_net_amount")</f>
        <v/>
      </c>
      <c r="F52" s="12">
        <f>-EPM($B$3,$B$4,12,$A52,"ytd_net_amount")</f>
        <v/>
      </c>
    </row>
    <row r="53">
      <c r="A53" s="7" t="inlineStr">
        <is>
          <t>221240</t>
        </is>
      </c>
      <c r="B53" s="8" t="inlineStr">
        <is>
          <t>Income Taxes Payable</t>
        </is>
      </c>
      <c r="C53" s="9">
        <f>-EPM($B$3,$B$4,3,$A53,"ytd_net_amount")</f>
        <v/>
      </c>
      <c r="D53" s="9">
        <f>-EPM($B$3,$B$4,6,$A53,"ytd_net_amount")</f>
        <v/>
      </c>
      <c r="E53" s="9">
        <f>-EPM($B$3,$B$4,9,$A53,"ytd_net_amount")</f>
        <v/>
      </c>
      <c r="F53" s="9">
        <f>-EPM($B$3,$B$4,12,$A53,"ytd_net_amount")</f>
        <v/>
      </c>
    </row>
    <row r="54">
      <c r="A54" s="10" t="inlineStr">
        <is>
          <t>222200</t>
        </is>
      </c>
      <c r="B54" s="11" t="inlineStr">
        <is>
          <t>VAT Tax Payable</t>
        </is>
      </c>
      <c r="C54" s="12">
        <f>-EPM($B$3,$B$4,3,$A54,"ytd_net_amount")</f>
        <v/>
      </c>
      <c r="D54" s="12">
        <f>-EPM($B$3,$B$4,6,$A54,"ytd_net_amount")</f>
        <v/>
      </c>
      <c r="E54" s="12">
        <f>-EPM($B$3,$B$4,9,$A54,"ytd_net_amount")</f>
        <v/>
      </c>
      <c r="F54" s="12">
        <f>-EPM($B$3,$B$4,12,$A54,"ytd_net_amount")</f>
        <v/>
      </c>
    </row>
    <row r="55">
      <c r="A55" s="7" t="inlineStr">
        <is>
          <t>222300</t>
        </is>
      </c>
      <c r="B55" s="8" t="inlineStr">
        <is>
          <t>Short Term Obligation - Finance Leases</t>
        </is>
      </c>
      <c r="C55" s="9">
        <f>-EPM($B$3,$B$4,3,$A55,"ytd_net_amount")</f>
        <v/>
      </c>
      <c r="D55" s="9">
        <f>-EPM($B$3,$B$4,6,$A55,"ytd_net_amount")</f>
        <v/>
      </c>
      <c r="E55" s="9">
        <f>-EPM($B$3,$B$4,9,$A55,"ytd_net_amount")</f>
        <v/>
      </c>
      <c r="F55" s="9">
        <f>-EPM($B$3,$B$4,12,$A55,"ytd_net_amount")</f>
        <v/>
      </c>
    </row>
    <row r="56">
      <c r="A56" s="10" t="inlineStr">
        <is>
          <t>222310</t>
        </is>
      </c>
      <c r="B56" s="11" t="inlineStr">
        <is>
          <t>Short Term Obligation - Operating Leases</t>
        </is>
      </c>
      <c r="C56" s="12">
        <f>-EPM($B$3,$B$4,3,$A56,"ytd_net_amount")</f>
        <v/>
      </c>
      <c r="D56" s="12">
        <f>-EPM($B$3,$B$4,6,$A56,"ytd_net_amount")</f>
        <v/>
      </c>
      <c r="E56" s="12">
        <f>-EPM($B$3,$B$4,9,$A56,"ytd_net_amount")</f>
        <v/>
      </c>
      <c r="F56" s="12">
        <f>-EPM($B$3,$B$4,12,$A56,"ytd_net_amount")</f>
        <v/>
      </c>
    </row>
    <row r="57">
      <c r="A57" s="7" t="inlineStr">
        <is>
          <t>231300</t>
        </is>
      </c>
      <c r="B57" s="8" t="inlineStr">
        <is>
          <t>Intercompany Payable - USMF/DEMF</t>
        </is>
      </c>
      <c r="C57" s="9">
        <f>-EPM($B$3,$B$4,3,$A57,"ytd_net_amount")</f>
        <v/>
      </c>
      <c r="D57" s="9">
        <f>-EPM($B$3,$B$4,6,$A57,"ytd_net_amount")</f>
        <v/>
      </c>
      <c r="E57" s="9">
        <f>-EPM($B$3,$B$4,9,$A57,"ytd_net_amount")</f>
        <v/>
      </c>
      <c r="F57" s="9">
        <f>-EPM($B$3,$B$4,12,$A57,"ytd_net_amount")</f>
        <v/>
      </c>
    </row>
    <row r="58">
      <c r="A58" s="10" t="inlineStr">
        <is>
          <t>231500</t>
        </is>
      </c>
      <c r="B58" s="11" t="inlineStr">
        <is>
          <t>Interunit Payable</t>
        </is>
      </c>
      <c r="C58" s="12">
        <f>-EPM($B$3,$B$4,3,$A58,"ytd_net_amount")</f>
        <v/>
      </c>
      <c r="D58" s="12">
        <f>-EPM($B$3,$B$4,6,$A58,"ytd_net_amount")</f>
        <v/>
      </c>
      <c r="E58" s="12">
        <f>-EPM($B$3,$B$4,9,$A58,"ytd_net_amount")</f>
        <v/>
      </c>
      <c r="F58" s="12">
        <f>-EPM($B$3,$B$4,12,$A58,"ytd_net_amount")</f>
        <v/>
      </c>
    </row>
    <row r="59">
      <c r="A59" s="24" t="n"/>
      <c r="B59" s="25" t="inlineStr">
        <is>
          <t>Total Current Liabilities</t>
        </is>
      </c>
      <c r="C59" s="26">
        <f>C45+C46+C47+C48+C49+C50+C51+C52+C53+C54+C55+C56+C57+C58</f>
        <v/>
      </c>
      <c r="D59" s="26">
        <f>D45+D46+D47+D48+D49+D50+D51+D52+D53+D54+D55+D56+D57+D58</f>
        <v/>
      </c>
      <c r="E59" s="26">
        <f>E45+E46+E47+E48+E49+E50+E51+E52+E53+E54+E55+E56+E57+E58</f>
        <v/>
      </c>
      <c r="F59" s="26">
        <f>F45+F46+F47+F48+F49+F50+F51+F52+F53+F54+F55+F56+F57+F58</f>
        <v/>
      </c>
    </row>
    <row r="61">
      <c r="B61" s="21" t="inlineStr">
        <is>
          <t>Non-Current Liabilities</t>
        </is>
      </c>
    </row>
    <row r="62">
      <c r="A62" s="7" t="inlineStr">
        <is>
          <t>250100</t>
        </is>
      </c>
      <c r="B62" s="8" t="inlineStr">
        <is>
          <t>Long-term Bank Loans</t>
        </is>
      </c>
      <c r="C62" s="9">
        <f>-EPM($B$3,$B$4,3,$A62,"ytd_net_amount")</f>
        <v/>
      </c>
      <c r="D62" s="9">
        <f>-EPM($B$3,$B$4,6,$A62,"ytd_net_amount")</f>
        <v/>
      </c>
      <c r="E62" s="9">
        <f>-EPM($B$3,$B$4,9,$A62,"ytd_net_amount")</f>
        <v/>
      </c>
      <c r="F62" s="9">
        <f>-EPM($B$3,$B$4,12,$A62,"ytd_net_amount")</f>
        <v/>
      </c>
    </row>
    <row r="63">
      <c r="A63" s="10" t="inlineStr">
        <is>
          <t>250200</t>
        </is>
      </c>
      <c r="B63" s="11" t="inlineStr">
        <is>
          <t>Notes Payable</t>
        </is>
      </c>
      <c r="C63" s="12">
        <f>-EPM($B$3,$B$4,3,$A63,"ytd_net_amount")</f>
        <v/>
      </c>
      <c r="D63" s="12">
        <f>-EPM($B$3,$B$4,6,$A63,"ytd_net_amount")</f>
        <v/>
      </c>
      <c r="E63" s="12">
        <f>-EPM($B$3,$B$4,9,$A63,"ytd_net_amount")</f>
        <v/>
      </c>
      <c r="F63" s="12">
        <f>-EPM($B$3,$B$4,12,$A63,"ytd_net_amount")</f>
        <v/>
      </c>
    </row>
    <row r="64">
      <c r="A64" s="7" t="inlineStr">
        <is>
          <t>250300</t>
        </is>
      </c>
      <c r="B64" s="8" t="inlineStr">
        <is>
          <t>Mortgage Payable</t>
        </is>
      </c>
      <c r="C64" s="9">
        <f>-EPM($B$3,$B$4,3,$A64,"ytd_net_amount")</f>
        <v/>
      </c>
      <c r="D64" s="9">
        <f>-EPM($B$3,$B$4,6,$A64,"ytd_net_amount")</f>
        <v/>
      </c>
      <c r="E64" s="9">
        <f>-EPM($B$3,$B$4,9,$A64,"ytd_net_amount")</f>
        <v/>
      </c>
      <c r="F64" s="9">
        <f>-EPM($B$3,$B$4,12,$A64,"ytd_net_amount")</f>
        <v/>
      </c>
    </row>
    <row r="65">
      <c r="A65" s="10" t="inlineStr">
        <is>
          <t>250500</t>
        </is>
      </c>
      <c r="B65" s="11" t="inlineStr">
        <is>
          <t>Deferred Income Tax</t>
        </is>
      </c>
      <c r="C65" s="12">
        <f>-EPM($B$3,$B$4,3,$A65,"ytd_net_amount")</f>
        <v/>
      </c>
      <c r="D65" s="12">
        <f>-EPM($B$3,$B$4,6,$A65,"ytd_net_amount")</f>
        <v/>
      </c>
      <c r="E65" s="12">
        <f>-EPM($B$3,$B$4,9,$A65,"ytd_net_amount")</f>
        <v/>
      </c>
      <c r="F65" s="12">
        <f>-EPM($B$3,$B$4,12,$A65,"ytd_net_amount")</f>
        <v/>
      </c>
    </row>
    <row r="66">
      <c r="A66" s="7" t="inlineStr">
        <is>
          <t>250600</t>
        </is>
      </c>
      <c r="B66" s="8" t="inlineStr">
        <is>
          <t>Deferred Revenue</t>
        </is>
      </c>
      <c r="C66" s="9">
        <f>-EPM($B$3,$B$4,3,$A66,"ytd_net_amount")</f>
        <v/>
      </c>
      <c r="D66" s="9">
        <f>-EPM($B$3,$B$4,6,$A66,"ytd_net_amount")</f>
        <v/>
      </c>
      <c r="E66" s="9">
        <f>-EPM($B$3,$B$4,9,$A66,"ytd_net_amount")</f>
        <v/>
      </c>
      <c r="F66" s="9">
        <f>-EPM($B$3,$B$4,12,$A66,"ytd_net_amount")</f>
        <v/>
      </c>
    </row>
    <row r="67">
      <c r="A67" s="10" t="inlineStr">
        <is>
          <t>250601</t>
        </is>
      </c>
      <c r="B67" s="11" t="inlineStr">
        <is>
          <t>Long Term Obligation - Finance Leases</t>
        </is>
      </c>
      <c r="C67" s="12">
        <f>-EPM($B$3,$B$4,3,$A67,"ytd_net_amount")</f>
        <v/>
      </c>
      <c r="D67" s="12">
        <f>-EPM($B$3,$B$4,6,$A67,"ytd_net_amount")</f>
        <v/>
      </c>
      <c r="E67" s="12">
        <f>-EPM($B$3,$B$4,9,$A67,"ytd_net_amount")</f>
        <v/>
      </c>
      <c r="F67" s="12">
        <f>-EPM($B$3,$B$4,12,$A67,"ytd_net_amount")</f>
        <v/>
      </c>
    </row>
    <row r="68">
      <c r="A68" s="7" t="inlineStr">
        <is>
          <t>250602</t>
        </is>
      </c>
      <c r="B68" s="8" t="inlineStr">
        <is>
          <t>Long Term Obligation - Operating Leases</t>
        </is>
      </c>
      <c r="C68" s="9">
        <f>-EPM($B$3,$B$4,3,$A68,"ytd_net_amount")</f>
        <v/>
      </c>
      <c r="D68" s="9">
        <f>-EPM($B$3,$B$4,6,$A68,"ytd_net_amount")</f>
        <v/>
      </c>
      <c r="E68" s="9">
        <f>-EPM($B$3,$B$4,9,$A68,"ytd_net_amount")</f>
        <v/>
      </c>
      <c r="F68" s="9">
        <f>-EPM($B$3,$B$4,12,$A68,"ytd_net_amount")</f>
        <v/>
      </c>
    </row>
    <row r="69">
      <c r="A69" s="24" t="n"/>
      <c r="B69" s="25" t="inlineStr">
        <is>
          <t>Total Non-Current Liabilities</t>
        </is>
      </c>
      <c r="C69" s="26">
        <f>C62+C63+C64+C65+C66+C67+C68</f>
        <v/>
      </c>
      <c r="D69" s="26">
        <f>D62+D63+D64+D65+D66+D67+D68</f>
        <v/>
      </c>
      <c r="E69" s="26">
        <f>E62+E63+E64+E65+E66+E67+E68</f>
        <v/>
      </c>
      <c r="F69" s="26">
        <f>F62+F63+F64+F65+F66+F67+F68</f>
        <v/>
      </c>
    </row>
    <row r="71">
      <c r="A71" s="24" t="n"/>
      <c r="B71" s="27" t="inlineStr">
        <is>
          <t>Total Liabilities</t>
        </is>
      </c>
      <c r="C71" s="28">
        <f>C59+C69</f>
        <v/>
      </c>
      <c r="D71" s="28">
        <f>D59+D69</f>
        <v/>
      </c>
      <c r="E71" s="28">
        <f>E59+E69</f>
        <v/>
      </c>
      <c r="F71" s="28">
        <f>F59+F69</f>
        <v/>
      </c>
    </row>
    <row r="73">
      <c r="B73" s="21" t="inlineStr">
        <is>
          <t>Shareholders' Equity</t>
        </is>
      </c>
    </row>
    <row r="74">
      <c r="A74" s="7" t="inlineStr">
        <is>
          <t>300110</t>
        </is>
      </c>
      <c r="B74" s="8" t="inlineStr">
        <is>
          <t>Capital Stock</t>
        </is>
      </c>
      <c r="C74" s="9">
        <f>-EPM($B$3,$B$4,3,$A74,"ytd_net_amount")</f>
        <v/>
      </c>
      <c r="D74" s="9">
        <f>-EPM($B$3,$B$4,6,$A74,"ytd_net_amount")</f>
        <v/>
      </c>
      <c r="E74" s="9">
        <f>-EPM($B$3,$B$4,9,$A74,"ytd_net_amount")</f>
        <v/>
      </c>
      <c r="F74" s="9">
        <f>-EPM($B$3,$B$4,12,$A74,"ytd_net_amount")</f>
        <v/>
      </c>
    </row>
    <row r="75">
      <c r="A75" s="10" t="inlineStr">
        <is>
          <t>300120</t>
        </is>
      </c>
      <c r="B75" s="11" t="inlineStr">
        <is>
          <t>Paid-in Capital</t>
        </is>
      </c>
      <c r="C75" s="12">
        <f>-EPM($B$3,$B$4,3,$A75,"ytd_net_amount")</f>
        <v/>
      </c>
      <c r="D75" s="12">
        <f>-EPM($B$3,$B$4,6,$A75,"ytd_net_amount")</f>
        <v/>
      </c>
      <c r="E75" s="12">
        <f>-EPM($B$3,$B$4,9,$A75,"ytd_net_amount")</f>
        <v/>
      </c>
      <c r="F75" s="12">
        <f>-EPM($B$3,$B$4,12,$A75,"ytd_net_amount")</f>
        <v/>
      </c>
    </row>
    <row r="76">
      <c r="A76" s="7" t="inlineStr">
        <is>
          <t>300130</t>
        </is>
      </c>
      <c r="B76" s="8" t="inlineStr">
        <is>
          <t>Dividends Paid</t>
        </is>
      </c>
      <c r="C76" s="9">
        <f>-EPM($B$3,$B$4,3,$A76,"ytd_net_amount")</f>
        <v/>
      </c>
      <c r="D76" s="9">
        <f>-EPM($B$3,$B$4,6,$A76,"ytd_net_amount")</f>
        <v/>
      </c>
      <c r="E76" s="9">
        <f>-EPM($B$3,$B$4,9,$A76,"ytd_net_amount")</f>
        <v/>
      </c>
      <c r="F76" s="9">
        <f>-EPM($B$3,$B$4,12,$A76,"ytd_net_amount")</f>
        <v/>
      </c>
    </row>
    <row r="77">
      <c r="A77" s="10" t="inlineStr">
        <is>
          <t>300150</t>
        </is>
      </c>
      <c r="B77" s="11" t="inlineStr">
        <is>
          <t>Unrealized Currency Gain/Loss</t>
        </is>
      </c>
      <c r="C77" s="12">
        <f>-EPM($B$3,$B$4,3,$A77,"ytd_net_amount")</f>
        <v/>
      </c>
      <c r="D77" s="12">
        <f>-EPM($B$3,$B$4,6,$A77,"ytd_net_amount")</f>
        <v/>
      </c>
      <c r="E77" s="12">
        <f>-EPM($B$3,$B$4,9,$A77,"ytd_net_amount")</f>
        <v/>
      </c>
      <c r="F77" s="12">
        <f>-EPM($B$3,$B$4,12,$A77,"ytd_net_amount")</f>
        <v/>
      </c>
    </row>
    <row r="78">
      <c r="A78" s="7" t="inlineStr">
        <is>
          <t>300160</t>
        </is>
      </c>
      <c r="B78" s="8" t="inlineStr">
        <is>
          <t>Retained Earnings</t>
        </is>
      </c>
      <c r="C78" s="9">
        <f>-EPM($B$3,$B$4,3,$A78,"ytd_net_amount")</f>
        <v/>
      </c>
      <c r="D78" s="9">
        <f>-EPM($B$3,$B$4,6,$A78,"ytd_net_amount")</f>
        <v/>
      </c>
      <c r="E78" s="9">
        <f>-EPM($B$3,$B$4,9,$A78,"ytd_net_amount")</f>
        <v/>
      </c>
      <c r="F78" s="9">
        <f>-EPM($B$3,$B$4,12,$A78,"ytd_net_amount")</f>
        <v/>
      </c>
    </row>
    <row r="79">
      <c r="A79" s="10" t="inlineStr">
        <is>
          <t>300170</t>
        </is>
      </c>
      <c r="B79" s="11" t="inlineStr">
        <is>
          <t>Accumulated Other Comprehensive Income</t>
        </is>
      </c>
      <c r="C79" s="12">
        <f>-EPM($B$3,$B$4,3,$A79,"ytd_net_amount")</f>
        <v/>
      </c>
      <c r="D79" s="12">
        <f>-EPM($B$3,$B$4,6,$A79,"ytd_net_amount")</f>
        <v/>
      </c>
      <c r="E79" s="12">
        <f>-EPM($B$3,$B$4,9,$A79,"ytd_net_amount")</f>
        <v/>
      </c>
      <c r="F79" s="12">
        <f>-EPM($B$3,$B$4,12,$A79,"ytd_net_amount")</f>
        <v/>
      </c>
    </row>
    <row r="80">
      <c r="A80" s="24" t="n"/>
      <c r="B80" s="25" t="inlineStr">
        <is>
          <t>Total Equity</t>
        </is>
      </c>
      <c r="C80" s="26">
        <f>C74+C75+C76+C77+C78+C79</f>
        <v/>
      </c>
      <c r="D80" s="26">
        <f>D74+D75+D76+D77+D78+D79</f>
        <v/>
      </c>
      <c r="E80" s="26">
        <f>E74+E75+E76+E77+E78+E79</f>
        <v/>
      </c>
      <c r="F80" s="26">
        <f>F74+F75+F76+F77+F78+F79</f>
        <v/>
      </c>
    </row>
    <row r="82">
      <c r="A82" s="24" t="n"/>
      <c r="B82" s="27" t="inlineStr">
        <is>
          <t>Total Liabilities &amp; Equity</t>
        </is>
      </c>
      <c r="C82" s="28">
        <f>C71+C80</f>
        <v/>
      </c>
      <c r="D82" s="28">
        <f>D71+D80</f>
        <v/>
      </c>
      <c r="E82" s="28">
        <f>E71+E80</f>
        <v/>
      </c>
      <c r="F82" s="28">
        <f>F71+F80</f>
        <v/>
      </c>
    </row>
    <row r="84">
      <c r="A84" s="24" t="n"/>
      <c r="B84" s="27" t="inlineStr">
        <is>
          <t>Check (Assets - L&amp;E)</t>
        </is>
      </c>
      <c r="C84" s="29">
        <f>C42-C82</f>
        <v/>
      </c>
      <c r="D84" s="29">
        <f>D42-D82</f>
        <v/>
      </c>
      <c r="E84" s="29">
        <f>E42-E82</f>
        <v/>
      </c>
      <c r="F84" s="29">
        <f>F42-F82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0" t="inlineStr">
        <is>
          <t>Statement of Cash Flows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3">
      <c r="A3" s="32" t="inlineStr">
        <is>
          <t>Entity</t>
        </is>
      </c>
      <c r="B3" s="4" t="inlineStr">
        <is>
          <t>USMF</t>
        </is>
      </c>
      <c r="D3" s="32" t="inlineStr">
        <is>
          <t>Measure</t>
        </is>
      </c>
      <c r="E3" s="4" t="inlineStr">
        <is>
          <t>period_net_amount</t>
        </is>
      </c>
    </row>
    <row r="4">
      <c r="A4" s="32" t="inlineStr">
        <is>
          <t>Year</t>
        </is>
      </c>
      <c r="B4" s="4" t="n">
        <v>2025</v>
      </c>
    </row>
    <row r="6">
      <c r="A6" s="33" t="inlineStr">
        <is>
          <t>Account</t>
        </is>
      </c>
      <c r="B6" s="33" t="inlineStr">
        <is>
          <t>Description</t>
        </is>
      </c>
      <c r="C6" s="34" t="inlineStr">
        <is>
          <t>Q1</t>
        </is>
      </c>
      <c r="D6" s="34" t="inlineStr">
        <is>
          <t>Q2</t>
        </is>
      </c>
      <c r="E6" s="34" t="inlineStr">
        <is>
          <t>Q3</t>
        </is>
      </c>
      <c r="F6" s="34" t="inlineStr">
        <is>
          <t>Q4</t>
        </is>
      </c>
      <c r="G6" s="34" t="inlineStr">
        <is>
          <t>H1</t>
        </is>
      </c>
      <c r="H6" s="34" t="inlineStr">
        <is>
          <t>H2</t>
        </is>
      </c>
      <c r="I6" s="34" t="inlineStr">
        <is>
          <t>Full Year</t>
        </is>
      </c>
    </row>
    <row r="7">
      <c r="B7" s="32" t="inlineStr">
        <is>
          <t>Operating Activities</t>
        </is>
      </c>
    </row>
    <row r="8">
      <c r="B8" s="11" t="inlineStr">
        <is>
          <t>Net Income</t>
        </is>
      </c>
      <c r="C8" s="12">
        <f>-EPM($B$3,$B$4,"Q1","300160","period_net_amount")</f>
        <v/>
      </c>
      <c r="D8" s="12">
        <f>-EPM($B$3,$B$4,"Q2","300160","period_net_amount")</f>
        <v/>
      </c>
      <c r="E8" s="12">
        <f>-EPM($B$3,$B$4,"Q3","300160","period_net_amount")</f>
        <v/>
      </c>
      <c r="F8" s="12">
        <f>-EPM($B$3,$B$4,"Q4","300160","period_net_amount")</f>
        <v/>
      </c>
      <c r="G8" s="12">
        <f>-EPM($B$3,$B$4,"H1","300160","period_net_amount")</f>
        <v/>
      </c>
      <c r="H8" s="12">
        <f>-EPM($B$3,$B$4,"H2","300160","period_net_amount")</f>
        <v/>
      </c>
      <c r="I8" s="12">
        <f>-EPM($B$3,$B$4,"FY","300160","period_net_amount")</f>
        <v/>
      </c>
    </row>
    <row r="9">
      <c r="B9" s="35" t="inlineStr">
        <is>
          <t>Adjustments for non-cash items:</t>
        </is>
      </c>
    </row>
    <row r="10">
      <c r="A10" s="10" t="inlineStr">
        <is>
          <t>607200</t>
        </is>
      </c>
      <c r="B10" s="11" t="inlineStr">
        <is>
          <t>Depreciation - Tangible Assets</t>
        </is>
      </c>
      <c r="C10" s="12">
        <f>EPM($B$3,$B$4,"Q1",$A10,"period_net_amount")</f>
        <v/>
      </c>
      <c r="D10" s="12">
        <f>EPM($B$3,$B$4,"Q2",$A10,"period_net_amount")</f>
        <v/>
      </c>
      <c r="E10" s="12">
        <f>EPM($B$3,$B$4,"Q3",$A10,"period_net_amount")</f>
        <v/>
      </c>
      <c r="F10" s="12">
        <f>EPM($B$3,$B$4,"Q4",$A10,"period_net_amount")</f>
        <v/>
      </c>
      <c r="G10" s="12">
        <f>EPM($B$3,$B$4,"H1",$A10,"period_net_amount")</f>
        <v/>
      </c>
      <c r="H10" s="12">
        <f>EPM($B$3,$B$4,"H2",$A10,"period_net_amount")</f>
        <v/>
      </c>
      <c r="I10" s="12">
        <f>EPM($B$3,$B$4,"FY",$A10,"period_net_amount")</f>
        <v/>
      </c>
    </row>
    <row r="11">
      <c r="A11" s="7" t="inlineStr">
        <is>
          <t>607100</t>
        </is>
      </c>
      <c r="B11" s="8" t="inlineStr">
        <is>
          <t>Depreciation - Intangible Assets</t>
        </is>
      </c>
      <c r="C11" s="9">
        <f>EPM($B$3,$B$4,"Q1",$A11,"period_net_amount")</f>
        <v/>
      </c>
      <c r="D11" s="9">
        <f>EPM($B$3,$B$4,"Q2",$A11,"period_net_amount")</f>
        <v/>
      </c>
      <c r="E11" s="9">
        <f>EPM($B$3,$B$4,"Q3",$A11,"period_net_amount")</f>
        <v/>
      </c>
      <c r="F11" s="9">
        <f>EPM($B$3,$B$4,"Q4",$A11,"period_net_amount")</f>
        <v/>
      </c>
      <c r="G11" s="9">
        <f>EPM($B$3,$B$4,"H1",$A11,"period_net_amount")</f>
        <v/>
      </c>
      <c r="H11" s="9">
        <f>EPM($B$3,$B$4,"H2",$A11,"period_net_amount")</f>
        <v/>
      </c>
      <c r="I11" s="9">
        <f>EPM($B$3,$B$4,"FY",$A11,"period_net_amount")</f>
        <v/>
      </c>
    </row>
    <row r="12">
      <c r="A12" s="10" t="inlineStr">
        <is>
          <t>801100</t>
        </is>
      </c>
      <c r="B12" s="11" t="inlineStr">
        <is>
          <t>Gain/Loss - Disposal of Assets</t>
        </is>
      </c>
      <c r="C12" s="12">
        <f>EPM($B$3,$B$4,"Q1",$A12,"period_net_amount")</f>
        <v/>
      </c>
      <c r="D12" s="12">
        <f>EPM($B$3,$B$4,"Q2",$A12,"period_net_amount")</f>
        <v/>
      </c>
      <c r="E12" s="12">
        <f>EPM($B$3,$B$4,"Q3",$A12,"period_net_amount")</f>
        <v/>
      </c>
      <c r="F12" s="12">
        <f>EPM($B$3,$B$4,"Q4",$A12,"period_net_amount")</f>
        <v/>
      </c>
      <c r="G12" s="12">
        <f>EPM($B$3,$B$4,"H1",$A12,"period_net_amount")</f>
        <v/>
      </c>
      <c r="H12" s="12">
        <f>EPM($B$3,$B$4,"H2",$A12,"period_net_amount")</f>
        <v/>
      </c>
      <c r="I12" s="12">
        <f>EPM($B$3,$B$4,"FY",$A12,"period_net_amount")</f>
        <v/>
      </c>
    </row>
    <row r="13">
      <c r="A13" s="7" t="inlineStr">
        <is>
          <t>801200</t>
        </is>
      </c>
      <c r="B13" s="8" t="inlineStr">
        <is>
          <t>Gain/Loss - Revaluation</t>
        </is>
      </c>
      <c r="C13" s="9">
        <f>EPM($B$3,$B$4,"Q1",$A13,"period_net_amount")</f>
        <v/>
      </c>
      <c r="D13" s="9">
        <f>EPM($B$3,$B$4,"Q2",$A13,"period_net_amount")</f>
        <v/>
      </c>
      <c r="E13" s="9">
        <f>EPM($B$3,$B$4,"Q3",$A13,"period_net_amount")</f>
        <v/>
      </c>
      <c r="F13" s="9">
        <f>EPM($B$3,$B$4,"Q4",$A13,"period_net_amount")</f>
        <v/>
      </c>
      <c r="G13" s="9">
        <f>EPM($B$3,$B$4,"H1",$A13,"period_net_amount")</f>
        <v/>
      </c>
      <c r="H13" s="9">
        <f>EPM($B$3,$B$4,"H2",$A13,"period_net_amount")</f>
        <v/>
      </c>
      <c r="I13" s="9">
        <f>EPM($B$3,$B$4,"FY",$A13,"period_net_amount")</f>
        <v/>
      </c>
    </row>
    <row r="14">
      <c r="B14" s="35" t="inlineStr">
        <is>
          <t>Changes in working capital:</t>
        </is>
      </c>
    </row>
    <row r="15">
      <c r="A15" s="10" t="inlineStr">
        <is>
          <t>130100</t>
        </is>
      </c>
      <c r="B15" s="11" t="inlineStr">
        <is>
          <t>Accounts Receivable</t>
        </is>
      </c>
      <c r="C15" s="12">
        <f>EPM($B$3,$B$4,"Q1",$A15,"period_net_amount")</f>
        <v/>
      </c>
      <c r="D15" s="12">
        <f>EPM($B$3,$B$4,"Q2",$A15,"period_net_amount")</f>
        <v/>
      </c>
      <c r="E15" s="12">
        <f>EPM($B$3,$B$4,"Q3",$A15,"period_net_amount")</f>
        <v/>
      </c>
      <c r="F15" s="12">
        <f>EPM($B$3,$B$4,"Q4",$A15,"period_net_amount")</f>
        <v/>
      </c>
      <c r="G15" s="12">
        <f>EPM($B$3,$B$4,"H1",$A15,"period_net_amount")</f>
        <v/>
      </c>
      <c r="H15" s="12">
        <f>EPM($B$3,$B$4,"H2",$A15,"period_net_amount")</f>
        <v/>
      </c>
      <c r="I15" s="12">
        <f>EPM($B$3,$B$4,"FY",$A15,"period_net_amount")</f>
        <v/>
      </c>
    </row>
    <row r="16">
      <c r="A16" s="7" t="inlineStr">
        <is>
          <t>130300</t>
        </is>
      </c>
      <c r="B16" s="8" t="inlineStr">
        <is>
          <t>Accounts Receivable - Not Invoiced</t>
        </is>
      </c>
      <c r="C16" s="9">
        <f>EPM($B$3,$B$4,"Q1",$A16,"period_net_amount")</f>
        <v/>
      </c>
      <c r="D16" s="9">
        <f>EPM($B$3,$B$4,"Q2",$A16,"period_net_amount")</f>
        <v/>
      </c>
      <c r="E16" s="9">
        <f>EPM($B$3,$B$4,"Q3",$A16,"period_net_amount")</f>
        <v/>
      </c>
      <c r="F16" s="9">
        <f>EPM($B$3,$B$4,"Q4",$A16,"period_net_amount")</f>
        <v/>
      </c>
      <c r="G16" s="9">
        <f>EPM($B$3,$B$4,"H1",$A16,"period_net_amount")</f>
        <v/>
      </c>
      <c r="H16" s="9">
        <f>EPM($B$3,$B$4,"H2",$A16,"period_net_amount")</f>
        <v/>
      </c>
      <c r="I16" s="9">
        <f>EPM($B$3,$B$4,"FY",$A16,"period_net_amount")</f>
        <v/>
      </c>
    </row>
    <row r="17">
      <c r="A17" s="10" t="inlineStr">
        <is>
          <t>140100</t>
        </is>
      </c>
      <c r="B17" s="11" t="inlineStr">
        <is>
          <t>Raw Materials Inventory</t>
        </is>
      </c>
      <c r="C17" s="12">
        <f>EPM($B$3,$B$4,"Q1",$A17,"period_net_amount")</f>
        <v/>
      </c>
      <c r="D17" s="12">
        <f>EPM($B$3,$B$4,"Q2",$A17,"period_net_amount")</f>
        <v/>
      </c>
      <c r="E17" s="12">
        <f>EPM($B$3,$B$4,"Q3",$A17,"period_net_amount")</f>
        <v/>
      </c>
      <c r="F17" s="12">
        <f>EPM($B$3,$B$4,"Q4",$A17,"period_net_amount")</f>
        <v/>
      </c>
      <c r="G17" s="12">
        <f>EPM($B$3,$B$4,"H1",$A17,"period_net_amount")</f>
        <v/>
      </c>
      <c r="H17" s="12">
        <f>EPM($B$3,$B$4,"H2",$A17,"period_net_amount")</f>
        <v/>
      </c>
      <c r="I17" s="12">
        <f>EPM($B$3,$B$4,"FY",$A17,"period_net_amount")</f>
        <v/>
      </c>
    </row>
    <row r="18">
      <c r="A18" s="7" t="inlineStr">
        <is>
          <t>140200</t>
        </is>
      </c>
      <c r="B18" s="8" t="inlineStr">
        <is>
          <t>Finished Goods Inventory</t>
        </is>
      </c>
      <c r="C18" s="9">
        <f>EPM($B$3,$B$4,"Q1",$A18,"period_net_amount")</f>
        <v/>
      </c>
      <c r="D18" s="9">
        <f>EPM($B$3,$B$4,"Q2",$A18,"period_net_amount")</f>
        <v/>
      </c>
      <c r="E18" s="9">
        <f>EPM($B$3,$B$4,"Q3",$A18,"period_net_amount")</f>
        <v/>
      </c>
      <c r="F18" s="9">
        <f>EPM($B$3,$B$4,"Q4",$A18,"period_net_amount")</f>
        <v/>
      </c>
      <c r="G18" s="9">
        <f>EPM($B$3,$B$4,"H1",$A18,"period_net_amount")</f>
        <v/>
      </c>
      <c r="H18" s="9">
        <f>EPM($B$3,$B$4,"H2",$A18,"period_net_amount")</f>
        <v/>
      </c>
      <c r="I18" s="9">
        <f>EPM($B$3,$B$4,"FY",$A18,"period_net_amount")</f>
        <v/>
      </c>
    </row>
    <row r="19">
      <c r="A19" s="10" t="inlineStr">
        <is>
          <t>132190</t>
        </is>
      </c>
      <c r="B19" s="11" t="inlineStr">
        <is>
          <t>Prepaid Expenses</t>
        </is>
      </c>
      <c r="C19" s="12">
        <f>EPM($B$3,$B$4,"Q1",$A19,"period_net_amount")</f>
        <v/>
      </c>
      <c r="D19" s="12">
        <f>EPM($B$3,$B$4,"Q2",$A19,"period_net_amount")</f>
        <v/>
      </c>
      <c r="E19" s="12">
        <f>EPM($B$3,$B$4,"Q3",$A19,"period_net_amount")</f>
        <v/>
      </c>
      <c r="F19" s="12">
        <f>EPM($B$3,$B$4,"Q4",$A19,"period_net_amount")</f>
        <v/>
      </c>
      <c r="G19" s="12">
        <f>EPM($B$3,$B$4,"H1",$A19,"period_net_amount")</f>
        <v/>
      </c>
      <c r="H19" s="12">
        <f>EPM($B$3,$B$4,"H2",$A19,"period_net_amount")</f>
        <v/>
      </c>
      <c r="I19" s="12">
        <f>EPM($B$3,$B$4,"FY",$A19,"period_net_amount")</f>
        <v/>
      </c>
    </row>
    <row r="20">
      <c r="A20" s="7" t="inlineStr">
        <is>
          <t>200100</t>
        </is>
      </c>
      <c r="B20" s="8" t="inlineStr">
        <is>
          <t>Accounts Payable</t>
        </is>
      </c>
      <c r="C20" s="9">
        <f>EPM($B$3,$B$4,"Q1",$A20,"period_net_amount")</f>
        <v/>
      </c>
      <c r="D20" s="9">
        <f>EPM($B$3,$B$4,"Q2",$A20,"period_net_amount")</f>
        <v/>
      </c>
      <c r="E20" s="9">
        <f>EPM($B$3,$B$4,"Q3",$A20,"period_net_amount")</f>
        <v/>
      </c>
      <c r="F20" s="9">
        <f>EPM($B$3,$B$4,"Q4",$A20,"period_net_amount")</f>
        <v/>
      </c>
      <c r="G20" s="9">
        <f>EPM($B$3,$B$4,"H1",$A20,"period_net_amount")</f>
        <v/>
      </c>
      <c r="H20" s="9">
        <f>EPM($B$3,$B$4,"H2",$A20,"period_net_amount")</f>
        <v/>
      </c>
      <c r="I20" s="9">
        <f>EPM($B$3,$B$4,"FY",$A20,"period_net_amount")</f>
        <v/>
      </c>
    </row>
    <row r="21">
      <c r="A21" s="10" t="inlineStr">
        <is>
          <t>200140</t>
        </is>
      </c>
      <c r="B21" s="11" t="inlineStr">
        <is>
          <t>Accrued Purchases</t>
        </is>
      </c>
      <c r="C21" s="12">
        <f>EPM($B$3,$B$4,"Q1",$A21,"period_net_amount")</f>
        <v/>
      </c>
      <c r="D21" s="12">
        <f>EPM($B$3,$B$4,"Q2",$A21,"period_net_amount")</f>
        <v/>
      </c>
      <c r="E21" s="12">
        <f>EPM($B$3,$B$4,"Q3",$A21,"period_net_amount")</f>
        <v/>
      </c>
      <c r="F21" s="12">
        <f>EPM($B$3,$B$4,"Q4",$A21,"period_net_amount")</f>
        <v/>
      </c>
      <c r="G21" s="12">
        <f>EPM($B$3,$B$4,"H1",$A21,"period_net_amount")</f>
        <v/>
      </c>
      <c r="H21" s="12">
        <f>EPM($B$3,$B$4,"H2",$A21,"period_net_amount")</f>
        <v/>
      </c>
      <c r="I21" s="12">
        <f>EPM($B$3,$B$4,"FY",$A21,"period_net_amount")</f>
        <v/>
      </c>
    </row>
    <row r="22">
      <c r="A22" s="7" t="inlineStr">
        <is>
          <t>200190</t>
        </is>
      </c>
      <c r="B22" s="8" t="inlineStr">
        <is>
          <t>Accrued Purchases - Other</t>
        </is>
      </c>
      <c r="C22" s="9">
        <f>EPM($B$3,$B$4,"Q1",$A22,"period_net_amount")</f>
        <v/>
      </c>
      <c r="D22" s="9">
        <f>EPM($B$3,$B$4,"Q2",$A22,"period_net_amount")</f>
        <v/>
      </c>
      <c r="E22" s="9">
        <f>EPM($B$3,$B$4,"Q3",$A22,"period_net_amount")</f>
        <v/>
      </c>
      <c r="F22" s="9">
        <f>EPM($B$3,$B$4,"Q4",$A22,"period_net_amount")</f>
        <v/>
      </c>
      <c r="G22" s="9">
        <f>EPM($B$3,$B$4,"H1",$A22,"period_net_amount")</f>
        <v/>
      </c>
      <c r="H22" s="9">
        <f>EPM($B$3,$B$4,"H2",$A22,"period_net_amount")</f>
        <v/>
      </c>
      <c r="I22" s="9">
        <f>EPM($B$3,$B$4,"FY",$A22,"period_net_amount")</f>
        <v/>
      </c>
    </row>
    <row r="23">
      <c r="A23" s="36" t="n"/>
      <c r="B23" s="37" t="inlineStr">
        <is>
          <t>Net Cash from Operating Activities</t>
        </is>
      </c>
      <c r="C23" s="38">
        <f>C8+C10+C11+C12+C13+C15+C16+C17+C18+C19+C20+C21+C22</f>
        <v/>
      </c>
      <c r="D23" s="38">
        <f>D8+D10+D11+D12+D13+D15+D16+D17+D18+D19+D20+D21+D22</f>
        <v/>
      </c>
      <c r="E23" s="38">
        <f>E8+E10+E11+E12+E13+E15+E16+E17+E18+E19+E20+E21+E22</f>
        <v/>
      </c>
      <c r="F23" s="38">
        <f>F8+F10+F11+F12+F13+F15+F16+F17+F18+F19+F20+F21+F22</f>
        <v/>
      </c>
      <c r="G23" s="38">
        <f>G8+G10+G11+G12+G13+G15+G16+G17+G18+G19+G20+G21+G22</f>
        <v/>
      </c>
      <c r="H23" s="38">
        <f>H8+H10+H11+H12+H13+H15+H16+H17+H18+H19+H20+H21+H22</f>
        <v/>
      </c>
      <c r="I23" s="38">
        <f>I8+I10+I11+I12+I13+I15+I16+I17+I18+I19+I20+I21+I22</f>
        <v/>
      </c>
    </row>
    <row r="25">
      <c r="B25" s="32" t="inlineStr">
        <is>
          <t>Investing Activities</t>
        </is>
      </c>
    </row>
    <row r="26">
      <c r="A26" s="7" t="inlineStr">
        <is>
          <t>180100</t>
        </is>
      </c>
      <c r="B26" s="8" t="inlineStr">
        <is>
          <t>Purchase of Fixed Assets</t>
        </is>
      </c>
      <c r="C26" s="9">
        <f>EPM($B$3,$B$4,"Q1",$A26,"period_net_amount")</f>
        <v/>
      </c>
      <c r="D26" s="9">
        <f>EPM($B$3,$B$4,"Q2",$A26,"period_net_amount")</f>
        <v/>
      </c>
      <c r="E26" s="9">
        <f>EPM($B$3,$B$4,"Q3",$A26,"period_net_amount")</f>
        <v/>
      </c>
      <c r="F26" s="9">
        <f>EPM($B$3,$B$4,"Q4",$A26,"period_net_amount")</f>
        <v/>
      </c>
      <c r="G26" s="9">
        <f>EPM($B$3,$B$4,"H1",$A26,"period_net_amount")</f>
        <v/>
      </c>
      <c r="H26" s="9">
        <f>EPM($B$3,$B$4,"H2",$A26,"period_net_amount")</f>
        <v/>
      </c>
      <c r="I26" s="9">
        <f>EPM($B$3,$B$4,"FY",$A26,"period_net_amount")</f>
        <v/>
      </c>
    </row>
    <row r="27">
      <c r="A27" s="10" t="inlineStr">
        <is>
          <t>180141</t>
        </is>
      </c>
      <c r="B27" s="11" t="inlineStr">
        <is>
          <t>Assets Under Construction</t>
        </is>
      </c>
      <c r="C27" s="12">
        <f>EPM($B$3,$B$4,"Q1",$A27,"period_net_amount")</f>
        <v/>
      </c>
      <c r="D27" s="12">
        <f>EPM($B$3,$B$4,"Q2",$A27,"period_net_amount")</f>
        <v/>
      </c>
      <c r="E27" s="12">
        <f>EPM($B$3,$B$4,"Q3",$A27,"period_net_amount")</f>
        <v/>
      </c>
      <c r="F27" s="12">
        <f>EPM($B$3,$B$4,"Q4",$A27,"period_net_amount")</f>
        <v/>
      </c>
      <c r="G27" s="12">
        <f>EPM($B$3,$B$4,"H1",$A27,"period_net_amount")</f>
        <v/>
      </c>
      <c r="H27" s="12">
        <f>EPM($B$3,$B$4,"H2",$A27,"period_net_amount")</f>
        <v/>
      </c>
      <c r="I27" s="12">
        <f>EPM($B$3,$B$4,"FY",$A27,"period_net_amount")</f>
        <v/>
      </c>
    </row>
    <row r="28">
      <c r="A28" s="7" t="inlineStr">
        <is>
          <t>180140</t>
        </is>
      </c>
      <c r="B28" s="8" t="inlineStr">
        <is>
          <t>Purchase of Intangible Assets</t>
        </is>
      </c>
      <c r="C28" s="9">
        <f>EPM($B$3,$B$4,"Q1",$A28,"period_net_amount")</f>
        <v/>
      </c>
      <c r="D28" s="9">
        <f>EPM($B$3,$B$4,"Q2",$A28,"period_net_amount")</f>
        <v/>
      </c>
      <c r="E28" s="9">
        <f>EPM($B$3,$B$4,"Q3",$A28,"period_net_amount")</f>
        <v/>
      </c>
      <c r="F28" s="9">
        <f>EPM($B$3,$B$4,"Q4",$A28,"period_net_amount")</f>
        <v/>
      </c>
      <c r="G28" s="9">
        <f>EPM($B$3,$B$4,"H1",$A28,"period_net_amount")</f>
        <v/>
      </c>
      <c r="H28" s="9">
        <f>EPM($B$3,$B$4,"H2",$A28,"period_net_amount")</f>
        <v/>
      </c>
      <c r="I28" s="9">
        <f>EPM($B$3,$B$4,"FY",$A28,"period_net_amount")</f>
        <v/>
      </c>
    </row>
    <row r="29">
      <c r="A29" s="10" t="inlineStr">
        <is>
          <t>120200</t>
        </is>
      </c>
      <c r="B29" s="11" t="inlineStr">
        <is>
          <t>Marketable Securities</t>
        </is>
      </c>
      <c r="C29" s="12">
        <f>EPM($B$3,$B$4,"Q1",$A29,"period_net_amount")</f>
        <v/>
      </c>
      <c r="D29" s="12">
        <f>EPM($B$3,$B$4,"Q2",$A29,"period_net_amount")</f>
        <v/>
      </c>
      <c r="E29" s="12">
        <f>EPM($B$3,$B$4,"Q3",$A29,"period_net_amount")</f>
        <v/>
      </c>
      <c r="F29" s="12">
        <f>EPM($B$3,$B$4,"Q4",$A29,"period_net_amount")</f>
        <v/>
      </c>
      <c r="G29" s="12">
        <f>EPM($B$3,$B$4,"H1",$A29,"period_net_amount")</f>
        <v/>
      </c>
      <c r="H29" s="12">
        <f>EPM($B$3,$B$4,"H2",$A29,"period_net_amount")</f>
        <v/>
      </c>
      <c r="I29" s="12">
        <f>EPM($B$3,$B$4,"FY",$A29,"period_net_amount")</f>
        <v/>
      </c>
    </row>
    <row r="30">
      <c r="A30" s="36" t="n"/>
      <c r="B30" s="37" t="inlineStr">
        <is>
          <t>Net Cash from Investing Activities</t>
        </is>
      </c>
      <c r="C30" s="38">
        <f>C26+C27+C28+C29</f>
        <v/>
      </c>
      <c r="D30" s="38">
        <f>D26+D27+D28+D29</f>
        <v/>
      </c>
      <c r="E30" s="38">
        <f>E26+E27+E28+E29</f>
        <v/>
      </c>
      <c r="F30" s="38">
        <f>F26+F27+F28+F29</f>
        <v/>
      </c>
      <c r="G30" s="38">
        <f>G26+G27+G28+G29</f>
        <v/>
      </c>
      <c r="H30" s="38">
        <f>H26+H27+H28+H29</f>
        <v/>
      </c>
      <c r="I30" s="38">
        <f>I26+I27+I28+I29</f>
        <v/>
      </c>
    </row>
    <row r="32">
      <c r="B32" s="32" t="inlineStr">
        <is>
          <t>Financing Activities</t>
        </is>
      </c>
    </row>
    <row r="33">
      <c r="A33" s="7" t="inlineStr">
        <is>
          <t>250100</t>
        </is>
      </c>
      <c r="B33" s="8" t="inlineStr">
        <is>
          <t>Long-term Bank Loans</t>
        </is>
      </c>
      <c r="C33" s="9">
        <f>EPM($B$3,$B$4,"Q1",$A33,"period_net_amount")</f>
        <v/>
      </c>
      <c r="D33" s="9">
        <f>EPM($B$3,$B$4,"Q2",$A33,"period_net_amount")</f>
        <v/>
      </c>
      <c r="E33" s="9">
        <f>EPM($B$3,$B$4,"Q3",$A33,"period_net_amount")</f>
        <v/>
      </c>
      <c r="F33" s="9">
        <f>EPM($B$3,$B$4,"Q4",$A33,"period_net_amount")</f>
        <v/>
      </c>
      <c r="G33" s="9">
        <f>EPM($B$3,$B$4,"H1",$A33,"period_net_amount")</f>
        <v/>
      </c>
      <c r="H33" s="9">
        <f>EPM($B$3,$B$4,"H2",$A33,"period_net_amount")</f>
        <v/>
      </c>
      <c r="I33" s="9">
        <f>EPM($B$3,$B$4,"FY",$A33,"period_net_amount")</f>
        <v/>
      </c>
    </row>
    <row r="34">
      <c r="A34" s="10" t="inlineStr">
        <is>
          <t>250200</t>
        </is>
      </c>
      <c r="B34" s="11" t="inlineStr">
        <is>
          <t>Notes Payable</t>
        </is>
      </c>
      <c r="C34" s="12">
        <f>EPM($B$3,$B$4,"Q1",$A34,"period_net_amount")</f>
        <v/>
      </c>
      <c r="D34" s="12">
        <f>EPM($B$3,$B$4,"Q2",$A34,"period_net_amount")</f>
        <v/>
      </c>
      <c r="E34" s="12">
        <f>EPM($B$3,$B$4,"Q3",$A34,"period_net_amount")</f>
        <v/>
      </c>
      <c r="F34" s="12">
        <f>EPM($B$3,$B$4,"Q4",$A34,"period_net_amount")</f>
        <v/>
      </c>
      <c r="G34" s="12">
        <f>EPM($B$3,$B$4,"H1",$A34,"period_net_amount")</f>
        <v/>
      </c>
      <c r="H34" s="12">
        <f>EPM($B$3,$B$4,"H2",$A34,"period_net_amount")</f>
        <v/>
      </c>
      <c r="I34" s="12">
        <f>EPM($B$3,$B$4,"FY",$A34,"period_net_amount")</f>
        <v/>
      </c>
    </row>
    <row r="35">
      <c r="A35" s="7" t="inlineStr">
        <is>
          <t>250300</t>
        </is>
      </c>
      <c r="B35" s="8" t="inlineStr">
        <is>
          <t>Mortgage Payable</t>
        </is>
      </c>
      <c r="C35" s="9">
        <f>EPM($B$3,$B$4,"Q1",$A35,"period_net_amount")</f>
        <v/>
      </c>
      <c r="D35" s="9">
        <f>EPM($B$3,$B$4,"Q2",$A35,"period_net_amount")</f>
        <v/>
      </c>
      <c r="E35" s="9">
        <f>EPM($B$3,$B$4,"Q3",$A35,"period_net_amount")</f>
        <v/>
      </c>
      <c r="F35" s="9">
        <f>EPM($B$3,$B$4,"Q4",$A35,"period_net_amount")</f>
        <v/>
      </c>
      <c r="G35" s="9">
        <f>EPM($B$3,$B$4,"H1",$A35,"period_net_amount")</f>
        <v/>
      </c>
      <c r="H35" s="9">
        <f>EPM($B$3,$B$4,"H2",$A35,"period_net_amount")</f>
        <v/>
      </c>
      <c r="I35" s="9">
        <f>EPM($B$3,$B$4,"FY",$A35,"period_net_amount")</f>
        <v/>
      </c>
    </row>
    <row r="36">
      <c r="A36" s="10" t="inlineStr">
        <is>
          <t>300110</t>
        </is>
      </c>
      <c r="B36" s="11" t="inlineStr">
        <is>
          <t>Capital Stock</t>
        </is>
      </c>
      <c r="C36" s="12">
        <f>EPM($B$3,$B$4,"Q1",$A36,"period_net_amount")</f>
        <v/>
      </c>
      <c r="D36" s="12">
        <f>EPM($B$3,$B$4,"Q2",$A36,"period_net_amount")</f>
        <v/>
      </c>
      <c r="E36" s="12">
        <f>EPM($B$3,$B$4,"Q3",$A36,"period_net_amount")</f>
        <v/>
      </c>
      <c r="F36" s="12">
        <f>EPM($B$3,$B$4,"Q4",$A36,"period_net_amount")</f>
        <v/>
      </c>
      <c r="G36" s="12">
        <f>EPM($B$3,$B$4,"H1",$A36,"period_net_amount")</f>
        <v/>
      </c>
      <c r="H36" s="12">
        <f>EPM($B$3,$B$4,"H2",$A36,"period_net_amount")</f>
        <v/>
      </c>
      <c r="I36" s="12">
        <f>EPM($B$3,$B$4,"FY",$A36,"period_net_amount")</f>
        <v/>
      </c>
    </row>
    <row r="37">
      <c r="A37" s="7" t="inlineStr">
        <is>
          <t>300130</t>
        </is>
      </c>
      <c r="B37" s="8" t="inlineStr">
        <is>
          <t>Dividends Paid</t>
        </is>
      </c>
      <c r="C37" s="9">
        <f>EPM($B$3,$B$4,"Q1",$A37,"period_net_amount")</f>
        <v/>
      </c>
      <c r="D37" s="9">
        <f>EPM($B$3,$B$4,"Q2",$A37,"period_net_amount")</f>
        <v/>
      </c>
      <c r="E37" s="9">
        <f>EPM($B$3,$B$4,"Q3",$A37,"period_net_amount")</f>
        <v/>
      </c>
      <c r="F37" s="9">
        <f>EPM($B$3,$B$4,"Q4",$A37,"period_net_amount")</f>
        <v/>
      </c>
      <c r="G37" s="9">
        <f>EPM($B$3,$B$4,"H1",$A37,"period_net_amount")</f>
        <v/>
      </c>
      <c r="H37" s="9">
        <f>EPM($B$3,$B$4,"H2",$A37,"period_net_amount")</f>
        <v/>
      </c>
      <c r="I37" s="9">
        <f>EPM($B$3,$B$4,"FY",$A37,"period_net_amount")</f>
        <v/>
      </c>
    </row>
    <row r="38">
      <c r="A38" s="36" t="n"/>
      <c r="B38" s="37" t="inlineStr">
        <is>
          <t>Net Cash from Financing Activities</t>
        </is>
      </c>
      <c r="C38" s="38">
        <f>C33+C34+C35+C36+C37</f>
        <v/>
      </c>
      <c r="D38" s="38">
        <f>D33+D34+D35+D36+D37</f>
        <v/>
      </c>
      <c r="E38" s="38">
        <f>E33+E34+E35+E36+E37</f>
        <v/>
      </c>
      <c r="F38" s="38">
        <f>F33+F34+F35+F36+F37</f>
        <v/>
      </c>
      <c r="G38" s="38">
        <f>G33+G34+G35+G36+G37</f>
        <v/>
      </c>
      <c r="H38" s="38">
        <f>H33+H34+H35+H36+H37</f>
        <v/>
      </c>
      <c r="I38" s="38">
        <f>I33+I34+I35+I36+I37</f>
        <v/>
      </c>
    </row>
    <row r="40">
      <c r="A40" s="36" t="n"/>
      <c r="B40" s="39" t="inlineStr">
        <is>
          <t>Net Change in Cash</t>
        </is>
      </c>
      <c r="C40" s="40">
        <f>C23+C30+C38</f>
        <v/>
      </c>
      <c r="D40" s="40">
        <f>D23+D30+D38</f>
        <v/>
      </c>
      <c r="E40" s="40">
        <f>E23+E30+E38</f>
        <v/>
      </c>
      <c r="F40" s="40">
        <f>F23+F30+F38</f>
        <v/>
      </c>
      <c r="G40" s="40">
        <f>G23+G30+G38</f>
        <v/>
      </c>
      <c r="H40" s="40">
        <f>H23+H30+H38</f>
        <v/>
      </c>
      <c r="I40" s="40">
        <f>I23+I30+I38</f>
        <v/>
      </c>
    </row>
    <row r="42">
      <c r="B42" s="32" t="inlineStr">
        <is>
          <t>Cash Position</t>
        </is>
      </c>
    </row>
    <row r="43">
      <c r="B43" s="11" t="inlineStr">
        <is>
          <t>Opening Cash (prior year-end)</t>
        </is>
      </c>
      <c r="C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D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E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F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G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H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I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</row>
    <row r="44">
      <c r="B44" s="11" t="inlineStr">
        <is>
          <t>Net Change in Cash (above)</t>
        </is>
      </c>
      <c r="C44" s="12">
        <f>C40</f>
        <v/>
      </c>
      <c r="D44" s="12">
        <f>D40</f>
        <v/>
      </c>
      <c r="E44" s="12">
        <f>E40</f>
        <v/>
      </c>
      <c r="F44" s="12">
        <f>F40</f>
        <v/>
      </c>
      <c r="G44" s="12">
        <f>G40</f>
        <v/>
      </c>
      <c r="H44" s="12">
        <f>H40</f>
        <v/>
      </c>
      <c r="I44" s="12">
        <f>I40</f>
        <v/>
      </c>
    </row>
    <row r="45">
      <c r="A45" s="36" t="n"/>
      <c r="B45" s="39" t="inlineStr">
        <is>
          <t>Closing Cash</t>
        </is>
      </c>
      <c r="C45" s="41">
        <f>C43+C44</f>
        <v/>
      </c>
      <c r="D45" s="41">
        <f>D43+D44</f>
        <v/>
      </c>
      <c r="E45" s="41">
        <f>E43+E44</f>
        <v/>
      </c>
      <c r="F45" s="41">
        <f>F43+F44</f>
        <v/>
      </c>
      <c r="G45" s="41">
        <f>G43+G44</f>
        <v/>
      </c>
      <c r="H45" s="41">
        <f>H43+H44</f>
        <v/>
      </c>
      <c r="I45" s="41">
        <f>I43+I44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Profit &amp; Loss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3">
      <c r="A3" s="3" t="inlineStr">
        <is>
          <t>Entity</t>
        </is>
      </c>
      <c r="B3" s="4" t="inlineStr">
        <is>
          <t>DEMF</t>
        </is>
      </c>
      <c r="D3" s="3" t="inlineStr">
        <is>
          <t>Measure</t>
        </is>
      </c>
      <c r="E3" s="4" t="inlineStr">
        <is>
          <t>period_net_amount</t>
        </is>
      </c>
    </row>
    <row r="4">
      <c r="A4" s="3" t="inlineStr">
        <is>
          <t>Year</t>
        </is>
      </c>
      <c r="B4" s="4" t="n">
        <v>2024</v>
      </c>
    </row>
    <row r="6">
      <c r="A6" s="5" t="inlineStr">
        <is>
          <t>Account</t>
        </is>
      </c>
      <c r="B6" s="5" t="inlineStr">
        <is>
          <t>Description</t>
        </is>
      </c>
      <c r="C6" s="6" t="inlineStr">
        <is>
          <t>Jan</t>
        </is>
      </c>
      <c r="D6" s="6" t="inlineStr">
        <is>
          <t>Feb</t>
        </is>
      </c>
      <c r="E6" s="6" t="inlineStr">
        <is>
          <t>Mar</t>
        </is>
      </c>
      <c r="F6" s="6" t="inlineStr">
        <is>
          <t>Q1</t>
        </is>
      </c>
      <c r="G6" s="6" t="inlineStr">
        <is>
          <t>Apr</t>
        </is>
      </c>
      <c r="H6" s="6" t="inlineStr">
        <is>
          <t>May</t>
        </is>
      </c>
      <c r="I6" s="6" t="inlineStr">
        <is>
          <t>Jun</t>
        </is>
      </c>
      <c r="J6" s="6" t="inlineStr">
        <is>
          <t>Q2</t>
        </is>
      </c>
      <c r="K6" s="6" t="inlineStr">
        <is>
          <t>Jul</t>
        </is>
      </c>
      <c r="L6" s="6" t="inlineStr">
        <is>
          <t>Aug</t>
        </is>
      </c>
      <c r="M6" s="6" t="inlineStr">
        <is>
          <t>Sep</t>
        </is>
      </c>
      <c r="N6" s="6" t="inlineStr">
        <is>
          <t>Q3</t>
        </is>
      </c>
      <c r="O6" s="6" t="inlineStr">
        <is>
          <t>Oct</t>
        </is>
      </c>
      <c r="P6" s="6" t="inlineStr">
        <is>
          <t>Nov</t>
        </is>
      </c>
      <c r="Q6" s="6" t="inlineStr">
        <is>
          <t>Dec</t>
        </is>
      </c>
      <c r="R6" s="6" t="inlineStr">
        <is>
          <t>Q4</t>
        </is>
      </c>
      <c r="S6" s="6" t="inlineStr">
        <is>
          <t>H1</t>
        </is>
      </c>
      <c r="T6" s="6" t="inlineStr">
        <is>
          <t>H2</t>
        </is>
      </c>
      <c r="U6" s="6" t="inlineStr">
        <is>
          <t>Full Year</t>
        </is>
      </c>
    </row>
    <row r="7">
      <c r="B7" s="3" t="inlineStr">
        <is>
          <t>Revenue</t>
        </is>
      </c>
    </row>
    <row r="8">
      <c r="A8" s="7" t="inlineStr">
        <is>
          <t>401100</t>
        </is>
      </c>
      <c r="B8" s="8" t="inlineStr">
        <is>
          <t>Product Sales</t>
        </is>
      </c>
      <c r="C8" s="9">
        <f>-EPM($B$3,$B$4,1,$A8,"period_net_amount")</f>
        <v/>
      </c>
      <c r="D8" s="9">
        <f>-EPM($B$3,$B$4,2,$A8,"period_net_amount")</f>
        <v/>
      </c>
      <c r="E8" s="9">
        <f>-EPM($B$3,$B$4,3,$A8,"period_net_amount")</f>
        <v/>
      </c>
      <c r="F8" s="9">
        <f>-EPM($B$3,$B$4,"Q1",$A8,"period_net_amount")</f>
        <v/>
      </c>
      <c r="G8" s="9">
        <f>-EPM($B$3,$B$4,4,$A8,"period_net_amount")</f>
        <v/>
      </c>
      <c r="H8" s="9">
        <f>-EPM($B$3,$B$4,5,$A8,"period_net_amount")</f>
        <v/>
      </c>
      <c r="I8" s="9">
        <f>-EPM($B$3,$B$4,6,$A8,"period_net_amount")</f>
        <v/>
      </c>
      <c r="J8" s="9">
        <f>-EPM($B$3,$B$4,"Q2",$A8,"period_net_amount")</f>
        <v/>
      </c>
      <c r="K8" s="9">
        <f>-EPM($B$3,$B$4,7,$A8,"period_net_amount")</f>
        <v/>
      </c>
      <c r="L8" s="9">
        <f>-EPM($B$3,$B$4,8,$A8,"period_net_amount")</f>
        <v/>
      </c>
      <c r="M8" s="9">
        <f>-EPM($B$3,$B$4,9,$A8,"period_net_amount")</f>
        <v/>
      </c>
      <c r="N8" s="9">
        <f>-EPM($B$3,$B$4,"Q3",$A8,"period_net_amount")</f>
        <v/>
      </c>
      <c r="O8" s="9">
        <f>-EPM($B$3,$B$4,10,$A8,"period_net_amount")</f>
        <v/>
      </c>
      <c r="P8" s="9">
        <f>-EPM($B$3,$B$4,11,$A8,"period_net_amount")</f>
        <v/>
      </c>
      <c r="Q8" s="9">
        <f>-EPM($B$3,$B$4,12,$A8,"period_net_amount")</f>
        <v/>
      </c>
      <c r="R8" s="9">
        <f>-EPM($B$3,$B$4,"Q4",$A8,"period_net_amount")</f>
        <v/>
      </c>
      <c r="S8" s="9">
        <f>-EPM($B$3,$B$4,"H1",$A8,"period_net_amount")</f>
        <v/>
      </c>
      <c r="T8" s="9">
        <f>-EPM($B$3,$B$4,"H2",$A8,"period_net_amount")</f>
        <v/>
      </c>
      <c r="U8" s="9">
        <f>-EPM($B$3,$B$4,"FY",$A8,"period_net_amount")</f>
        <v/>
      </c>
    </row>
    <row r="9">
      <c r="A9" s="10" t="inlineStr">
        <is>
          <t>401200</t>
        </is>
      </c>
      <c r="B9" s="11" t="inlineStr">
        <is>
          <t>Service Revenue</t>
        </is>
      </c>
      <c r="C9" s="12">
        <f>-EPM($B$3,$B$4,1,$A9,"period_net_amount")</f>
        <v/>
      </c>
      <c r="D9" s="12">
        <f>-EPM($B$3,$B$4,2,$A9,"period_net_amount")</f>
        <v/>
      </c>
      <c r="E9" s="12">
        <f>-EPM($B$3,$B$4,3,$A9,"period_net_amount")</f>
        <v/>
      </c>
      <c r="F9" s="12">
        <f>-EPM($B$3,$B$4,"Q1",$A9,"period_net_amount")</f>
        <v/>
      </c>
      <c r="G9" s="12">
        <f>-EPM($B$3,$B$4,4,$A9,"period_net_amount")</f>
        <v/>
      </c>
      <c r="H9" s="12">
        <f>-EPM($B$3,$B$4,5,$A9,"period_net_amount")</f>
        <v/>
      </c>
      <c r="I9" s="12">
        <f>-EPM($B$3,$B$4,6,$A9,"period_net_amount")</f>
        <v/>
      </c>
      <c r="J9" s="12">
        <f>-EPM($B$3,$B$4,"Q2",$A9,"period_net_amount")</f>
        <v/>
      </c>
      <c r="K9" s="12">
        <f>-EPM($B$3,$B$4,7,$A9,"period_net_amount")</f>
        <v/>
      </c>
      <c r="L9" s="12">
        <f>-EPM($B$3,$B$4,8,$A9,"period_net_amount")</f>
        <v/>
      </c>
      <c r="M9" s="12">
        <f>-EPM($B$3,$B$4,9,$A9,"period_net_amount")</f>
        <v/>
      </c>
      <c r="N9" s="12">
        <f>-EPM($B$3,$B$4,"Q3",$A9,"period_net_amount")</f>
        <v/>
      </c>
      <c r="O9" s="12">
        <f>-EPM($B$3,$B$4,10,$A9,"period_net_amount")</f>
        <v/>
      </c>
      <c r="P9" s="12">
        <f>-EPM($B$3,$B$4,11,$A9,"period_net_amount")</f>
        <v/>
      </c>
      <c r="Q9" s="12">
        <f>-EPM($B$3,$B$4,12,$A9,"period_net_amount")</f>
        <v/>
      </c>
      <c r="R9" s="12">
        <f>-EPM($B$3,$B$4,"Q4",$A9,"period_net_amount")</f>
        <v/>
      </c>
      <c r="S9" s="12">
        <f>-EPM($B$3,$B$4,"H1",$A9,"period_net_amount")</f>
        <v/>
      </c>
      <c r="T9" s="12">
        <f>-EPM($B$3,$B$4,"H2",$A9,"period_net_amount")</f>
        <v/>
      </c>
      <c r="U9" s="12">
        <f>-EPM($B$3,$B$4,"FY",$A9,"period_net_amount")</f>
        <v/>
      </c>
    </row>
    <row r="10">
      <c r="A10" s="7" t="inlineStr">
        <is>
          <t>401300</t>
        </is>
      </c>
      <c r="B10" s="8" t="inlineStr">
        <is>
          <t>Other Revenue</t>
        </is>
      </c>
      <c r="C10" s="9">
        <f>-EPM($B$3,$B$4,1,$A10,"period_net_amount")</f>
        <v/>
      </c>
      <c r="D10" s="9">
        <f>-EPM($B$3,$B$4,2,$A10,"period_net_amount")</f>
        <v/>
      </c>
      <c r="E10" s="9">
        <f>-EPM($B$3,$B$4,3,$A10,"period_net_amount")</f>
        <v/>
      </c>
      <c r="F10" s="9">
        <f>-EPM($B$3,$B$4,"Q1",$A10,"period_net_amount")</f>
        <v/>
      </c>
      <c r="G10" s="9">
        <f>-EPM($B$3,$B$4,4,$A10,"period_net_amount")</f>
        <v/>
      </c>
      <c r="H10" s="9">
        <f>-EPM($B$3,$B$4,5,$A10,"period_net_amount")</f>
        <v/>
      </c>
      <c r="I10" s="9">
        <f>-EPM($B$3,$B$4,6,$A10,"period_net_amount")</f>
        <v/>
      </c>
      <c r="J10" s="9">
        <f>-EPM($B$3,$B$4,"Q2",$A10,"period_net_amount")</f>
        <v/>
      </c>
      <c r="K10" s="9">
        <f>-EPM($B$3,$B$4,7,$A10,"period_net_amount")</f>
        <v/>
      </c>
      <c r="L10" s="9">
        <f>-EPM($B$3,$B$4,8,$A10,"period_net_amount")</f>
        <v/>
      </c>
      <c r="M10" s="9">
        <f>-EPM($B$3,$B$4,9,$A10,"period_net_amount")</f>
        <v/>
      </c>
      <c r="N10" s="9">
        <f>-EPM($B$3,$B$4,"Q3",$A10,"period_net_amount")</f>
        <v/>
      </c>
      <c r="O10" s="9">
        <f>-EPM($B$3,$B$4,10,$A10,"period_net_amount")</f>
        <v/>
      </c>
      <c r="P10" s="9">
        <f>-EPM($B$3,$B$4,11,$A10,"period_net_amount")</f>
        <v/>
      </c>
      <c r="Q10" s="9">
        <f>-EPM($B$3,$B$4,12,$A10,"period_net_amount")</f>
        <v/>
      </c>
      <c r="R10" s="9">
        <f>-EPM($B$3,$B$4,"Q4",$A10,"period_net_amount")</f>
        <v/>
      </c>
      <c r="S10" s="9">
        <f>-EPM($B$3,$B$4,"H1",$A10,"period_net_amount")</f>
        <v/>
      </c>
      <c r="T10" s="9">
        <f>-EPM($B$3,$B$4,"H2",$A10,"period_net_amount")</f>
        <v/>
      </c>
      <c r="U10" s="9">
        <f>-EPM($B$3,$B$4,"FY",$A10,"period_net_amount")</f>
        <v/>
      </c>
    </row>
    <row r="11">
      <c r="A11" s="10" t="inlineStr">
        <is>
          <t>401400</t>
        </is>
      </c>
      <c r="B11" s="11" t="inlineStr">
        <is>
          <t>Accrued Sales</t>
        </is>
      </c>
      <c r="C11" s="12">
        <f>-EPM($B$3,$B$4,1,$A11,"period_net_amount")</f>
        <v/>
      </c>
      <c r="D11" s="12">
        <f>-EPM($B$3,$B$4,2,$A11,"period_net_amount")</f>
        <v/>
      </c>
      <c r="E11" s="12">
        <f>-EPM($B$3,$B$4,3,$A11,"period_net_amount")</f>
        <v/>
      </c>
      <c r="F11" s="12">
        <f>-EPM($B$3,$B$4,"Q1",$A11,"period_net_amount")</f>
        <v/>
      </c>
      <c r="G11" s="12">
        <f>-EPM($B$3,$B$4,4,$A11,"period_net_amount")</f>
        <v/>
      </c>
      <c r="H11" s="12">
        <f>-EPM($B$3,$B$4,5,$A11,"period_net_amount")</f>
        <v/>
      </c>
      <c r="I11" s="12">
        <f>-EPM($B$3,$B$4,6,$A11,"period_net_amount")</f>
        <v/>
      </c>
      <c r="J11" s="12">
        <f>-EPM($B$3,$B$4,"Q2",$A11,"period_net_amount")</f>
        <v/>
      </c>
      <c r="K11" s="12">
        <f>-EPM($B$3,$B$4,7,$A11,"period_net_amount")</f>
        <v/>
      </c>
      <c r="L11" s="12">
        <f>-EPM($B$3,$B$4,8,$A11,"period_net_amount")</f>
        <v/>
      </c>
      <c r="M11" s="12">
        <f>-EPM($B$3,$B$4,9,$A11,"period_net_amount")</f>
        <v/>
      </c>
      <c r="N11" s="12">
        <f>-EPM($B$3,$B$4,"Q3",$A11,"period_net_amount")</f>
        <v/>
      </c>
      <c r="O11" s="12">
        <f>-EPM($B$3,$B$4,10,$A11,"period_net_amount")</f>
        <v/>
      </c>
      <c r="P11" s="12">
        <f>-EPM($B$3,$B$4,11,$A11,"period_net_amount")</f>
        <v/>
      </c>
      <c r="Q11" s="12">
        <f>-EPM($B$3,$B$4,12,$A11,"period_net_amount")</f>
        <v/>
      </c>
      <c r="R11" s="12">
        <f>-EPM($B$3,$B$4,"Q4",$A11,"period_net_amount")</f>
        <v/>
      </c>
      <c r="S11" s="12">
        <f>-EPM($B$3,$B$4,"H1",$A11,"period_net_amount")</f>
        <v/>
      </c>
      <c r="T11" s="12">
        <f>-EPM($B$3,$B$4,"H2",$A11,"period_net_amount")</f>
        <v/>
      </c>
      <c r="U11" s="12">
        <f>-EPM($B$3,$B$4,"FY",$A11,"period_net_amount")</f>
        <v/>
      </c>
    </row>
    <row r="12">
      <c r="A12" s="7" t="inlineStr">
        <is>
          <t>402300</t>
        </is>
      </c>
      <c r="B12" s="8" t="inlineStr">
        <is>
          <t>Intercompany Sales</t>
        </is>
      </c>
      <c r="C12" s="9">
        <f>-EPM($B$3,$B$4,1,$A12,"period_net_amount")</f>
        <v/>
      </c>
      <c r="D12" s="9">
        <f>-EPM($B$3,$B$4,2,$A12,"period_net_amount")</f>
        <v/>
      </c>
      <c r="E12" s="9">
        <f>-EPM($B$3,$B$4,3,$A12,"period_net_amount")</f>
        <v/>
      </c>
      <c r="F12" s="9">
        <f>-EPM($B$3,$B$4,"Q1",$A12,"period_net_amount")</f>
        <v/>
      </c>
      <c r="G12" s="9">
        <f>-EPM($B$3,$B$4,4,$A12,"period_net_amount")</f>
        <v/>
      </c>
      <c r="H12" s="9">
        <f>-EPM($B$3,$B$4,5,$A12,"period_net_amount")</f>
        <v/>
      </c>
      <c r="I12" s="9">
        <f>-EPM($B$3,$B$4,6,$A12,"period_net_amount")</f>
        <v/>
      </c>
      <c r="J12" s="9">
        <f>-EPM($B$3,$B$4,"Q2",$A12,"period_net_amount")</f>
        <v/>
      </c>
      <c r="K12" s="9">
        <f>-EPM($B$3,$B$4,7,$A12,"period_net_amount")</f>
        <v/>
      </c>
      <c r="L12" s="9">
        <f>-EPM($B$3,$B$4,8,$A12,"period_net_amount")</f>
        <v/>
      </c>
      <c r="M12" s="9">
        <f>-EPM($B$3,$B$4,9,$A12,"period_net_amount")</f>
        <v/>
      </c>
      <c r="N12" s="9">
        <f>-EPM($B$3,$B$4,"Q3",$A12,"period_net_amount")</f>
        <v/>
      </c>
      <c r="O12" s="9">
        <f>-EPM($B$3,$B$4,10,$A12,"period_net_amount")</f>
        <v/>
      </c>
      <c r="P12" s="9">
        <f>-EPM($B$3,$B$4,11,$A12,"period_net_amount")</f>
        <v/>
      </c>
      <c r="Q12" s="9">
        <f>-EPM($B$3,$B$4,12,$A12,"period_net_amount")</f>
        <v/>
      </c>
      <c r="R12" s="9">
        <f>-EPM($B$3,$B$4,"Q4",$A12,"period_net_amount")</f>
        <v/>
      </c>
      <c r="S12" s="9">
        <f>-EPM($B$3,$B$4,"H1",$A12,"period_net_amount")</f>
        <v/>
      </c>
      <c r="T12" s="9">
        <f>-EPM($B$3,$B$4,"H2",$A12,"period_net_amount")</f>
        <v/>
      </c>
      <c r="U12" s="9">
        <f>-EPM($B$3,$B$4,"FY",$A12,"period_net_amount")</f>
        <v/>
      </c>
    </row>
    <row r="13">
      <c r="A13" s="10" t="inlineStr">
        <is>
          <t>403150</t>
        </is>
      </c>
      <c r="B13" s="11" t="inlineStr">
        <is>
          <t>Miscellaneous Charges</t>
        </is>
      </c>
      <c r="C13" s="12">
        <f>-EPM($B$3,$B$4,1,$A13,"period_net_amount")</f>
        <v/>
      </c>
      <c r="D13" s="12">
        <f>-EPM($B$3,$B$4,2,$A13,"period_net_amount")</f>
        <v/>
      </c>
      <c r="E13" s="12">
        <f>-EPM($B$3,$B$4,3,$A13,"period_net_amount")</f>
        <v/>
      </c>
      <c r="F13" s="12">
        <f>-EPM($B$3,$B$4,"Q1",$A13,"period_net_amount")</f>
        <v/>
      </c>
      <c r="G13" s="12">
        <f>-EPM($B$3,$B$4,4,$A13,"period_net_amount")</f>
        <v/>
      </c>
      <c r="H13" s="12">
        <f>-EPM($B$3,$B$4,5,$A13,"period_net_amount")</f>
        <v/>
      </c>
      <c r="I13" s="12">
        <f>-EPM($B$3,$B$4,6,$A13,"period_net_amount")</f>
        <v/>
      </c>
      <c r="J13" s="12">
        <f>-EPM($B$3,$B$4,"Q2",$A13,"period_net_amount")</f>
        <v/>
      </c>
      <c r="K13" s="12">
        <f>-EPM($B$3,$B$4,7,$A13,"period_net_amount")</f>
        <v/>
      </c>
      <c r="L13" s="12">
        <f>-EPM($B$3,$B$4,8,$A13,"period_net_amount")</f>
        <v/>
      </c>
      <c r="M13" s="12">
        <f>-EPM($B$3,$B$4,9,$A13,"period_net_amount")</f>
        <v/>
      </c>
      <c r="N13" s="12">
        <f>-EPM($B$3,$B$4,"Q3",$A13,"period_net_amount")</f>
        <v/>
      </c>
      <c r="O13" s="12">
        <f>-EPM($B$3,$B$4,10,$A13,"period_net_amount")</f>
        <v/>
      </c>
      <c r="P13" s="12">
        <f>-EPM($B$3,$B$4,11,$A13,"period_net_amount")</f>
        <v/>
      </c>
      <c r="Q13" s="12">
        <f>-EPM($B$3,$B$4,12,$A13,"period_net_amount")</f>
        <v/>
      </c>
      <c r="R13" s="12">
        <f>-EPM($B$3,$B$4,"Q4",$A13,"period_net_amount")</f>
        <v/>
      </c>
      <c r="S13" s="12">
        <f>-EPM($B$3,$B$4,"H1",$A13,"period_net_amount")</f>
        <v/>
      </c>
      <c r="T13" s="12">
        <f>-EPM($B$3,$B$4,"H2",$A13,"period_net_amount")</f>
        <v/>
      </c>
      <c r="U13" s="12">
        <f>-EPM($B$3,$B$4,"FY",$A13,"period_net_amount")</f>
        <v/>
      </c>
    </row>
    <row r="14">
      <c r="A14" s="7" t="inlineStr">
        <is>
          <t>403300</t>
        </is>
      </c>
      <c r="B14" s="8" t="inlineStr">
        <is>
          <t>Customer Cash Discounts</t>
        </is>
      </c>
      <c r="C14" s="9">
        <f>-EPM($B$3,$B$4,1,$A14,"period_net_amount")</f>
        <v/>
      </c>
      <c r="D14" s="9">
        <f>-EPM($B$3,$B$4,2,$A14,"period_net_amount")</f>
        <v/>
      </c>
      <c r="E14" s="9">
        <f>-EPM($B$3,$B$4,3,$A14,"period_net_amount")</f>
        <v/>
      </c>
      <c r="F14" s="9">
        <f>-EPM($B$3,$B$4,"Q1",$A14,"period_net_amount")</f>
        <v/>
      </c>
      <c r="G14" s="9">
        <f>-EPM($B$3,$B$4,4,$A14,"period_net_amount")</f>
        <v/>
      </c>
      <c r="H14" s="9">
        <f>-EPM($B$3,$B$4,5,$A14,"period_net_amount")</f>
        <v/>
      </c>
      <c r="I14" s="9">
        <f>-EPM($B$3,$B$4,6,$A14,"period_net_amount")</f>
        <v/>
      </c>
      <c r="J14" s="9">
        <f>-EPM($B$3,$B$4,"Q2",$A14,"period_net_amount")</f>
        <v/>
      </c>
      <c r="K14" s="9">
        <f>-EPM($B$3,$B$4,7,$A14,"period_net_amount")</f>
        <v/>
      </c>
      <c r="L14" s="9">
        <f>-EPM($B$3,$B$4,8,$A14,"period_net_amount")</f>
        <v/>
      </c>
      <c r="M14" s="9">
        <f>-EPM($B$3,$B$4,9,$A14,"period_net_amount")</f>
        <v/>
      </c>
      <c r="N14" s="9">
        <f>-EPM($B$3,$B$4,"Q3",$A14,"period_net_amount")</f>
        <v/>
      </c>
      <c r="O14" s="9">
        <f>-EPM($B$3,$B$4,10,$A14,"period_net_amount")</f>
        <v/>
      </c>
      <c r="P14" s="9">
        <f>-EPM($B$3,$B$4,11,$A14,"period_net_amount")</f>
        <v/>
      </c>
      <c r="Q14" s="9">
        <f>-EPM($B$3,$B$4,12,$A14,"period_net_amount")</f>
        <v/>
      </c>
      <c r="R14" s="9">
        <f>-EPM($B$3,$B$4,"Q4",$A14,"period_net_amount")</f>
        <v/>
      </c>
      <c r="S14" s="9">
        <f>-EPM($B$3,$B$4,"H1",$A14,"period_net_amount")</f>
        <v/>
      </c>
      <c r="T14" s="9">
        <f>-EPM($B$3,$B$4,"H2",$A14,"period_net_amount")</f>
        <v/>
      </c>
      <c r="U14" s="9">
        <f>-EPM($B$3,$B$4,"FY",$A14,"period_net_amount")</f>
        <v/>
      </c>
    </row>
    <row r="15">
      <c r="A15" s="10" t="inlineStr">
        <is>
          <t>411100</t>
        </is>
      </c>
      <c r="B15" s="11" t="inlineStr">
        <is>
          <t>Revenue - Labor</t>
        </is>
      </c>
      <c r="C15" s="12">
        <f>-EPM($B$3,$B$4,1,$A15,"period_net_amount")</f>
        <v/>
      </c>
      <c r="D15" s="12">
        <f>-EPM($B$3,$B$4,2,$A15,"period_net_amount")</f>
        <v/>
      </c>
      <c r="E15" s="12">
        <f>-EPM($B$3,$B$4,3,$A15,"period_net_amount")</f>
        <v/>
      </c>
      <c r="F15" s="12">
        <f>-EPM($B$3,$B$4,"Q1",$A15,"period_net_amount")</f>
        <v/>
      </c>
      <c r="G15" s="12">
        <f>-EPM($B$3,$B$4,4,$A15,"period_net_amount")</f>
        <v/>
      </c>
      <c r="H15" s="12">
        <f>-EPM($B$3,$B$4,5,$A15,"period_net_amount")</f>
        <v/>
      </c>
      <c r="I15" s="12">
        <f>-EPM($B$3,$B$4,6,$A15,"period_net_amount")</f>
        <v/>
      </c>
      <c r="J15" s="12">
        <f>-EPM($B$3,$B$4,"Q2",$A15,"period_net_amount")</f>
        <v/>
      </c>
      <c r="K15" s="12">
        <f>-EPM($B$3,$B$4,7,$A15,"period_net_amount")</f>
        <v/>
      </c>
      <c r="L15" s="12">
        <f>-EPM($B$3,$B$4,8,$A15,"period_net_amount")</f>
        <v/>
      </c>
      <c r="M15" s="12">
        <f>-EPM($B$3,$B$4,9,$A15,"period_net_amount")</f>
        <v/>
      </c>
      <c r="N15" s="12">
        <f>-EPM($B$3,$B$4,"Q3",$A15,"period_net_amount")</f>
        <v/>
      </c>
      <c r="O15" s="12">
        <f>-EPM($B$3,$B$4,10,$A15,"period_net_amount")</f>
        <v/>
      </c>
      <c r="P15" s="12">
        <f>-EPM($B$3,$B$4,11,$A15,"period_net_amount")</f>
        <v/>
      </c>
      <c r="Q15" s="12">
        <f>-EPM($B$3,$B$4,12,$A15,"period_net_amount")</f>
        <v/>
      </c>
      <c r="R15" s="12">
        <f>-EPM($B$3,$B$4,"Q4",$A15,"period_net_amount")</f>
        <v/>
      </c>
      <c r="S15" s="12">
        <f>-EPM($B$3,$B$4,"H1",$A15,"period_net_amount")</f>
        <v/>
      </c>
      <c r="T15" s="12">
        <f>-EPM($B$3,$B$4,"H2",$A15,"period_net_amount")</f>
        <v/>
      </c>
      <c r="U15" s="12">
        <f>-EPM($B$3,$B$4,"FY",$A15,"period_net_amount")</f>
        <v/>
      </c>
    </row>
    <row r="16">
      <c r="A16" s="7" t="inlineStr">
        <is>
          <t>411400</t>
        </is>
      </c>
      <c r="B16" s="8" t="inlineStr">
        <is>
          <t>Revenue - Fees</t>
        </is>
      </c>
      <c r="C16" s="9">
        <f>-EPM($B$3,$B$4,1,$A16,"period_net_amount")</f>
        <v/>
      </c>
      <c r="D16" s="9">
        <f>-EPM($B$3,$B$4,2,$A16,"period_net_amount")</f>
        <v/>
      </c>
      <c r="E16" s="9">
        <f>-EPM($B$3,$B$4,3,$A16,"period_net_amount")</f>
        <v/>
      </c>
      <c r="F16" s="9">
        <f>-EPM($B$3,$B$4,"Q1",$A16,"period_net_amount")</f>
        <v/>
      </c>
      <c r="G16" s="9">
        <f>-EPM($B$3,$B$4,4,$A16,"period_net_amount")</f>
        <v/>
      </c>
      <c r="H16" s="9">
        <f>-EPM($B$3,$B$4,5,$A16,"period_net_amount")</f>
        <v/>
      </c>
      <c r="I16" s="9">
        <f>-EPM($B$3,$B$4,6,$A16,"period_net_amount")</f>
        <v/>
      </c>
      <c r="J16" s="9">
        <f>-EPM($B$3,$B$4,"Q2",$A16,"period_net_amount")</f>
        <v/>
      </c>
      <c r="K16" s="9">
        <f>-EPM($B$3,$B$4,7,$A16,"period_net_amount")</f>
        <v/>
      </c>
      <c r="L16" s="9">
        <f>-EPM($B$3,$B$4,8,$A16,"period_net_amount")</f>
        <v/>
      </c>
      <c r="M16" s="9">
        <f>-EPM($B$3,$B$4,9,$A16,"period_net_amount")</f>
        <v/>
      </c>
      <c r="N16" s="9">
        <f>-EPM($B$3,$B$4,"Q3",$A16,"period_net_amount")</f>
        <v/>
      </c>
      <c r="O16" s="9">
        <f>-EPM($B$3,$B$4,10,$A16,"period_net_amount")</f>
        <v/>
      </c>
      <c r="P16" s="9">
        <f>-EPM($B$3,$B$4,11,$A16,"period_net_amount")</f>
        <v/>
      </c>
      <c r="Q16" s="9">
        <f>-EPM($B$3,$B$4,12,$A16,"period_net_amount")</f>
        <v/>
      </c>
      <c r="R16" s="9">
        <f>-EPM($B$3,$B$4,"Q4",$A16,"period_net_amount")</f>
        <v/>
      </c>
      <c r="S16" s="9">
        <f>-EPM($B$3,$B$4,"H1",$A16,"period_net_amount")</f>
        <v/>
      </c>
      <c r="T16" s="9">
        <f>-EPM($B$3,$B$4,"H2",$A16,"period_net_amount")</f>
        <v/>
      </c>
      <c r="U16" s="9">
        <f>-EPM($B$3,$B$4,"FY",$A16,"period_net_amount")</f>
        <v/>
      </c>
    </row>
    <row r="17">
      <c r="A17" s="10" t="inlineStr">
        <is>
          <t>420200</t>
        </is>
      </c>
      <c r="B17" s="11" t="inlineStr">
        <is>
          <t>Accrued Revenue</t>
        </is>
      </c>
      <c r="C17" s="12">
        <f>-EPM($B$3,$B$4,1,$A17,"period_net_amount")</f>
        <v/>
      </c>
      <c r="D17" s="12">
        <f>-EPM($B$3,$B$4,2,$A17,"period_net_amount")</f>
        <v/>
      </c>
      <c r="E17" s="12">
        <f>-EPM($B$3,$B$4,3,$A17,"period_net_amount")</f>
        <v/>
      </c>
      <c r="F17" s="12">
        <f>-EPM($B$3,$B$4,"Q1",$A17,"period_net_amount")</f>
        <v/>
      </c>
      <c r="G17" s="12">
        <f>-EPM($B$3,$B$4,4,$A17,"period_net_amount")</f>
        <v/>
      </c>
      <c r="H17" s="12">
        <f>-EPM($B$3,$B$4,5,$A17,"period_net_amount")</f>
        <v/>
      </c>
      <c r="I17" s="12">
        <f>-EPM($B$3,$B$4,6,$A17,"period_net_amount")</f>
        <v/>
      </c>
      <c r="J17" s="12">
        <f>-EPM($B$3,$B$4,"Q2",$A17,"period_net_amount")</f>
        <v/>
      </c>
      <c r="K17" s="12">
        <f>-EPM($B$3,$B$4,7,$A17,"period_net_amount")</f>
        <v/>
      </c>
      <c r="L17" s="12">
        <f>-EPM($B$3,$B$4,8,$A17,"period_net_amount")</f>
        <v/>
      </c>
      <c r="M17" s="12">
        <f>-EPM($B$3,$B$4,9,$A17,"period_net_amount")</f>
        <v/>
      </c>
      <c r="N17" s="12">
        <f>-EPM($B$3,$B$4,"Q3",$A17,"period_net_amount")</f>
        <v/>
      </c>
      <c r="O17" s="12">
        <f>-EPM($B$3,$B$4,10,$A17,"period_net_amount")</f>
        <v/>
      </c>
      <c r="P17" s="12">
        <f>-EPM($B$3,$B$4,11,$A17,"period_net_amount")</f>
        <v/>
      </c>
      <c r="Q17" s="12">
        <f>-EPM($B$3,$B$4,12,$A17,"period_net_amount")</f>
        <v/>
      </c>
      <c r="R17" s="12">
        <f>-EPM($B$3,$B$4,"Q4",$A17,"period_net_amount")</f>
        <v/>
      </c>
      <c r="S17" s="12">
        <f>-EPM($B$3,$B$4,"H1",$A17,"period_net_amount")</f>
        <v/>
      </c>
      <c r="T17" s="12">
        <f>-EPM($B$3,$B$4,"H2",$A17,"period_net_amount")</f>
        <v/>
      </c>
      <c r="U17" s="12">
        <f>-EPM($B$3,$B$4,"FY",$A17,"period_net_amount")</f>
        <v/>
      </c>
    </row>
    <row r="18">
      <c r="A18" s="13" t="n"/>
      <c r="B18" s="14" t="inlineStr">
        <is>
          <t>Total Revenue</t>
        </is>
      </c>
      <c r="C18" s="15">
        <f>C8+C9+C10+C11+C12+C13+C14+C15+C16+C17</f>
        <v/>
      </c>
      <c r="D18" s="15">
        <f>D8+D9+D10+D11+D12+D13+D14+D15+D16+D17</f>
        <v/>
      </c>
      <c r="E18" s="15">
        <f>E8+E9+E10+E11+E12+E13+E14+E15+E16+E17</f>
        <v/>
      </c>
      <c r="F18" s="15">
        <f>F8+F9+F10+F11+F12+F13+F14+F15+F16+F17</f>
        <v/>
      </c>
      <c r="G18" s="15">
        <f>G8+G9+G10+G11+G12+G13+G14+G15+G16+G17</f>
        <v/>
      </c>
      <c r="H18" s="15">
        <f>H8+H9+H10+H11+H12+H13+H14+H15+H16+H17</f>
        <v/>
      </c>
      <c r="I18" s="15">
        <f>I8+I9+I10+I11+I12+I13+I14+I15+I16+I17</f>
        <v/>
      </c>
      <c r="J18" s="15">
        <f>J8+J9+J10+J11+J12+J13+J14+J15+J16+J17</f>
        <v/>
      </c>
      <c r="K18" s="15">
        <f>K8+K9+K10+K11+K12+K13+K14+K15+K16+K17</f>
        <v/>
      </c>
      <c r="L18" s="15">
        <f>L8+L9+L10+L11+L12+L13+L14+L15+L16+L17</f>
        <v/>
      </c>
      <c r="M18" s="15">
        <f>M8+M9+M10+M11+M12+M13+M14+M15+M16+M17</f>
        <v/>
      </c>
      <c r="N18" s="15">
        <f>N8+N9+N10+N11+N12+N13+N14+N15+N16+N17</f>
        <v/>
      </c>
      <c r="O18" s="15">
        <f>O8+O9+O10+O11+O12+O13+O14+O15+O16+O17</f>
        <v/>
      </c>
      <c r="P18" s="15">
        <f>P8+P9+P10+P11+P12+P13+P14+P15+P16+P17</f>
        <v/>
      </c>
      <c r="Q18" s="15">
        <f>Q8+Q9+Q10+Q11+Q12+Q13+Q14+Q15+Q16+Q17</f>
        <v/>
      </c>
      <c r="R18" s="15">
        <f>R8+R9+R10+R11+R12+R13+R14+R15+R16+R17</f>
        <v/>
      </c>
      <c r="S18" s="15">
        <f>S8+S9+S10+S11+S12+S13+S14+S15+S16+S17</f>
        <v/>
      </c>
      <c r="T18" s="15">
        <f>T8+T9+T10+T11+T12+T13+T14+T15+T16+T17</f>
        <v/>
      </c>
      <c r="U18" s="15">
        <f>U8+U9+U10+U11+U12+U13+U14+U15+U16+U17</f>
        <v/>
      </c>
    </row>
    <row r="20">
      <c r="B20" s="3" t="inlineStr">
        <is>
          <t>Cost of Goods Sold</t>
        </is>
      </c>
    </row>
    <row r="21">
      <c r="A21" s="7" t="inlineStr">
        <is>
          <t>500100</t>
        </is>
      </c>
      <c r="B21" s="8" t="inlineStr">
        <is>
          <t>COGS - Finished Goods</t>
        </is>
      </c>
      <c r="C21" s="9">
        <f>-EPM($B$3,$B$4,1,$A21,"period_net_amount")</f>
        <v/>
      </c>
      <c r="D21" s="9">
        <f>-EPM($B$3,$B$4,2,$A21,"period_net_amount")</f>
        <v/>
      </c>
      <c r="E21" s="9">
        <f>-EPM($B$3,$B$4,3,$A21,"period_net_amount")</f>
        <v/>
      </c>
      <c r="F21" s="9">
        <f>-EPM($B$3,$B$4,"Q1",$A21,"period_net_amount")</f>
        <v/>
      </c>
      <c r="G21" s="9">
        <f>-EPM($B$3,$B$4,4,$A21,"period_net_amount")</f>
        <v/>
      </c>
      <c r="H21" s="9">
        <f>-EPM($B$3,$B$4,5,$A21,"period_net_amount")</f>
        <v/>
      </c>
      <c r="I21" s="9">
        <f>-EPM($B$3,$B$4,6,$A21,"period_net_amount")</f>
        <v/>
      </c>
      <c r="J21" s="9">
        <f>-EPM($B$3,$B$4,"Q2",$A21,"period_net_amount")</f>
        <v/>
      </c>
      <c r="K21" s="9">
        <f>-EPM($B$3,$B$4,7,$A21,"period_net_amount")</f>
        <v/>
      </c>
      <c r="L21" s="9">
        <f>-EPM($B$3,$B$4,8,$A21,"period_net_amount")</f>
        <v/>
      </c>
      <c r="M21" s="9">
        <f>-EPM($B$3,$B$4,9,$A21,"period_net_amount")</f>
        <v/>
      </c>
      <c r="N21" s="9">
        <f>-EPM($B$3,$B$4,"Q3",$A21,"period_net_amount")</f>
        <v/>
      </c>
      <c r="O21" s="9">
        <f>-EPM($B$3,$B$4,10,$A21,"period_net_amount")</f>
        <v/>
      </c>
      <c r="P21" s="9">
        <f>-EPM($B$3,$B$4,11,$A21,"period_net_amount")</f>
        <v/>
      </c>
      <c r="Q21" s="9">
        <f>-EPM($B$3,$B$4,12,$A21,"period_net_amount")</f>
        <v/>
      </c>
      <c r="R21" s="9">
        <f>-EPM($B$3,$B$4,"Q4",$A21,"period_net_amount")</f>
        <v/>
      </c>
      <c r="S21" s="9">
        <f>-EPM($B$3,$B$4,"H1",$A21,"period_net_amount")</f>
        <v/>
      </c>
      <c r="T21" s="9">
        <f>-EPM($B$3,$B$4,"H2",$A21,"period_net_amount")</f>
        <v/>
      </c>
      <c r="U21" s="9">
        <f>-EPM($B$3,$B$4,"FY",$A21,"period_net_amount")</f>
        <v/>
      </c>
    </row>
    <row r="22">
      <c r="A22" s="10" t="inlineStr">
        <is>
          <t>500150</t>
        </is>
      </c>
      <c r="B22" s="11" t="inlineStr">
        <is>
          <t>Deferred COGS</t>
        </is>
      </c>
      <c r="C22" s="12">
        <f>-EPM($B$3,$B$4,1,$A22,"period_net_amount")</f>
        <v/>
      </c>
      <c r="D22" s="12">
        <f>-EPM($B$3,$B$4,2,$A22,"period_net_amount")</f>
        <v/>
      </c>
      <c r="E22" s="12">
        <f>-EPM($B$3,$B$4,3,$A22,"period_net_amount")</f>
        <v/>
      </c>
      <c r="F22" s="12">
        <f>-EPM($B$3,$B$4,"Q1",$A22,"period_net_amount")</f>
        <v/>
      </c>
      <c r="G22" s="12">
        <f>-EPM($B$3,$B$4,4,$A22,"period_net_amount")</f>
        <v/>
      </c>
      <c r="H22" s="12">
        <f>-EPM($B$3,$B$4,5,$A22,"period_net_amount")</f>
        <v/>
      </c>
      <c r="I22" s="12">
        <f>-EPM($B$3,$B$4,6,$A22,"period_net_amount")</f>
        <v/>
      </c>
      <c r="J22" s="12">
        <f>-EPM($B$3,$B$4,"Q2",$A22,"period_net_amount")</f>
        <v/>
      </c>
      <c r="K22" s="12">
        <f>-EPM($B$3,$B$4,7,$A22,"period_net_amount")</f>
        <v/>
      </c>
      <c r="L22" s="12">
        <f>-EPM($B$3,$B$4,8,$A22,"period_net_amount")</f>
        <v/>
      </c>
      <c r="M22" s="12">
        <f>-EPM($B$3,$B$4,9,$A22,"period_net_amount")</f>
        <v/>
      </c>
      <c r="N22" s="12">
        <f>-EPM($B$3,$B$4,"Q3",$A22,"period_net_amount")</f>
        <v/>
      </c>
      <c r="O22" s="12">
        <f>-EPM($B$3,$B$4,10,$A22,"period_net_amount")</f>
        <v/>
      </c>
      <c r="P22" s="12">
        <f>-EPM($B$3,$B$4,11,$A22,"period_net_amount")</f>
        <v/>
      </c>
      <c r="Q22" s="12">
        <f>-EPM($B$3,$B$4,12,$A22,"period_net_amount")</f>
        <v/>
      </c>
      <c r="R22" s="12">
        <f>-EPM($B$3,$B$4,"Q4",$A22,"period_net_amount")</f>
        <v/>
      </c>
      <c r="S22" s="12">
        <f>-EPM($B$3,$B$4,"H1",$A22,"period_net_amount")</f>
        <v/>
      </c>
      <c r="T22" s="12">
        <f>-EPM($B$3,$B$4,"H2",$A22,"period_net_amount")</f>
        <v/>
      </c>
      <c r="U22" s="12">
        <f>-EPM($B$3,$B$4,"FY",$A22,"period_net_amount")</f>
        <v/>
      </c>
    </row>
    <row r="23">
      <c r="A23" s="7" t="inlineStr">
        <is>
          <t>510310</t>
        </is>
      </c>
      <c r="B23" s="8" t="inlineStr">
        <is>
          <t>Purchase Price Variance</t>
        </is>
      </c>
      <c r="C23" s="9">
        <f>-EPM($B$3,$B$4,1,$A23,"period_net_amount")</f>
        <v/>
      </c>
      <c r="D23" s="9">
        <f>-EPM($B$3,$B$4,2,$A23,"period_net_amount")</f>
        <v/>
      </c>
      <c r="E23" s="9">
        <f>-EPM($B$3,$B$4,3,$A23,"period_net_amount")</f>
        <v/>
      </c>
      <c r="F23" s="9">
        <f>-EPM($B$3,$B$4,"Q1",$A23,"period_net_amount")</f>
        <v/>
      </c>
      <c r="G23" s="9">
        <f>-EPM($B$3,$B$4,4,$A23,"period_net_amount")</f>
        <v/>
      </c>
      <c r="H23" s="9">
        <f>-EPM($B$3,$B$4,5,$A23,"period_net_amount")</f>
        <v/>
      </c>
      <c r="I23" s="9">
        <f>-EPM($B$3,$B$4,6,$A23,"period_net_amount")</f>
        <v/>
      </c>
      <c r="J23" s="9">
        <f>-EPM($B$3,$B$4,"Q2",$A23,"period_net_amount")</f>
        <v/>
      </c>
      <c r="K23" s="9">
        <f>-EPM($B$3,$B$4,7,$A23,"period_net_amount")</f>
        <v/>
      </c>
      <c r="L23" s="9">
        <f>-EPM($B$3,$B$4,8,$A23,"period_net_amount")</f>
        <v/>
      </c>
      <c r="M23" s="9">
        <f>-EPM($B$3,$B$4,9,$A23,"period_net_amount")</f>
        <v/>
      </c>
      <c r="N23" s="9">
        <f>-EPM($B$3,$B$4,"Q3",$A23,"period_net_amount")</f>
        <v/>
      </c>
      <c r="O23" s="9">
        <f>-EPM($B$3,$B$4,10,$A23,"period_net_amount")</f>
        <v/>
      </c>
      <c r="P23" s="9">
        <f>-EPM($B$3,$B$4,11,$A23,"period_net_amount")</f>
        <v/>
      </c>
      <c r="Q23" s="9">
        <f>-EPM($B$3,$B$4,12,$A23,"period_net_amount")</f>
        <v/>
      </c>
      <c r="R23" s="9">
        <f>-EPM($B$3,$B$4,"Q4",$A23,"period_net_amount")</f>
        <v/>
      </c>
      <c r="S23" s="9">
        <f>-EPM($B$3,$B$4,"H1",$A23,"period_net_amount")</f>
        <v/>
      </c>
      <c r="T23" s="9">
        <f>-EPM($B$3,$B$4,"H2",$A23,"period_net_amount")</f>
        <v/>
      </c>
      <c r="U23" s="9">
        <f>-EPM($B$3,$B$4,"FY",$A23,"period_net_amount")</f>
        <v/>
      </c>
    </row>
    <row r="24">
      <c r="A24" s="10" t="inlineStr">
        <is>
          <t>510500</t>
        </is>
      </c>
      <c r="B24" s="11" t="inlineStr">
        <is>
          <t>Inventory Profit/Loss</t>
        </is>
      </c>
      <c r="C24" s="12">
        <f>-EPM($B$3,$B$4,1,$A24,"period_net_amount")</f>
        <v/>
      </c>
      <c r="D24" s="12">
        <f>-EPM($B$3,$B$4,2,$A24,"period_net_amount")</f>
        <v/>
      </c>
      <c r="E24" s="12">
        <f>-EPM($B$3,$B$4,3,$A24,"period_net_amount")</f>
        <v/>
      </c>
      <c r="F24" s="12">
        <f>-EPM($B$3,$B$4,"Q1",$A24,"period_net_amount")</f>
        <v/>
      </c>
      <c r="G24" s="12">
        <f>-EPM($B$3,$B$4,4,$A24,"period_net_amount")</f>
        <v/>
      </c>
      <c r="H24" s="12">
        <f>-EPM($B$3,$B$4,5,$A24,"period_net_amount")</f>
        <v/>
      </c>
      <c r="I24" s="12">
        <f>-EPM($B$3,$B$4,6,$A24,"period_net_amount")</f>
        <v/>
      </c>
      <c r="J24" s="12">
        <f>-EPM($B$3,$B$4,"Q2",$A24,"period_net_amount")</f>
        <v/>
      </c>
      <c r="K24" s="12">
        <f>-EPM($B$3,$B$4,7,$A24,"period_net_amount")</f>
        <v/>
      </c>
      <c r="L24" s="12">
        <f>-EPM($B$3,$B$4,8,$A24,"period_net_amount")</f>
        <v/>
      </c>
      <c r="M24" s="12">
        <f>-EPM($B$3,$B$4,9,$A24,"period_net_amount")</f>
        <v/>
      </c>
      <c r="N24" s="12">
        <f>-EPM($B$3,$B$4,"Q3",$A24,"period_net_amount")</f>
        <v/>
      </c>
      <c r="O24" s="12">
        <f>-EPM($B$3,$B$4,10,$A24,"period_net_amount")</f>
        <v/>
      </c>
      <c r="P24" s="12">
        <f>-EPM($B$3,$B$4,11,$A24,"period_net_amount")</f>
        <v/>
      </c>
      <c r="Q24" s="12">
        <f>-EPM($B$3,$B$4,12,$A24,"period_net_amount")</f>
        <v/>
      </c>
      <c r="R24" s="12">
        <f>-EPM($B$3,$B$4,"Q4",$A24,"period_net_amount")</f>
        <v/>
      </c>
      <c r="S24" s="12">
        <f>-EPM($B$3,$B$4,"H1",$A24,"period_net_amount")</f>
        <v/>
      </c>
      <c r="T24" s="12">
        <f>-EPM($B$3,$B$4,"H2",$A24,"period_net_amount")</f>
        <v/>
      </c>
      <c r="U24" s="12">
        <f>-EPM($B$3,$B$4,"FY",$A24,"period_net_amount")</f>
        <v/>
      </c>
    </row>
    <row r="25">
      <c r="A25" s="7" t="inlineStr">
        <is>
          <t>510520</t>
        </is>
      </c>
      <c r="B25" s="8" t="inlineStr">
        <is>
          <t>Inventory Adjustment</t>
        </is>
      </c>
      <c r="C25" s="9">
        <f>-EPM($B$3,$B$4,1,$A25,"period_net_amount")</f>
        <v/>
      </c>
      <c r="D25" s="9">
        <f>-EPM($B$3,$B$4,2,$A25,"period_net_amount")</f>
        <v/>
      </c>
      <c r="E25" s="9">
        <f>-EPM($B$3,$B$4,3,$A25,"period_net_amount")</f>
        <v/>
      </c>
      <c r="F25" s="9">
        <f>-EPM($B$3,$B$4,"Q1",$A25,"period_net_amount")</f>
        <v/>
      </c>
      <c r="G25" s="9">
        <f>-EPM($B$3,$B$4,4,$A25,"period_net_amount")</f>
        <v/>
      </c>
      <c r="H25" s="9">
        <f>-EPM($B$3,$B$4,5,$A25,"period_net_amount")</f>
        <v/>
      </c>
      <c r="I25" s="9">
        <f>-EPM($B$3,$B$4,6,$A25,"period_net_amount")</f>
        <v/>
      </c>
      <c r="J25" s="9">
        <f>-EPM($B$3,$B$4,"Q2",$A25,"period_net_amount")</f>
        <v/>
      </c>
      <c r="K25" s="9">
        <f>-EPM($B$3,$B$4,7,$A25,"period_net_amount")</f>
        <v/>
      </c>
      <c r="L25" s="9">
        <f>-EPM($B$3,$B$4,8,$A25,"period_net_amount")</f>
        <v/>
      </c>
      <c r="M25" s="9">
        <f>-EPM($B$3,$B$4,9,$A25,"period_net_amount")</f>
        <v/>
      </c>
      <c r="N25" s="9">
        <f>-EPM($B$3,$B$4,"Q3",$A25,"period_net_amount")</f>
        <v/>
      </c>
      <c r="O25" s="9">
        <f>-EPM($B$3,$B$4,10,$A25,"period_net_amount")</f>
        <v/>
      </c>
      <c r="P25" s="9">
        <f>-EPM($B$3,$B$4,11,$A25,"period_net_amount")</f>
        <v/>
      </c>
      <c r="Q25" s="9">
        <f>-EPM($B$3,$B$4,12,$A25,"period_net_amount")</f>
        <v/>
      </c>
      <c r="R25" s="9">
        <f>-EPM($B$3,$B$4,"Q4",$A25,"period_net_amount")</f>
        <v/>
      </c>
      <c r="S25" s="9">
        <f>-EPM($B$3,$B$4,"H1",$A25,"period_net_amount")</f>
        <v/>
      </c>
      <c r="T25" s="9">
        <f>-EPM($B$3,$B$4,"H2",$A25,"period_net_amount")</f>
        <v/>
      </c>
      <c r="U25" s="9">
        <f>-EPM($B$3,$B$4,"FY",$A25,"period_net_amount")</f>
        <v/>
      </c>
    </row>
    <row r="26">
      <c r="A26" s="10" t="inlineStr">
        <is>
          <t>540100</t>
        </is>
      </c>
      <c r="B26" s="11" t="inlineStr">
        <is>
          <t>Cost of Project - Labor</t>
        </is>
      </c>
      <c r="C26" s="12">
        <f>-EPM($B$3,$B$4,1,$A26,"period_net_amount")</f>
        <v/>
      </c>
      <c r="D26" s="12">
        <f>-EPM($B$3,$B$4,2,$A26,"period_net_amount")</f>
        <v/>
      </c>
      <c r="E26" s="12">
        <f>-EPM($B$3,$B$4,3,$A26,"period_net_amount")</f>
        <v/>
      </c>
      <c r="F26" s="12">
        <f>-EPM($B$3,$B$4,"Q1",$A26,"period_net_amount")</f>
        <v/>
      </c>
      <c r="G26" s="12">
        <f>-EPM($B$3,$B$4,4,$A26,"period_net_amount")</f>
        <v/>
      </c>
      <c r="H26" s="12">
        <f>-EPM($B$3,$B$4,5,$A26,"period_net_amount")</f>
        <v/>
      </c>
      <c r="I26" s="12">
        <f>-EPM($B$3,$B$4,6,$A26,"period_net_amount")</f>
        <v/>
      </c>
      <c r="J26" s="12">
        <f>-EPM($B$3,$B$4,"Q2",$A26,"period_net_amount")</f>
        <v/>
      </c>
      <c r="K26" s="12">
        <f>-EPM($B$3,$B$4,7,$A26,"period_net_amount")</f>
        <v/>
      </c>
      <c r="L26" s="12">
        <f>-EPM($B$3,$B$4,8,$A26,"period_net_amount")</f>
        <v/>
      </c>
      <c r="M26" s="12">
        <f>-EPM($B$3,$B$4,9,$A26,"period_net_amount")</f>
        <v/>
      </c>
      <c r="N26" s="12">
        <f>-EPM($B$3,$B$4,"Q3",$A26,"period_net_amount")</f>
        <v/>
      </c>
      <c r="O26" s="12">
        <f>-EPM($B$3,$B$4,10,$A26,"period_net_amount")</f>
        <v/>
      </c>
      <c r="P26" s="12">
        <f>-EPM($B$3,$B$4,11,$A26,"period_net_amount")</f>
        <v/>
      </c>
      <c r="Q26" s="12">
        <f>-EPM($B$3,$B$4,12,$A26,"period_net_amount")</f>
        <v/>
      </c>
      <c r="R26" s="12">
        <f>-EPM($B$3,$B$4,"Q4",$A26,"period_net_amount")</f>
        <v/>
      </c>
      <c r="S26" s="12">
        <f>-EPM($B$3,$B$4,"H1",$A26,"period_net_amount")</f>
        <v/>
      </c>
      <c r="T26" s="12">
        <f>-EPM($B$3,$B$4,"H2",$A26,"period_net_amount")</f>
        <v/>
      </c>
      <c r="U26" s="12">
        <f>-EPM($B$3,$B$4,"FY",$A26,"period_net_amount")</f>
        <v/>
      </c>
    </row>
    <row r="27">
      <c r="A27" s="7" t="inlineStr">
        <is>
          <t>540110</t>
        </is>
      </c>
      <c r="B27" s="8" t="inlineStr">
        <is>
          <t>Cost of Project - Products</t>
        </is>
      </c>
      <c r="C27" s="9">
        <f>-EPM($B$3,$B$4,1,$A27,"period_net_amount")</f>
        <v/>
      </c>
      <c r="D27" s="9">
        <f>-EPM($B$3,$B$4,2,$A27,"period_net_amount")</f>
        <v/>
      </c>
      <c r="E27" s="9">
        <f>-EPM($B$3,$B$4,3,$A27,"period_net_amount")</f>
        <v/>
      </c>
      <c r="F27" s="9">
        <f>-EPM($B$3,$B$4,"Q1",$A27,"period_net_amount")</f>
        <v/>
      </c>
      <c r="G27" s="9">
        <f>-EPM($B$3,$B$4,4,$A27,"period_net_amount")</f>
        <v/>
      </c>
      <c r="H27" s="9">
        <f>-EPM($B$3,$B$4,5,$A27,"period_net_amount")</f>
        <v/>
      </c>
      <c r="I27" s="9">
        <f>-EPM($B$3,$B$4,6,$A27,"period_net_amount")</f>
        <v/>
      </c>
      <c r="J27" s="9">
        <f>-EPM($B$3,$B$4,"Q2",$A27,"period_net_amount")</f>
        <v/>
      </c>
      <c r="K27" s="9">
        <f>-EPM($B$3,$B$4,7,$A27,"period_net_amount")</f>
        <v/>
      </c>
      <c r="L27" s="9">
        <f>-EPM($B$3,$B$4,8,$A27,"period_net_amount")</f>
        <v/>
      </c>
      <c r="M27" s="9">
        <f>-EPM($B$3,$B$4,9,$A27,"period_net_amount")</f>
        <v/>
      </c>
      <c r="N27" s="9">
        <f>-EPM($B$3,$B$4,"Q3",$A27,"period_net_amount")</f>
        <v/>
      </c>
      <c r="O27" s="9">
        <f>-EPM($B$3,$B$4,10,$A27,"period_net_amount")</f>
        <v/>
      </c>
      <c r="P27" s="9">
        <f>-EPM($B$3,$B$4,11,$A27,"period_net_amount")</f>
        <v/>
      </c>
      <c r="Q27" s="9">
        <f>-EPM($B$3,$B$4,12,$A27,"period_net_amount")</f>
        <v/>
      </c>
      <c r="R27" s="9">
        <f>-EPM($B$3,$B$4,"Q4",$A27,"period_net_amount")</f>
        <v/>
      </c>
      <c r="S27" s="9">
        <f>-EPM($B$3,$B$4,"H1",$A27,"period_net_amount")</f>
        <v/>
      </c>
      <c r="T27" s="9">
        <f>-EPM($B$3,$B$4,"H2",$A27,"period_net_amount")</f>
        <v/>
      </c>
      <c r="U27" s="9">
        <f>-EPM($B$3,$B$4,"FY",$A27,"period_net_amount")</f>
        <v/>
      </c>
    </row>
    <row r="28">
      <c r="A28" s="10" t="inlineStr">
        <is>
          <t>6112015</t>
        </is>
      </c>
      <c r="B28" s="11" t="inlineStr">
        <is>
          <t>COGS - Materials &amp; Services</t>
        </is>
      </c>
      <c r="C28" s="12">
        <f>-EPM($B$3,$B$4,1,$A28,"period_net_amount")</f>
        <v/>
      </c>
      <c r="D28" s="12">
        <f>-EPM($B$3,$B$4,2,$A28,"period_net_amount")</f>
        <v/>
      </c>
      <c r="E28" s="12">
        <f>-EPM($B$3,$B$4,3,$A28,"period_net_amount")</f>
        <v/>
      </c>
      <c r="F28" s="12">
        <f>-EPM($B$3,$B$4,"Q1",$A28,"period_net_amount")</f>
        <v/>
      </c>
      <c r="G28" s="12">
        <f>-EPM($B$3,$B$4,4,$A28,"period_net_amount")</f>
        <v/>
      </c>
      <c r="H28" s="12">
        <f>-EPM($B$3,$B$4,5,$A28,"period_net_amount")</f>
        <v/>
      </c>
      <c r="I28" s="12">
        <f>-EPM($B$3,$B$4,6,$A28,"period_net_amount")</f>
        <v/>
      </c>
      <c r="J28" s="12">
        <f>-EPM($B$3,$B$4,"Q2",$A28,"period_net_amount")</f>
        <v/>
      </c>
      <c r="K28" s="12">
        <f>-EPM($B$3,$B$4,7,$A28,"period_net_amount")</f>
        <v/>
      </c>
      <c r="L28" s="12">
        <f>-EPM($B$3,$B$4,8,$A28,"period_net_amount")</f>
        <v/>
      </c>
      <c r="M28" s="12">
        <f>-EPM($B$3,$B$4,9,$A28,"period_net_amount")</f>
        <v/>
      </c>
      <c r="N28" s="12">
        <f>-EPM($B$3,$B$4,"Q3",$A28,"period_net_amount")</f>
        <v/>
      </c>
      <c r="O28" s="12">
        <f>-EPM($B$3,$B$4,10,$A28,"period_net_amount")</f>
        <v/>
      </c>
      <c r="P28" s="12">
        <f>-EPM($B$3,$B$4,11,$A28,"period_net_amount")</f>
        <v/>
      </c>
      <c r="Q28" s="12">
        <f>-EPM($B$3,$B$4,12,$A28,"period_net_amount")</f>
        <v/>
      </c>
      <c r="R28" s="12">
        <f>-EPM($B$3,$B$4,"Q4",$A28,"period_net_amount")</f>
        <v/>
      </c>
      <c r="S28" s="12">
        <f>-EPM($B$3,$B$4,"H1",$A28,"period_net_amount")</f>
        <v/>
      </c>
      <c r="T28" s="12">
        <f>-EPM($B$3,$B$4,"H2",$A28,"period_net_amount")</f>
        <v/>
      </c>
      <c r="U28" s="12">
        <f>-EPM($B$3,$B$4,"FY",$A28,"period_net_amount")</f>
        <v/>
      </c>
    </row>
    <row r="29">
      <c r="A29" s="13" t="n"/>
      <c r="B29" s="14" t="inlineStr">
        <is>
          <t>Total COGS</t>
        </is>
      </c>
      <c r="C29" s="15">
        <f>C21+C22+C23+C24+C25+C26+C27+C28</f>
        <v/>
      </c>
      <c r="D29" s="15">
        <f>D21+D22+D23+D24+D25+D26+D27+D28</f>
        <v/>
      </c>
      <c r="E29" s="15">
        <f>E21+E22+E23+E24+E25+E26+E27+E28</f>
        <v/>
      </c>
      <c r="F29" s="15">
        <f>F21+F22+F23+F24+F25+F26+F27+F28</f>
        <v/>
      </c>
      <c r="G29" s="15">
        <f>G21+G22+G23+G24+G25+G26+G27+G28</f>
        <v/>
      </c>
      <c r="H29" s="15">
        <f>H21+H22+H23+H24+H25+H26+H27+H28</f>
        <v/>
      </c>
      <c r="I29" s="15">
        <f>I21+I22+I23+I24+I25+I26+I27+I28</f>
        <v/>
      </c>
      <c r="J29" s="15">
        <f>J21+J22+J23+J24+J25+J26+J27+J28</f>
        <v/>
      </c>
      <c r="K29" s="15">
        <f>K21+K22+K23+K24+K25+K26+K27+K28</f>
        <v/>
      </c>
      <c r="L29" s="15">
        <f>L21+L22+L23+L24+L25+L26+L27+L28</f>
        <v/>
      </c>
      <c r="M29" s="15">
        <f>M21+M22+M23+M24+M25+M26+M27+M28</f>
        <v/>
      </c>
      <c r="N29" s="15">
        <f>N21+N22+N23+N24+N25+N26+N27+N28</f>
        <v/>
      </c>
      <c r="O29" s="15">
        <f>O21+O22+O23+O24+O25+O26+O27+O28</f>
        <v/>
      </c>
      <c r="P29" s="15">
        <f>P21+P22+P23+P24+P25+P26+P27+P28</f>
        <v/>
      </c>
      <c r="Q29" s="15">
        <f>Q21+Q22+Q23+Q24+Q25+Q26+Q27+Q28</f>
        <v/>
      </c>
      <c r="R29" s="15">
        <f>R21+R22+R23+R24+R25+R26+R27+R28</f>
        <v/>
      </c>
      <c r="S29" s="15">
        <f>S21+S22+S23+S24+S25+S26+S27+S28</f>
        <v/>
      </c>
      <c r="T29" s="15">
        <f>T21+T22+T23+T24+T25+T26+T27+T28</f>
        <v/>
      </c>
      <c r="U29" s="15">
        <f>U21+U22+U23+U24+U25+U26+U27+U28</f>
        <v/>
      </c>
    </row>
    <row r="31">
      <c r="A31" s="13" t="n"/>
      <c r="B31" s="16" t="inlineStr">
        <is>
          <t>Gross Profit</t>
        </is>
      </c>
      <c r="C31" s="17">
        <f>C18+C29</f>
        <v/>
      </c>
      <c r="D31" s="17">
        <f>D18+D29</f>
        <v/>
      </c>
      <c r="E31" s="17">
        <f>E18+E29</f>
        <v/>
      </c>
      <c r="F31" s="17">
        <f>F18+F29</f>
        <v/>
      </c>
      <c r="G31" s="17">
        <f>G18+G29</f>
        <v/>
      </c>
      <c r="H31" s="17">
        <f>H18+H29</f>
        <v/>
      </c>
      <c r="I31" s="17">
        <f>I18+I29</f>
        <v/>
      </c>
      <c r="J31" s="17">
        <f>J18+J29</f>
        <v/>
      </c>
      <c r="K31" s="17">
        <f>K18+K29</f>
        <v/>
      </c>
      <c r="L31" s="17">
        <f>L18+L29</f>
        <v/>
      </c>
      <c r="M31" s="17">
        <f>M18+M29</f>
        <v/>
      </c>
      <c r="N31" s="17">
        <f>N18+N29</f>
        <v/>
      </c>
      <c r="O31" s="17">
        <f>O18+O29</f>
        <v/>
      </c>
      <c r="P31" s="17">
        <f>P18+P29</f>
        <v/>
      </c>
      <c r="Q31" s="17">
        <f>Q18+Q29</f>
        <v/>
      </c>
      <c r="R31" s="17">
        <f>R18+R29</f>
        <v/>
      </c>
      <c r="S31" s="17">
        <f>S18+S29</f>
        <v/>
      </c>
      <c r="T31" s="17">
        <f>T18+T29</f>
        <v/>
      </c>
      <c r="U31" s="17">
        <f>U18+U29</f>
        <v/>
      </c>
    </row>
    <row r="33">
      <c r="B33" s="3" t="inlineStr">
        <is>
          <t>Operating Expenses</t>
        </is>
      </c>
    </row>
    <row r="34">
      <c r="A34" s="7" t="inlineStr">
        <is>
          <t>600180</t>
        </is>
      </c>
      <c r="B34" s="8" t="inlineStr">
        <is>
          <t>Raw Materials Receipts</t>
        </is>
      </c>
      <c r="C34" s="9">
        <f>-EPM($B$3,$B$4,1,$A34,"period_net_amount")</f>
        <v/>
      </c>
      <c r="D34" s="9">
        <f>-EPM($B$3,$B$4,2,$A34,"period_net_amount")</f>
        <v/>
      </c>
      <c r="E34" s="9">
        <f>-EPM($B$3,$B$4,3,$A34,"period_net_amount")</f>
        <v/>
      </c>
      <c r="F34" s="9">
        <f>-EPM($B$3,$B$4,"Q1",$A34,"period_net_amount")</f>
        <v/>
      </c>
      <c r="G34" s="9">
        <f>-EPM($B$3,$B$4,4,$A34,"period_net_amount")</f>
        <v/>
      </c>
      <c r="H34" s="9">
        <f>-EPM($B$3,$B$4,5,$A34,"period_net_amount")</f>
        <v/>
      </c>
      <c r="I34" s="9">
        <f>-EPM($B$3,$B$4,6,$A34,"period_net_amount")</f>
        <v/>
      </c>
      <c r="J34" s="9">
        <f>-EPM($B$3,$B$4,"Q2",$A34,"period_net_amount")</f>
        <v/>
      </c>
      <c r="K34" s="9">
        <f>-EPM($B$3,$B$4,7,$A34,"period_net_amount")</f>
        <v/>
      </c>
      <c r="L34" s="9">
        <f>-EPM($B$3,$B$4,8,$A34,"period_net_amount")</f>
        <v/>
      </c>
      <c r="M34" s="9">
        <f>-EPM($B$3,$B$4,9,$A34,"period_net_amount")</f>
        <v/>
      </c>
      <c r="N34" s="9">
        <f>-EPM($B$3,$B$4,"Q3",$A34,"period_net_amount")</f>
        <v/>
      </c>
      <c r="O34" s="9">
        <f>-EPM($B$3,$B$4,10,$A34,"period_net_amount")</f>
        <v/>
      </c>
      <c r="P34" s="9">
        <f>-EPM($B$3,$B$4,11,$A34,"period_net_amount")</f>
        <v/>
      </c>
      <c r="Q34" s="9">
        <f>-EPM($B$3,$B$4,12,$A34,"period_net_amount")</f>
        <v/>
      </c>
      <c r="R34" s="9">
        <f>-EPM($B$3,$B$4,"Q4",$A34,"period_net_amount")</f>
        <v/>
      </c>
      <c r="S34" s="9">
        <f>-EPM($B$3,$B$4,"H1",$A34,"period_net_amount")</f>
        <v/>
      </c>
      <c r="T34" s="9">
        <f>-EPM($B$3,$B$4,"H2",$A34,"period_net_amount")</f>
        <v/>
      </c>
      <c r="U34" s="9">
        <f>-EPM($B$3,$B$4,"FY",$A34,"period_net_amount")</f>
        <v/>
      </c>
    </row>
    <row r="35">
      <c r="A35" s="10" t="inlineStr">
        <is>
          <t>601200</t>
        </is>
      </c>
      <c r="B35" s="11" t="inlineStr">
        <is>
          <t>Selling Expense</t>
        </is>
      </c>
      <c r="C35" s="12">
        <f>-EPM($B$3,$B$4,1,$A35,"period_net_amount")</f>
        <v/>
      </c>
      <c r="D35" s="12">
        <f>-EPM($B$3,$B$4,2,$A35,"period_net_amount")</f>
        <v/>
      </c>
      <c r="E35" s="12">
        <f>-EPM($B$3,$B$4,3,$A35,"period_net_amount")</f>
        <v/>
      </c>
      <c r="F35" s="12">
        <f>-EPM($B$3,$B$4,"Q1",$A35,"period_net_amount")</f>
        <v/>
      </c>
      <c r="G35" s="12">
        <f>-EPM($B$3,$B$4,4,$A35,"period_net_amount")</f>
        <v/>
      </c>
      <c r="H35" s="12">
        <f>-EPM($B$3,$B$4,5,$A35,"period_net_amount")</f>
        <v/>
      </c>
      <c r="I35" s="12">
        <f>-EPM($B$3,$B$4,6,$A35,"period_net_amount")</f>
        <v/>
      </c>
      <c r="J35" s="12">
        <f>-EPM($B$3,$B$4,"Q2",$A35,"period_net_amount")</f>
        <v/>
      </c>
      <c r="K35" s="12">
        <f>-EPM($B$3,$B$4,7,$A35,"period_net_amount")</f>
        <v/>
      </c>
      <c r="L35" s="12">
        <f>-EPM($B$3,$B$4,8,$A35,"period_net_amount")</f>
        <v/>
      </c>
      <c r="M35" s="12">
        <f>-EPM($B$3,$B$4,9,$A35,"period_net_amount")</f>
        <v/>
      </c>
      <c r="N35" s="12">
        <f>-EPM($B$3,$B$4,"Q3",$A35,"period_net_amount")</f>
        <v/>
      </c>
      <c r="O35" s="12">
        <f>-EPM($B$3,$B$4,10,$A35,"period_net_amount")</f>
        <v/>
      </c>
      <c r="P35" s="12">
        <f>-EPM($B$3,$B$4,11,$A35,"period_net_amount")</f>
        <v/>
      </c>
      <c r="Q35" s="12">
        <f>-EPM($B$3,$B$4,12,$A35,"period_net_amount")</f>
        <v/>
      </c>
      <c r="R35" s="12">
        <f>-EPM($B$3,$B$4,"Q4",$A35,"period_net_amount")</f>
        <v/>
      </c>
      <c r="S35" s="12">
        <f>-EPM($B$3,$B$4,"H1",$A35,"period_net_amount")</f>
        <v/>
      </c>
      <c r="T35" s="12">
        <f>-EPM($B$3,$B$4,"H2",$A35,"period_net_amount")</f>
        <v/>
      </c>
      <c r="U35" s="12">
        <f>-EPM($B$3,$B$4,"FY",$A35,"period_net_amount")</f>
        <v/>
      </c>
    </row>
    <row r="36">
      <c r="A36" s="7" t="inlineStr">
        <is>
          <t>601300</t>
        </is>
      </c>
      <c r="B36" s="8" t="inlineStr">
        <is>
          <t>Advertising Expense</t>
        </is>
      </c>
      <c r="C36" s="9">
        <f>-EPM($B$3,$B$4,1,$A36,"period_net_amount")</f>
        <v/>
      </c>
      <c r="D36" s="9">
        <f>-EPM($B$3,$B$4,2,$A36,"period_net_amount")</f>
        <v/>
      </c>
      <c r="E36" s="9">
        <f>-EPM($B$3,$B$4,3,$A36,"period_net_amount")</f>
        <v/>
      </c>
      <c r="F36" s="9">
        <f>-EPM($B$3,$B$4,"Q1",$A36,"period_net_amount")</f>
        <v/>
      </c>
      <c r="G36" s="9">
        <f>-EPM($B$3,$B$4,4,$A36,"period_net_amount")</f>
        <v/>
      </c>
      <c r="H36" s="9">
        <f>-EPM($B$3,$B$4,5,$A36,"period_net_amount")</f>
        <v/>
      </c>
      <c r="I36" s="9">
        <f>-EPM($B$3,$B$4,6,$A36,"period_net_amount")</f>
        <v/>
      </c>
      <c r="J36" s="9">
        <f>-EPM($B$3,$B$4,"Q2",$A36,"period_net_amount")</f>
        <v/>
      </c>
      <c r="K36" s="9">
        <f>-EPM($B$3,$B$4,7,$A36,"period_net_amount")</f>
        <v/>
      </c>
      <c r="L36" s="9">
        <f>-EPM($B$3,$B$4,8,$A36,"period_net_amount")</f>
        <v/>
      </c>
      <c r="M36" s="9">
        <f>-EPM($B$3,$B$4,9,$A36,"period_net_amount")</f>
        <v/>
      </c>
      <c r="N36" s="9">
        <f>-EPM($B$3,$B$4,"Q3",$A36,"period_net_amount")</f>
        <v/>
      </c>
      <c r="O36" s="9">
        <f>-EPM($B$3,$B$4,10,$A36,"period_net_amount")</f>
        <v/>
      </c>
      <c r="P36" s="9">
        <f>-EPM($B$3,$B$4,11,$A36,"period_net_amount")</f>
        <v/>
      </c>
      <c r="Q36" s="9">
        <f>-EPM($B$3,$B$4,12,$A36,"period_net_amount")</f>
        <v/>
      </c>
      <c r="R36" s="9">
        <f>-EPM($B$3,$B$4,"Q4",$A36,"period_net_amount")</f>
        <v/>
      </c>
      <c r="S36" s="9">
        <f>-EPM($B$3,$B$4,"H1",$A36,"period_net_amount")</f>
        <v/>
      </c>
      <c r="T36" s="9">
        <f>-EPM($B$3,$B$4,"H2",$A36,"period_net_amount")</f>
        <v/>
      </c>
      <c r="U36" s="9">
        <f>-EPM($B$3,$B$4,"FY",$A36,"period_net_amount")</f>
        <v/>
      </c>
    </row>
    <row r="37">
      <c r="A37" s="10" t="inlineStr">
        <is>
          <t>601500</t>
        </is>
      </c>
      <c r="B37" s="11" t="inlineStr">
        <is>
          <t>Travel Expense</t>
        </is>
      </c>
      <c r="C37" s="12">
        <f>-EPM($B$3,$B$4,1,$A37,"period_net_amount")</f>
        <v/>
      </c>
      <c r="D37" s="12">
        <f>-EPM($B$3,$B$4,2,$A37,"period_net_amount")</f>
        <v/>
      </c>
      <c r="E37" s="12">
        <f>-EPM($B$3,$B$4,3,$A37,"period_net_amount")</f>
        <v/>
      </c>
      <c r="F37" s="12">
        <f>-EPM($B$3,$B$4,"Q1",$A37,"period_net_amount")</f>
        <v/>
      </c>
      <c r="G37" s="12">
        <f>-EPM($B$3,$B$4,4,$A37,"period_net_amount")</f>
        <v/>
      </c>
      <c r="H37" s="12">
        <f>-EPM($B$3,$B$4,5,$A37,"period_net_amount")</f>
        <v/>
      </c>
      <c r="I37" s="12">
        <f>-EPM($B$3,$B$4,6,$A37,"period_net_amount")</f>
        <v/>
      </c>
      <c r="J37" s="12">
        <f>-EPM($B$3,$B$4,"Q2",$A37,"period_net_amount")</f>
        <v/>
      </c>
      <c r="K37" s="12">
        <f>-EPM($B$3,$B$4,7,$A37,"period_net_amount")</f>
        <v/>
      </c>
      <c r="L37" s="12">
        <f>-EPM($B$3,$B$4,8,$A37,"period_net_amount")</f>
        <v/>
      </c>
      <c r="M37" s="12">
        <f>-EPM($B$3,$B$4,9,$A37,"period_net_amount")</f>
        <v/>
      </c>
      <c r="N37" s="12">
        <f>-EPM($B$3,$B$4,"Q3",$A37,"period_net_amount")</f>
        <v/>
      </c>
      <c r="O37" s="12">
        <f>-EPM($B$3,$B$4,10,$A37,"period_net_amount")</f>
        <v/>
      </c>
      <c r="P37" s="12">
        <f>-EPM($B$3,$B$4,11,$A37,"period_net_amount")</f>
        <v/>
      </c>
      <c r="Q37" s="12">
        <f>-EPM($B$3,$B$4,12,$A37,"period_net_amount")</f>
        <v/>
      </c>
      <c r="R37" s="12">
        <f>-EPM($B$3,$B$4,"Q4",$A37,"period_net_amount")</f>
        <v/>
      </c>
      <c r="S37" s="12">
        <f>-EPM($B$3,$B$4,"H1",$A37,"period_net_amount")</f>
        <v/>
      </c>
      <c r="T37" s="12">
        <f>-EPM($B$3,$B$4,"H2",$A37,"period_net_amount")</f>
        <v/>
      </c>
      <c r="U37" s="12">
        <f>-EPM($B$3,$B$4,"FY",$A37,"period_net_amount")</f>
        <v/>
      </c>
    </row>
    <row r="38">
      <c r="A38" s="7" t="inlineStr">
        <is>
          <t>602100</t>
        </is>
      </c>
      <c r="B38" s="8" t="inlineStr">
        <is>
          <t>Salaries &amp; Wages</t>
        </is>
      </c>
      <c r="C38" s="9">
        <f>-EPM($B$3,$B$4,1,$A38,"period_net_amount")</f>
        <v/>
      </c>
      <c r="D38" s="9">
        <f>-EPM($B$3,$B$4,2,$A38,"period_net_amount")</f>
        <v/>
      </c>
      <c r="E38" s="9">
        <f>-EPM($B$3,$B$4,3,$A38,"period_net_amount")</f>
        <v/>
      </c>
      <c r="F38" s="9">
        <f>-EPM($B$3,$B$4,"Q1",$A38,"period_net_amount")</f>
        <v/>
      </c>
      <c r="G38" s="9">
        <f>-EPM($B$3,$B$4,4,$A38,"period_net_amount")</f>
        <v/>
      </c>
      <c r="H38" s="9">
        <f>-EPM($B$3,$B$4,5,$A38,"period_net_amount")</f>
        <v/>
      </c>
      <c r="I38" s="9">
        <f>-EPM($B$3,$B$4,6,$A38,"period_net_amount")</f>
        <v/>
      </c>
      <c r="J38" s="9">
        <f>-EPM($B$3,$B$4,"Q2",$A38,"period_net_amount")</f>
        <v/>
      </c>
      <c r="K38" s="9">
        <f>-EPM($B$3,$B$4,7,$A38,"period_net_amount")</f>
        <v/>
      </c>
      <c r="L38" s="9">
        <f>-EPM($B$3,$B$4,8,$A38,"period_net_amount")</f>
        <v/>
      </c>
      <c r="M38" s="9">
        <f>-EPM($B$3,$B$4,9,$A38,"period_net_amount")</f>
        <v/>
      </c>
      <c r="N38" s="9">
        <f>-EPM($B$3,$B$4,"Q3",$A38,"period_net_amount")</f>
        <v/>
      </c>
      <c r="O38" s="9">
        <f>-EPM($B$3,$B$4,10,$A38,"period_net_amount")</f>
        <v/>
      </c>
      <c r="P38" s="9">
        <f>-EPM($B$3,$B$4,11,$A38,"period_net_amount")</f>
        <v/>
      </c>
      <c r="Q38" s="9">
        <f>-EPM($B$3,$B$4,12,$A38,"period_net_amount")</f>
        <v/>
      </c>
      <c r="R38" s="9">
        <f>-EPM($B$3,$B$4,"Q4",$A38,"period_net_amount")</f>
        <v/>
      </c>
      <c r="S38" s="9">
        <f>-EPM($B$3,$B$4,"H1",$A38,"period_net_amount")</f>
        <v/>
      </c>
      <c r="T38" s="9">
        <f>-EPM($B$3,$B$4,"H2",$A38,"period_net_amount")</f>
        <v/>
      </c>
      <c r="U38" s="9">
        <f>-EPM($B$3,$B$4,"FY",$A38,"period_net_amount")</f>
        <v/>
      </c>
    </row>
    <row r="39">
      <c r="A39" s="10" t="inlineStr">
        <is>
          <t>602120</t>
        </is>
      </c>
      <c r="B39" s="11" t="inlineStr">
        <is>
          <t>Payroll Tax</t>
        </is>
      </c>
      <c r="C39" s="12">
        <f>-EPM($B$3,$B$4,1,$A39,"period_net_amount")</f>
        <v/>
      </c>
      <c r="D39" s="12">
        <f>-EPM($B$3,$B$4,2,$A39,"period_net_amount")</f>
        <v/>
      </c>
      <c r="E39" s="12">
        <f>-EPM($B$3,$B$4,3,$A39,"period_net_amount")</f>
        <v/>
      </c>
      <c r="F39" s="12">
        <f>-EPM($B$3,$B$4,"Q1",$A39,"period_net_amount")</f>
        <v/>
      </c>
      <c r="G39" s="12">
        <f>-EPM($B$3,$B$4,4,$A39,"period_net_amount")</f>
        <v/>
      </c>
      <c r="H39" s="12">
        <f>-EPM($B$3,$B$4,5,$A39,"period_net_amount")</f>
        <v/>
      </c>
      <c r="I39" s="12">
        <f>-EPM($B$3,$B$4,6,$A39,"period_net_amount")</f>
        <v/>
      </c>
      <c r="J39" s="12">
        <f>-EPM($B$3,$B$4,"Q2",$A39,"period_net_amount")</f>
        <v/>
      </c>
      <c r="K39" s="12">
        <f>-EPM($B$3,$B$4,7,$A39,"period_net_amount")</f>
        <v/>
      </c>
      <c r="L39" s="12">
        <f>-EPM($B$3,$B$4,8,$A39,"period_net_amount")</f>
        <v/>
      </c>
      <c r="M39" s="12">
        <f>-EPM($B$3,$B$4,9,$A39,"period_net_amount")</f>
        <v/>
      </c>
      <c r="N39" s="12">
        <f>-EPM($B$3,$B$4,"Q3",$A39,"period_net_amount")</f>
        <v/>
      </c>
      <c r="O39" s="12">
        <f>-EPM($B$3,$B$4,10,$A39,"period_net_amount")</f>
        <v/>
      </c>
      <c r="P39" s="12">
        <f>-EPM($B$3,$B$4,11,$A39,"period_net_amount")</f>
        <v/>
      </c>
      <c r="Q39" s="12">
        <f>-EPM($B$3,$B$4,12,$A39,"period_net_amount")</f>
        <v/>
      </c>
      <c r="R39" s="12">
        <f>-EPM($B$3,$B$4,"Q4",$A39,"period_net_amount")</f>
        <v/>
      </c>
      <c r="S39" s="12">
        <f>-EPM($B$3,$B$4,"H1",$A39,"period_net_amount")</f>
        <v/>
      </c>
      <c r="T39" s="12">
        <f>-EPM($B$3,$B$4,"H2",$A39,"period_net_amount")</f>
        <v/>
      </c>
      <c r="U39" s="12">
        <f>-EPM($B$3,$B$4,"FY",$A39,"period_net_amount")</f>
        <v/>
      </c>
    </row>
    <row r="40">
      <c r="A40" s="7" t="inlineStr">
        <is>
          <t>602130</t>
        </is>
      </c>
      <c r="B40" s="8" t="inlineStr">
        <is>
          <t>Health/Life Insurance</t>
        </is>
      </c>
      <c r="C40" s="9">
        <f>-EPM($B$3,$B$4,1,$A40,"period_net_amount")</f>
        <v/>
      </c>
      <c r="D40" s="9">
        <f>-EPM($B$3,$B$4,2,$A40,"period_net_amount")</f>
        <v/>
      </c>
      <c r="E40" s="9">
        <f>-EPM($B$3,$B$4,3,$A40,"period_net_amount")</f>
        <v/>
      </c>
      <c r="F40" s="9">
        <f>-EPM($B$3,$B$4,"Q1",$A40,"period_net_amount")</f>
        <v/>
      </c>
      <c r="G40" s="9">
        <f>-EPM($B$3,$B$4,4,$A40,"period_net_amount")</f>
        <v/>
      </c>
      <c r="H40" s="9">
        <f>-EPM($B$3,$B$4,5,$A40,"period_net_amount")</f>
        <v/>
      </c>
      <c r="I40" s="9">
        <f>-EPM($B$3,$B$4,6,$A40,"period_net_amount")</f>
        <v/>
      </c>
      <c r="J40" s="9">
        <f>-EPM($B$3,$B$4,"Q2",$A40,"period_net_amount")</f>
        <v/>
      </c>
      <c r="K40" s="9">
        <f>-EPM($B$3,$B$4,7,$A40,"period_net_amount")</f>
        <v/>
      </c>
      <c r="L40" s="9">
        <f>-EPM($B$3,$B$4,8,$A40,"period_net_amount")</f>
        <v/>
      </c>
      <c r="M40" s="9">
        <f>-EPM($B$3,$B$4,9,$A40,"period_net_amount")</f>
        <v/>
      </c>
      <c r="N40" s="9">
        <f>-EPM($B$3,$B$4,"Q3",$A40,"period_net_amount")</f>
        <v/>
      </c>
      <c r="O40" s="9">
        <f>-EPM($B$3,$B$4,10,$A40,"period_net_amount")</f>
        <v/>
      </c>
      <c r="P40" s="9">
        <f>-EPM($B$3,$B$4,11,$A40,"period_net_amount")</f>
        <v/>
      </c>
      <c r="Q40" s="9">
        <f>-EPM($B$3,$B$4,12,$A40,"period_net_amount")</f>
        <v/>
      </c>
      <c r="R40" s="9">
        <f>-EPM($B$3,$B$4,"Q4",$A40,"period_net_amount")</f>
        <v/>
      </c>
      <c r="S40" s="9">
        <f>-EPM($B$3,$B$4,"H1",$A40,"period_net_amount")</f>
        <v/>
      </c>
      <c r="T40" s="9">
        <f>-EPM($B$3,$B$4,"H2",$A40,"period_net_amount")</f>
        <v/>
      </c>
      <c r="U40" s="9">
        <f>-EPM($B$3,$B$4,"FY",$A40,"period_net_amount")</f>
        <v/>
      </c>
    </row>
    <row r="41">
      <c r="A41" s="10" t="inlineStr">
        <is>
          <t>602180</t>
        </is>
      </c>
      <c r="B41" s="11" t="inlineStr">
        <is>
          <t>Pension/Profit-Sharing</t>
        </is>
      </c>
      <c r="C41" s="12">
        <f>-EPM($B$3,$B$4,1,$A41,"period_net_amount")</f>
        <v/>
      </c>
      <c r="D41" s="12">
        <f>-EPM($B$3,$B$4,2,$A41,"period_net_amount")</f>
        <v/>
      </c>
      <c r="E41" s="12">
        <f>-EPM($B$3,$B$4,3,$A41,"period_net_amount")</f>
        <v/>
      </c>
      <c r="F41" s="12">
        <f>-EPM($B$3,$B$4,"Q1",$A41,"period_net_amount")</f>
        <v/>
      </c>
      <c r="G41" s="12">
        <f>-EPM($B$3,$B$4,4,$A41,"period_net_amount")</f>
        <v/>
      </c>
      <c r="H41" s="12">
        <f>-EPM($B$3,$B$4,5,$A41,"period_net_amount")</f>
        <v/>
      </c>
      <c r="I41" s="12">
        <f>-EPM($B$3,$B$4,6,$A41,"period_net_amount")</f>
        <v/>
      </c>
      <c r="J41" s="12">
        <f>-EPM($B$3,$B$4,"Q2",$A41,"period_net_amount")</f>
        <v/>
      </c>
      <c r="K41" s="12">
        <f>-EPM($B$3,$B$4,7,$A41,"period_net_amount")</f>
        <v/>
      </c>
      <c r="L41" s="12">
        <f>-EPM($B$3,$B$4,8,$A41,"period_net_amount")</f>
        <v/>
      </c>
      <c r="M41" s="12">
        <f>-EPM($B$3,$B$4,9,$A41,"period_net_amount")</f>
        <v/>
      </c>
      <c r="N41" s="12">
        <f>-EPM($B$3,$B$4,"Q3",$A41,"period_net_amount")</f>
        <v/>
      </c>
      <c r="O41" s="12">
        <f>-EPM($B$3,$B$4,10,$A41,"period_net_amount")</f>
        <v/>
      </c>
      <c r="P41" s="12">
        <f>-EPM($B$3,$B$4,11,$A41,"period_net_amount")</f>
        <v/>
      </c>
      <c r="Q41" s="12">
        <f>-EPM($B$3,$B$4,12,$A41,"period_net_amount")</f>
        <v/>
      </c>
      <c r="R41" s="12">
        <f>-EPM($B$3,$B$4,"Q4",$A41,"period_net_amount")</f>
        <v/>
      </c>
      <c r="S41" s="12">
        <f>-EPM($B$3,$B$4,"H1",$A41,"period_net_amount")</f>
        <v/>
      </c>
      <c r="T41" s="12">
        <f>-EPM($B$3,$B$4,"H2",$A41,"period_net_amount")</f>
        <v/>
      </c>
      <c r="U41" s="12">
        <f>-EPM($B$3,$B$4,"FY",$A41,"period_net_amount")</f>
        <v/>
      </c>
    </row>
    <row r="42">
      <c r="A42" s="7" t="inlineStr">
        <is>
          <t>604500</t>
        </is>
      </c>
      <c r="B42" s="8" t="inlineStr">
        <is>
          <t>Lease Expense</t>
        </is>
      </c>
      <c r="C42" s="9">
        <f>-EPM($B$3,$B$4,1,$A42,"period_net_amount")</f>
        <v/>
      </c>
      <c r="D42" s="9">
        <f>-EPM($B$3,$B$4,2,$A42,"period_net_amount")</f>
        <v/>
      </c>
      <c r="E42" s="9">
        <f>-EPM($B$3,$B$4,3,$A42,"period_net_amount")</f>
        <v/>
      </c>
      <c r="F42" s="9">
        <f>-EPM($B$3,$B$4,"Q1",$A42,"period_net_amount")</f>
        <v/>
      </c>
      <c r="G42" s="9">
        <f>-EPM($B$3,$B$4,4,$A42,"period_net_amount")</f>
        <v/>
      </c>
      <c r="H42" s="9">
        <f>-EPM($B$3,$B$4,5,$A42,"period_net_amount")</f>
        <v/>
      </c>
      <c r="I42" s="9">
        <f>-EPM($B$3,$B$4,6,$A42,"period_net_amount")</f>
        <v/>
      </c>
      <c r="J42" s="9">
        <f>-EPM($B$3,$B$4,"Q2",$A42,"period_net_amount")</f>
        <v/>
      </c>
      <c r="K42" s="9">
        <f>-EPM($B$3,$B$4,7,$A42,"period_net_amount")</f>
        <v/>
      </c>
      <c r="L42" s="9">
        <f>-EPM($B$3,$B$4,8,$A42,"period_net_amount")</f>
        <v/>
      </c>
      <c r="M42" s="9">
        <f>-EPM($B$3,$B$4,9,$A42,"period_net_amount")</f>
        <v/>
      </c>
      <c r="N42" s="9">
        <f>-EPM($B$3,$B$4,"Q3",$A42,"period_net_amount")</f>
        <v/>
      </c>
      <c r="O42" s="9">
        <f>-EPM($B$3,$B$4,10,$A42,"period_net_amount")</f>
        <v/>
      </c>
      <c r="P42" s="9">
        <f>-EPM($B$3,$B$4,11,$A42,"period_net_amount")</f>
        <v/>
      </c>
      <c r="Q42" s="9">
        <f>-EPM($B$3,$B$4,12,$A42,"period_net_amount")</f>
        <v/>
      </c>
      <c r="R42" s="9">
        <f>-EPM($B$3,$B$4,"Q4",$A42,"period_net_amount")</f>
        <v/>
      </c>
      <c r="S42" s="9">
        <f>-EPM($B$3,$B$4,"H1",$A42,"period_net_amount")</f>
        <v/>
      </c>
      <c r="T42" s="9">
        <f>-EPM($B$3,$B$4,"H2",$A42,"period_net_amount")</f>
        <v/>
      </c>
      <c r="U42" s="9">
        <f>-EPM($B$3,$B$4,"FY",$A42,"period_net_amount")</f>
        <v/>
      </c>
    </row>
    <row r="43">
      <c r="A43" s="10" t="inlineStr">
        <is>
          <t>605150</t>
        </is>
      </c>
      <c r="B43" s="11" t="inlineStr">
        <is>
          <t>Rent Expense</t>
        </is>
      </c>
      <c r="C43" s="12">
        <f>-EPM($B$3,$B$4,1,$A43,"period_net_amount")</f>
        <v/>
      </c>
      <c r="D43" s="12">
        <f>-EPM($B$3,$B$4,2,$A43,"period_net_amount")</f>
        <v/>
      </c>
      <c r="E43" s="12">
        <f>-EPM($B$3,$B$4,3,$A43,"period_net_amount")</f>
        <v/>
      </c>
      <c r="F43" s="12">
        <f>-EPM($B$3,$B$4,"Q1",$A43,"period_net_amount")</f>
        <v/>
      </c>
      <c r="G43" s="12">
        <f>-EPM($B$3,$B$4,4,$A43,"period_net_amount")</f>
        <v/>
      </c>
      <c r="H43" s="12">
        <f>-EPM($B$3,$B$4,5,$A43,"period_net_amount")</f>
        <v/>
      </c>
      <c r="I43" s="12">
        <f>-EPM($B$3,$B$4,6,$A43,"period_net_amount")</f>
        <v/>
      </c>
      <c r="J43" s="12">
        <f>-EPM($B$3,$B$4,"Q2",$A43,"period_net_amount")</f>
        <v/>
      </c>
      <c r="K43" s="12">
        <f>-EPM($B$3,$B$4,7,$A43,"period_net_amount")</f>
        <v/>
      </c>
      <c r="L43" s="12">
        <f>-EPM($B$3,$B$4,8,$A43,"period_net_amount")</f>
        <v/>
      </c>
      <c r="M43" s="12">
        <f>-EPM($B$3,$B$4,9,$A43,"period_net_amount")</f>
        <v/>
      </c>
      <c r="N43" s="12">
        <f>-EPM($B$3,$B$4,"Q3",$A43,"period_net_amount")</f>
        <v/>
      </c>
      <c r="O43" s="12">
        <f>-EPM($B$3,$B$4,10,$A43,"period_net_amount")</f>
        <v/>
      </c>
      <c r="P43" s="12">
        <f>-EPM($B$3,$B$4,11,$A43,"period_net_amount")</f>
        <v/>
      </c>
      <c r="Q43" s="12">
        <f>-EPM($B$3,$B$4,12,$A43,"period_net_amount")</f>
        <v/>
      </c>
      <c r="R43" s="12">
        <f>-EPM($B$3,$B$4,"Q4",$A43,"period_net_amount")</f>
        <v/>
      </c>
      <c r="S43" s="12">
        <f>-EPM($B$3,$B$4,"H1",$A43,"period_net_amount")</f>
        <v/>
      </c>
      <c r="T43" s="12">
        <f>-EPM($B$3,$B$4,"H2",$A43,"period_net_amount")</f>
        <v/>
      </c>
      <c r="U43" s="12">
        <f>-EPM($B$3,$B$4,"FY",$A43,"period_net_amount")</f>
        <v/>
      </c>
    </row>
    <row r="44">
      <c r="A44" s="7" t="inlineStr">
        <is>
          <t>605160</t>
        </is>
      </c>
      <c r="B44" s="8" t="inlineStr">
        <is>
          <t>Utilities</t>
        </is>
      </c>
      <c r="C44" s="9">
        <f>-EPM($B$3,$B$4,1,$A44,"period_net_amount")</f>
        <v/>
      </c>
      <c r="D44" s="9">
        <f>-EPM($B$3,$B$4,2,$A44,"period_net_amount")</f>
        <v/>
      </c>
      <c r="E44" s="9">
        <f>-EPM($B$3,$B$4,3,$A44,"period_net_amount")</f>
        <v/>
      </c>
      <c r="F44" s="9">
        <f>-EPM($B$3,$B$4,"Q1",$A44,"period_net_amount")</f>
        <v/>
      </c>
      <c r="G44" s="9">
        <f>-EPM($B$3,$B$4,4,$A44,"period_net_amount")</f>
        <v/>
      </c>
      <c r="H44" s="9">
        <f>-EPM($B$3,$B$4,5,$A44,"period_net_amount")</f>
        <v/>
      </c>
      <c r="I44" s="9">
        <f>-EPM($B$3,$B$4,6,$A44,"period_net_amount")</f>
        <v/>
      </c>
      <c r="J44" s="9">
        <f>-EPM($B$3,$B$4,"Q2",$A44,"period_net_amount")</f>
        <v/>
      </c>
      <c r="K44" s="9">
        <f>-EPM($B$3,$B$4,7,$A44,"period_net_amount")</f>
        <v/>
      </c>
      <c r="L44" s="9">
        <f>-EPM($B$3,$B$4,8,$A44,"period_net_amount")</f>
        <v/>
      </c>
      <c r="M44" s="9">
        <f>-EPM($B$3,$B$4,9,$A44,"period_net_amount")</f>
        <v/>
      </c>
      <c r="N44" s="9">
        <f>-EPM($B$3,$B$4,"Q3",$A44,"period_net_amount")</f>
        <v/>
      </c>
      <c r="O44" s="9">
        <f>-EPM($B$3,$B$4,10,$A44,"period_net_amount")</f>
        <v/>
      </c>
      <c r="P44" s="9">
        <f>-EPM($B$3,$B$4,11,$A44,"period_net_amount")</f>
        <v/>
      </c>
      <c r="Q44" s="9">
        <f>-EPM($B$3,$B$4,12,$A44,"period_net_amount")</f>
        <v/>
      </c>
      <c r="R44" s="9">
        <f>-EPM($B$3,$B$4,"Q4",$A44,"period_net_amount")</f>
        <v/>
      </c>
      <c r="S44" s="9">
        <f>-EPM($B$3,$B$4,"H1",$A44,"period_net_amount")</f>
        <v/>
      </c>
      <c r="T44" s="9">
        <f>-EPM($B$3,$B$4,"H2",$A44,"period_net_amount")</f>
        <v/>
      </c>
      <c r="U44" s="9">
        <f>-EPM($B$3,$B$4,"FY",$A44,"period_net_amount")</f>
        <v/>
      </c>
    </row>
    <row r="45">
      <c r="A45" s="10" t="inlineStr">
        <is>
          <t>606200</t>
        </is>
      </c>
      <c r="B45" s="11" t="inlineStr">
        <is>
          <t>Insurance Expense</t>
        </is>
      </c>
      <c r="C45" s="12">
        <f>-EPM($B$3,$B$4,1,$A45,"period_net_amount")</f>
        <v/>
      </c>
      <c r="D45" s="12">
        <f>-EPM($B$3,$B$4,2,$A45,"period_net_amount")</f>
        <v/>
      </c>
      <c r="E45" s="12">
        <f>-EPM($B$3,$B$4,3,$A45,"period_net_amount")</f>
        <v/>
      </c>
      <c r="F45" s="12">
        <f>-EPM($B$3,$B$4,"Q1",$A45,"period_net_amount")</f>
        <v/>
      </c>
      <c r="G45" s="12">
        <f>-EPM($B$3,$B$4,4,$A45,"period_net_amount")</f>
        <v/>
      </c>
      <c r="H45" s="12">
        <f>-EPM($B$3,$B$4,5,$A45,"period_net_amount")</f>
        <v/>
      </c>
      <c r="I45" s="12">
        <f>-EPM($B$3,$B$4,6,$A45,"period_net_amount")</f>
        <v/>
      </c>
      <c r="J45" s="12">
        <f>-EPM($B$3,$B$4,"Q2",$A45,"period_net_amount")</f>
        <v/>
      </c>
      <c r="K45" s="12">
        <f>-EPM($B$3,$B$4,7,$A45,"period_net_amount")</f>
        <v/>
      </c>
      <c r="L45" s="12">
        <f>-EPM($B$3,$B$4,8,$A45,"period_net_amount")</f>
        <v/>
      </c>
      <c r="M45" s="12">
        <f>-EPM($B$3,$B$4,9,$A45,"period_net_amount")</f>
        <v/>
      </c>
      <c r="N45" s="12">
        <f>-EPM($B$3,$B$4,"Q3",$A45,"period_net_amount")</f>
        <v/>
      </c>
      <c r="O45" s="12">
        <f>-EPM($B$3,$B$4,10,$A45,"period_net_amount")</f>
        <v/>
      </c>
      <c r="P45" s="12">
        <f>-EPM($B$3,$B$4,11,$A45,"period_net_amount")</f>
        <v/>
      </c>
      <c r="Q45" s="12">
        <f>-EPM($B$3,$B$4,12,$A45,"period_net_amount")</f>
        <v/>
      </c>
      <c r="R45" s="12">
        <f>-EPM($B$3,$B$4,"Q4",$A45,"period_net_amount")</f>
        <v/>
      </c>
      <c r="S45" s="12">
        <f>-EPM($B$3,$B$4,"H1",$A45,"period_net_amount")</f>
        <v/>
      </c>
      <c r="T45" s="12">
        <f>-EPM($B$3,$B$4,"H2",$A45,"period_net_amount")</f>
        <v/>
      </c>
      <c r="U45" s="12">
        <f>-EPM($B$3,$B$4,"FY",$A45,"period_net_amount")</f>
        <v/>
      </c>
    </row>
    <row r="46">
      <c r="A46" s="7" t="inlineStr">
        <is>
          <t>606300</t>
        </is>
      </c>
      <c r="B46" s="8" t="inlineStr">
        <is>
          <t>Office Expense</t>
        </is>
      </c>
      <c r="C46" s="9">
        <f>-EPM($B$3,$B$4,1,$A46,"period_net_amount")</f>
        <v/>
      </c>
      <c r="D46" s="9">
        <f>-EPM($B$3,$B$4,2,$A46,"period_net_amount")</f>
        <v/>
      </c>
      <c r="E46" s="9">
        <f>-EPM($B$3,$B$4,3,$A46,"period_net_amount")</f>
        <v/>
      </c>
      <c r="F46" s="9">
        <f>-EPM($B$3,$B$4,"Q1",$A46,"period_net_amount")</f>
        <v/>
      </c>
      <c r="G46" s="9">
        <f>-EPM($B$3,$B$4,4,$A46,"period_net_amount")</f>
        <v/>
      </c>
      <c r="H46" s="9">
        <f>-EPM($B$3,$B$4,5,$A46,"period_net_amount")</f>
        <v/>
      </c>
      <c r="I46" s="9">
        <f>-EPM($B$3,$B$4,6,$A46,"period_net_amount")</f>
        <v/>
      </c>
      <c r="J46" s="9">
        <f>-EPM($B$3,$B$4,"Q2",$A46,"period_net_amount")</f>
        <v/>
      </c>
      <c r="K46" s="9">
        <f>-EPM($B$3,$B$4,7,$A46,"period_net_amount")</f>
        <v/>
      </c>
      <c r="L46" s="9">
        <f>-EPM($B$3,$B$4,8,$A46,"period_net_amount")</f>
        <v/>
      </c>
      <c r="M46" s="9">
        <f>-EPM($B$3,$B$4,9,$A46,"period_net_amount")</f>
        <v/>
      </c>
      <c r="N46" s="9">
        <f>-EPM($B$3,$B$4,"Q3",$A46,"period_net_amount")</f>
        <v/>
      </c>
      <c r="O46" s="9">
        <f>-EPM($B$3,$B$4,10,$A46,"period_net_amount")</f>
        <v/>
      </c>
      <c r="P46" s="9">
        <f>-EPM($B$3,$B$4,11,$A46,"period_net_amount")</f>
        <v/>
      </c>
      <c r="Q46" s="9">
        <f>-EPM($B$3,$B$4,12,$A46,"period_net_amount")</f>
        <v/>
      </c>
      <c r="R46" s="9">
        <f>-EPM($B$3,$B$4,"Q4",$A46,"period_net_amount")</f>
        <v/>
      </c>
      <c r="S46" s="9">
        <f>-EPM($B$3,$B$4,"H1",$A46,"period_net_amount")</f>
        <v/>
      </c>
      <c r="T46" s="9">
        <f>-EPM($B$3,$B$4,"H2",$A46,"period_net_amount")</f>
        <v/>
      </c>
      <c r="U46" s="9">
        <f>-EPM($B$3,$B$4,"FY",$A46,"period_net_amount")</f>
        <v/>
      </c>
    </row>
    <row r="47">
      <c r="A47" s="10" t="inlineStr">
        <is>
          <t>607200</t>
        </is>
      </c>
      <c r="B47" s="11" t="inlineStr">
        <is>
          <t>Depreciation - Tangible</t>
        </is>
      </c>
      <c r="C47" s="12">
        <f>-EPM($B$3,$B$4,1,$A47,"period_net_amount")</f>
        <v/>
      </c>
      <c r="D47" s="12">
        <f>-EPM($B$3,$B$4,2,$A47,"period_net_amount")</f>
        <v/>
      </c>
      <c r="E47" s="12">
        <f>-EPM($B$3,$B$4,3,$A47,"period_net_amount")</f>
        <v/>
      </c>
      <c r="F47" s="12">
        <f>-EPM($B$3,$B$4,"Q1",$A47,"period_net_amount")</f>
        <v/>
      </c>
      <c r="G47" s="12">
        <f>-EPM($B$3,$B$4,4,$A47,"period_net_amount")</f>
        <v/>
      </c>
      <c r="H47" s="12">
        <f>-EPM($B$3,$B$4,5,$A47,"period_net_amount")</f>
        <v/>
      </c>
      <c r="I47" s="12">
        <f>-EPM($B$3,$B$4,6,$A47,"period_net_amount")</f>
        <v/>
      </c>
      <c r="J47" s="12">
        <f>-EPM($B$3,$B$4,"Q2",$A47,"period_net_amount")</f>
        <v/>
      </c>
      <c r="K47" s="12">
        <f>-EPM($B$3,$B$4,7,$A47,"period_net_amount")</f>
        <v/>
      </c>
      <c r="L47" s="12">
        <f>-EPM($B$3,$B$4,8,$A47,"period_net_amount")</f>
        <v/>
      </c>
      <c r="M47" s="12">
        <f>-EPM($B$3,$B$4,9,$A47,"period_net_amount")</f>
        <v/>
      </c>
      <c r="N47" s="12">
        <f>-EPM($B$3,$B$4,"Q3",$A47,"period_net_amount")</f>
        <v/>
      </c>
      <c r="O47" s="12">
        <f>-EPM($B$3,$B$4,10,$A47,"period_net_amount")</f>
        <v/>
      </c>
      <c r="P47" s="12">
        <f>-EPM($B$3,$B$4,11,$A47,"period_net_amount")</f>
        <v/>
      </c>
      <c r="Q47" s="12">
        <f>-EPM($B$3,$B$4,12,$A47,"period_net_amount")</f>
        <v/>
      </c>
      <c r="R47" s="12">
        <f>-EPM($B$3,$B$4,"Q4",$A47,"period_net_amount")</f>
        <v/>
      </c>
      <c r="S47" s="12">
        <f>-EPM($B$3,$B$4,"H1",$A47,"period_net_amount")</f>
        <v/>
      </c>
      <c r="T47" s="12">
        <f>-EPM($B$3,$B$4,"H2",$A47,"period_net_amount")</f>
        <v/>
      </c>
      <c r="U47" s="12">
        <f>-EPM($B$3,$B$4,"FY",$A47,"period_net_amount")</f>
        <v/>
      </c>
    </row>
    <row r="48">
      <c r="A48" s="7" t="inlineStr">
        <is>
          <t>618900</t>
        </is>
      </c>
      <c r="B48" s="8" t="inlineStr">
        <is>
          <t>Miscellaneous Expense</t>
        </is>
      </c>
      <c r="C48" s="9">
        <f>-EPM($B$3,$B$4,1,$A48,"period_net_amount")</f>
        <v/>
      </c>
      <c r="D48" s="9">
        <f>-EPM($B$3,$B$4,2,$A48,"period_net_amount")</f>
        <v/>
      </c>
      <c r="E48" s="9">
        <f>-EPM($B$3,$B$4,3,$A48,"period_net_amount")</f>
        <v/>
      </c>
      <c r="F48" s="9">
        <f>-EPM($B$3,$B$4,"Q1",$A48,"period_net_amount")</f>
        <v/>
      </c>
      <c r="G48" s="9">
        <f>-EPM($B$3,$B$4,4,$A48,"period_net_amount")</f>
        <v/>
      </c>
      <c r="H48" s="9">
        <f>-EPM($B$3,$B$4,5,$A48,"period_net_amount")</f>
        <v/>
      </c>
      <c r="I48" s="9">
        <f>-EPM($B$3,$B$4,6,$A48,"period_net_amount")</f>
        <v/>
      </c>
      <c r="J48" s="9">
        <f>-EPM($B$3,$B$4,"Q2",$A48,"period_net_amount")</f>
        <v/>
      </c>
      <c r="K48" s="9">
        <f>-EPM($B$3,$B$4,7,$A48,"period_net_amount")</f>
        <v/>
      </c>
      <c r="L48" s="9">
        <f>-EPM($B$3,$B$4,8,$A48,"period_net_amount")</f>
        <v/>
      </c>
      <c r="M48" s="9">
        <f>-EPM($B$3,$B$4,9,$A48,"period_net_amount")</f>
        <v/>
      </c>
      <c r="N48" s="9">
        <f>-EPM($B$3,$B$4,"Q3",$A48,"period_net_amount")</f>
        <v/>
      </c>
      <c r="O48" s="9">
        <f>-EPM($B$3,$B$4,10,$A48,"period_net_amount")</f>
        <v/>
      </c>
      <c r="P48" s="9">
        <f>-EPM($B$3,$B$4,11,$A48,"period_net_amount")</f>
        <v/>
      </c>
      <c r="Q48" s="9">
        <f>-EPM($B$3,$B$4,12,$A48,"period_net_amount")</f>
        <v/>
      </c>
      <c r="R48" s="9">
        <f>-EPM($B$3,$B$4,"Q4",$A48,"period_net_amount")</f>
        <v/>
      </c>
      <c r="S48" s="9">
        <f>-EPM($B$3,$B$4,"H1",$A48,"period_net_amount")</f>
        <v/>
      </c>
      <c r="T48" s="9">
        <f>-EPM($B$3,$B$4,"H2",$A48,"period_net_amount")</f>
        <v/>
      </c>
      <c r="U48" s="9">
        <f>-EPM($B$3,$B$4,"FY",$A48,"period_net_amount")</f>
        <v/>
      </c>
    </row>
    <row r="49">
      <c r="A49" s="13" t="n"/>
      <c r="B49" s="14" t="inlineStr">
        <is>
          <t>Total Operating Expenses</t>
        </is>
      </c>
      <c r="C49" s="15">
        <f>C34+C35+C36+C37+C38+C39+C40+C41+C42+C43+C44+C45+C46+C47+C48</f>
        <v/>
      </c>
      <c r="D49" s="15">
        <f>D34+D35+D36+D37+D38+D39+D40+D41+D42+D43+D44+D45+D46+D47+D48</f>
        <v/>
      </c>
      <c r="E49" s="15">
        <f>E34+E35+E36+E37+E38+E39+E40+E41+E42+E43+E44+E45+E46+E47+E48</f>
        <v/>
      </c>
      <c r="F49" s="15">
        <f>F34+F35+F36+F37+F38+F39+F40+F41+F42+F43+F44+F45+F46+F47+F48</f>
        <v/>
      </c>
      <c r="G49" s="15">
        <f>G34+G35+G36+G37+G38+G39+G40+G41+G42+G43+G44+G45+G46+G47+G48</f>
        <v/>
      </c>
      <c r="H49" s="15">
        <f>H34+H35+H36+H37+H38+H39+H40+H41+H42+H43+H44+H45+H46+H47+H48</f>
        <v/>
      </c>
      <c r="I49" s="15">
        <f>I34+I35+I36+I37+I38+I39+I40+I41+I42+I43+I44+I45+I46+I47+I48</f>
        <v/>
      </c>
      <c r="J49" s="15">
        <f>J34+J35+J36+J37+J38+J39+J40+J41+J42+J43+J44+J45+J46+J47+J48</f>
        <v/>
      </c>
      <c r="K49" s="15">
        <f>K34+K35+K36+K37+K38+K39+K40+K41+K42+K43+K44+K45+K46+K47+K48</f>
        <v/>
      </c>
      <c r="L49" s="15">
        <f>L34+L35+L36+L37+L38+L39+L40+L41+L42+L43+L44+L45+L46+L47+L48</f>
        <v/>
      </c>
      <c r="M49" s="15">
        <f>M34+M35+M36+M37+M38+M39+M40+M41+M42+M43+M44+M45+M46+M47+M48</f>
        <v/>
      </c>
      <c r="N49" s="15">
        <f>N34+N35+N36+N37+N38+N39+N40+N41+N42+N43+N44+N45+N46+N47+N48</f>
        <v/>
      </c>
      <c r="O49" s="15">
        <f>O34+O35+O36+O37+O38+O39+O40+O41+O42+O43+O44+O45+O46+O47+O48</f>
        <v/>
      </c>
      <c r="P49" s="15">
        <f>P34+P35+P36+P37+P38+P39+P40+P41+P42+P43+P44+P45+P46+P47+P48</f>
        <v/>
      </c>
      <c r="Q49" s="15">
        <f>Q34+Q35+Q36+Q37+Q38+Q39+Q40+Q41+Q42+Q43+Q44+Q45+Q46+Q47+Q48</f>
        <v/>
      </c>
      <c r="R49" s="15">
        <f>R34+R35+R36+R37+R38+R39+R40+R41+R42+R43+R44+R45+R46+R47+R48</f>
        <v/>
      </c>
      <c r="S49" s="15">
        <f>S34+S35+S36+S37+S38+S39+S40+S41+S42+S43+S44+S45+S46+S47+S48</f>
        <v/>
      </c>
      <c r="T49" s="15">
        <f>T34+T35+T36+T37+T38+T39+T40+T41+T42+T43+T44+T45+T46+T47+T48</f>
        <v/>
      </c>
      <c r="U49" s="15">
        <f>U34+U35+U36+U37+U38+U39+U40+U41+U42+U43+U44+U45+U46+U47+U48</f>
        <v/>
      </c>
    </row>
    <row r="51">
      <c r="A51" s="13" t="n"/>
      <c r="B51" s="16" t="inlineStr">
        <is>
          <t>Operating Income</t>
        </is>
      </c>
      <c r="C51" s="17">
        <f>C31-C49</f>
        <v/>
      </c>
      <c r="D51" s="17">
        <f>D31-D49</f>
        <v/>
      </c>
      <c r="E51" s="17">
        <f>E31-E49</f>
        <v/>
      </c>
      <c r="F51" s="17">
        <f>F31-F49</f>
        <v/>
      </c>
      <c r="G51" s="17">
        <f>G31-G49</f>
        <v/>
      </c>
      <c r="H51" s="17">
        <f>H31-H49</f>
        <v/>
      </c>
      <c r="I51" s="17">
        <f>I31-I49</f>
        <v/>
      </c>
      <c r="J51" s="17">
        <f>J31-J49</f>
        <v/>
      </c>
      <c r="K51" s="17">
        <f>K31-K49</f>
        <v/>
      </c>
      <c r="L51" s="17">
        <f>L31-L49</f>
        <v/>
      </c>
      <c r="M51" s="17">
        <f>M31-M49</f>
        <v/>
      </c>
      <c r="N51" s="17">
        <f>N31-N49</f>
        <v/>
      </c>
      <c r="O51" s="17">
        <f>O31-O49</f>
        <v/>
      </c>
      <c r="P51" s="17">
        <f>P31-P49</f>
        <v/>
      </c>
      <c r="Q51" s="17">
        <f>Q31-Q49</f>
        <v/>
      </c>
      <c r="R51" s="17">
        <f>R31-R49</f>
        <v/>
      </c>
      <c r="S51" s="17">
        <f>S31-S49</f>
        <v/>
      </c>
      <c r="T51" s="17">
        <f>T31-T49</f>
        <v/>
      </c>
      <c r="U51" s="17">
        <f>U31-U49</f>
        <v/>
      </c>
    </row>
    <row r="53">
      <c r="B53" s="3" t="inlineStr">
        <is>
          <t>Other Income / Expense</t>
        </is>
      </c>
    </row>
    <row r="54">
      <c r="A54" s="7" t="inlineStr">
        <is>
          <t>700200</t>
        </is>
      </c>
      <c r="B54" s="8" t="inlineStr">
        <is>
          <t>Interest Income - Customers</t>
        </is>
      </c>
      <c r="C54" s="9">
        <f>-EPM($B$3,$B$4,1,$A54,"period_net_amount")</f>
        <v/>
      </c>
      <c r="D54" s="9">
        <f>-EPM($B$3,$B$4,2,$A54,"period_net_amount")</f>
        <v/>
      </c>
      <c r="E54" s="9">
        <f>-EPM($B$3,$B$4,3,$A54,"period_net_amount")</f>
        <v/>
      </c>
      <c r="F54" s="9">
        <f>-EPM($B$3,$B$4,"Q1",$A54,"period_net_amount")</f>
        <v/>
      </c>
      <c r="G54" s="9">
        <f>-EPM($B$3,$B$4,4,$A54,"period_net_amount")</f>
        <v/>
      </c>
      <c r="H54" s="9">
        <f>-EPM($B$3,$B$4,5,$A54,"period_net_amount")</f>
        <v/>
      </c>
      <c r="I54" s="9">
        <f>-EPM($B$3,$B$4,6,$A54,"period_net_amount")</f>
        <v/>
      </c>
      <c r="J54" s="9">
        <f>-EPM($B$3,$B$4,"Q2",$A54,"period_net_amount")</f>
        <v/>
      </c>
      <c r="K54" s="9">
        <f>-EPM($B$3,$B$4,7,$A54,"period_net_amount")</f>
        <v/>
      </c>
      <c r="L54" s="9">
        <f>-EPM($B$3,$B$4,8,$A54,"period_net_amount")</f>
        <v/>
      </c>
      <c r="M54" s="9">
        <f>-EPM($B$3,$B$4,9,$A54,"period_net_amount")</f>
        <v/>
      </c>
      <c r="N54" s="9">
        <f>-EPM($B$3,$B$4,"Q3",$A54,"period_net_amount")</f>
        <v/>
      </c>
      <c r="O54" s="9">
        <f>-EPM($B$3,$B$4,10,$A54,"period_net_amount")</f>
        <v/>
      </c>
      <c r="P54" s="9">
        <f>-EPM($B$3,$B$4,11,$A54,"period_net_amount")</f>
        <v/>
      </c>
      <c r="Q54" s="9">
        <f>-EPM($B$3,$B$4,12,$A54,"period_net_amount")</f>
        <v/>
      </c>
      <c r="R54" s="9">
        <f>-EPM($B$3,$B$4,"Q4",$A54,"period_net_amount")</f>
        <v/>
      </c>
      <c r="S54" s="9">
        <f>-EPM($B$3,$B$4,"H1",$A54,"period_net_amount")</f>
        <v/>
      </c>
      <c r="T54" s="9">
        <f>-EPM($B$3,$B$4,"H2",$A54,"period_net_amount")</f>
        <v/>
      </c>
      <c r="U54" s="9">
        <f>-EPM($B$3,$B$4,"FY",$A54,"period_net_amount")</f>
        <v/>
      </c>
    </row>
    <row r="55">
      <c r="A55" s="10" t="inlineStr">
        <is>
          <t>800200</t>
        </is>
      </c>
      <c r="B55" s="11" t="inlineStr">
        <is>
          <t>Partners - Interest</t>
        </is>
      </c>
      <c r="C55" s="12">
        <f>-EPM($B$3,$B$4,1,$A55,"period_net_amount")</f>
        <v/>
      </c>
      <c r="D55" s="12">
        <f>-EPM($B$3,$B$4,2,$A55,"period_net_amount")</f>
        <v/>
      </c>
      <c r="E55" s="12">
        <f>-EPM($B$3,$B$4,3,$A55,"period_net_amount")</f>
        <v/>
      </c>
      <c r="F55" s="12">
        <f>-EPM($B$3,$B$4,"Q1",$A55,"period_net_amount")</f>
        <v/>
      </c>
      <c r="G55" s="12">
        <f>-EPM($B$3,$B$4,4,$A55,"period_net_amount")</f>
        <v/>
      </c>
      <c r="H55" s="12">
        <f>-EPM($B$3,$B$4,5,$A55,"period_net_amount")</f>
        <v/>
      </c>
      <c r="I55" s="12">
        <f>-EPM($B$3,$B$4,6,$A55,"period_net_amount")</f>
        <v/>
      </c>
      <c r="J55" s="12">
        <f>-EPM($B$3,$B$4,"Q2",$A55,"period_net_amount")</f>
        <v/>
      </c>
      <c r="K55" s="12">
        <f>-EPM($B$3,$B$4,7,$A55,"period_net_amount")</f>
        <v/>
      </c>
      <c r="L55" s="12">
        <f>-EPM($B$3,$B$4,8,$A55,"period_net_amount")</f>
        <v/>
      </c>
      <c r="M55" s="12">
        <f>-EPM($B$3,$B$4,9,$A55,"period_net_amount")</f>
        <v/>
      </c>
      <c r="N55" s="12">
        <f>-EPM($B$3,$B$4,"Q3",$A55,"period_net_amount")</f>
        <v/>
      </c>
      <c r="O55" s="12">
        <f>-EPM($B$3,$B$4,10,$A55,"period_net_amount")</f>
        <v/>
      </c>
      <c r="P55" s="12">
        <f>-EPM($B$3,$B$4,11,$A55,"period_net_amount")</f>
        <v/>
      </c>
      <c r="Q55" s="12">
        <f>-EPM($B$3,$B$4,12,$A55,"period_net_amount")</f>
        <v/>
      </c>
      <c r="R55" s="12">
        <f>-EPM($B$3,$B$4,"Q4",$A55,"period_net_amount")</f>
        <v/>
      </c>
      <c r="S55" s="12">
        <f>-EPM($B$3,$B$4,"H1",$A55,"period_net_amount")</f>
        <v/>
      </c>
      <c r="T55" s="12">
        <f>-EPM($B$3,$B$4,"H2",$A55,"period_net_amount")</f>
        <v/>
      </c>
      <c r="U55" s="12">
        <f>-EPM($B$3,$B$4,"FY",$A55,"period_net_amount")</f>
        <v/>
      </c>
    </row>
    <row r="56">
      <c r="A56" s="7" t="inlineStr">
        <is>
          <t>801100</t>
        </is>
      </c>
      <c r="B56" s="8" t="inlineStr">
        <is>
          <t>Gain/Loss - Disposal of Assets</t>
        </is>
      </c>
      <c r="C56" s="9">
        <f>-EPM($B$3,$B$4,1,$A56,"period_net_amount")</f>
        <v/>
      </c>
      <c r="D56" s="9">
        <f>-EPM($B$3,$B$4,2,$A56,"period_net_amount")</f>
        <v/>
      </c>
      <c r="E56" s="9">
        <f>-EPM($B$3,$B$4,3,$A56,"period_net_amount")</f>
        <v/>
      </c>
      <c r="F56" s="9">
        <f>-EPM($B$3,$B$4,"Q1",$A56,"period_net_amount")</f>
        <v/>
      </c>
      <c r="G56" s="9">
        <f>-EPM($B$3,$B$4,4,$A56,"period_net_amount")</f>
        <v/>
      </c>
      <c r="H56" s="9">
        <f>-EPM($B$3,$B$4,5,$A56,"period_net_amount")</f>
        <v/>
      </c>
      <c r="I56" s="9">
        <f>-EPM($B$3,$B$4,6,$A56,"period_net_amount")</f>
        <v/>
      </c>
      <c r="J56" s="9">
        <f>-EPM($B$3,$B$4,"Q2",$A56,"period_net_amount")</f>
        <v/>
      </c>
      <c r="K56" s="9">
        <f>-EPM($B$3,$B$4,7,$A56,"period_net_amount")</f>
        <v/>
      </c>
      <c r="L56" s="9">
        <f>-EPM($B$3,$B$4,8,$A56,"period_net_amount")</f>
        <v/>
      </c>
      <c r="M56" s="9">
        <f>-EPM($B$3,$B$4,9,$A56,"period_net_amount")</f>
        <v/>
      </c>
      <c r="N56" s="9">
        <f>-EPM($B$3,$B$4,"Q3",$A56,"period_net_amount")</f>
        <v/>
      </c>
      <c r="O56" s="9">
        <f>-EPM($B$3,$B$4,10,$A56,"period_net_amount")</f>
        <v/>
      </c>
      <c r="P56" s="9">
        <f>-EPM($B$3,$B$4,11,$A56,"period_net_amount")</f>
        <v/>
      </c>
      <c r="Q56" s="9">
        <f>-EPM($B$3,$B$4,12,$A56,"period_net_amount")</f>
        <v/>
      </c>
      <c r="R56" s="9">
        <f>-EPM($B$3,$B$4,"Q4",$A56,"period_net_amount")</f>
        <v/>
      </c>
      <c r="S56" s="9">
        <f>-EPM($B$3,$B$4,"H1",$A56,"period_net_amount")</f>
        <v/>
      </c>
      <c r="T56" s="9">
        <f>-EPM($B$3,$B$4,"H2",$A56,"period_net_amount")</f>
        <v/>
      </c>
      <c r="U56" s="9">
        <f>-EPM($B$3,$B$4,"FY",$A56,"period_net_amount")</f>
        <v/>
      </c>
    </row>
    <row r="57">
      <c r="A57" s="10" t="inlineStr">
        <is>
          <t>801200</t>
        </is>
      </c>
      <c r="B57" s="11" t="inlineStr">
        <is>
          <t>Gain/Loss - Revaluation</t>
        </is>
      </c>
      <c r="C57" s="12">
        <f>-EPM($B$3,$B$4,1,$A57,"period_net_amount")</f>
        <v/>
      </c>
      <c r="D57" s="12">
        <f>-EPM($B$3,$B$4,2,$A57,"period_net_amount")</f>
        <v/>
      </c>
      <c r="E57" s="12">
        <f>-EPM($B$3,$B$4,3,$A57,"period_net_amount")</f>
        <v/>
      </c>
      <c r="F57" s="12">
        <f>-EPM($B$3,$B$4,"Q1",$A57,"period_net_amount")</f>
        <v/>
      </c>
      <c r="G57" s="12">
        <f>-EPM($B$3,$B$4,4,$A57,"period_net_amount")</f>
        <v/>
      </c>
      <c r="H57" s="12">
        <f>-EPM($B$3,$B$4,5,$A57,"period_net_amount")</f>
        <v/>
      </c>
      <c r="I57" s="12">
        <f>-EPM($B$3,$B$4,6,$A57,"period_net_amount")</f>
        <v/>
      </c>
      <c r="J57" s="12">
        <f>-EPM($B$3,$B$4,"Q2",$A57,"period_net_amount")</f>
        <v/>
      </c>
      <c r="K57" s="12">
        <f>-EPM($B$3,$B$4,7,$A57,"period_net_amount")</f>
        <v/>
      </c>
      <c r="L57" s="12">
        <f>-EPM($B$3,$B$4,8,$A57,"period_net_amount")</f>
        <v/>
      </c>
      <c r="M57" s="12">
        <f>-EPM($B$3,$B$4,9,$A57,"period_net_amount")</f>
        <v/>
      </c>
      <c r="N57" s="12">
        <f>-EPM($B$3,$B$4,"Q3",$A57,"period_net_amount")</f>
        <v/>
      </c>
      <c r="O57" s="12">
        <f>-EPM($B$3,$B$4,10,$A57,"period_net_amount")</f>
        <v/>
      </c>
      <c r="P57" s="12">
        <f>-EPM($B$3,$B$4,11,$A57,"period_net_amount")</f>
        <v/>
      </c>
      <c r="Q57" s="12">
        <f>-EPM($B$3,$B$4,12,$A57,"period_net_amount")</f>
        <v/>
      </c>
      <c r="R57" s="12">
        <f>-EPM($B$3,$B$4,"Q4",$A57,"period_net_amount")</f>
        <v/>
      </c>
      <c r="S57" s="12">
        <f>-EPM($B$3,$B$4,"H1",$A57,"period_net_amount")</f>
        <v/>
      </c>
      <c r="T57" s="12">
        <f>-EPM($B$3,$B$4,"H2",$A57,"period_net_amount")</f>
        <v/>
      </c>
      <c r="U57" s="12">
        <f>-EPM($B$3,$B$4,"FY",$A57,"period_net_amount")</f>
        <v/>
      </c>
    </row>
    <row r="58">
      <c r="A58" s="7" t="inlineStr">
        <is>
          <t>801400</t>
        </is>
      </c>
      <c r="B58" s="8" t="inlineStr">
        <is>
          <t>Currency Loss - Realized</t>
        </is>
      </c>
      <c r="C58" s="9">
        <f>-EPM($B$3,$B$4,1,$A58,"period_net_amount")</f>
        <v/>
      </c>
      <c r="D58" s="9">
        <f>-EPM($B$3,$B$4,2,$A58,"period_net_amount")</f>
        <v/>
      </c>
      <c r="E58" s="9">
        <f>-EPM($B$3,$B$4,3,$A58,"period_net_amount")</f>
        <v/>
      </c>
      <c r="F58" s="9">
        <f>-EPM($B$3,$B$4,"Q1",$A58,"period_net_amount")</f>
        <v/>
      </c>
      <c r="G58" s="9">
        <f>-EPM($B$3,$B$4,4,$A58,"period_net_amount")</f>
        <v/>
      </c>
      <c r="H58" s="9">
        <f>-EPM($B$3,$B$4,5,$A58,"period_net_amount")</f>
        <v/>
      </c>
      <c r="I58" s="9">
        <f>-EPM($B$3,$B$4,6,$A58,"period_net_amount")</f>
        <v/>
      </c>
      <c r="J58" s="9">
        <f>-EPM($B$3,$B$4,"Q2",$A58,"period_net_amount")</f>
        <v/>
      </c>
      <c r="K58" s="9">
        <f>-EPM($B$3,$B$4,7,$A58,"period_net_amount")</f>
        <v/>
      </c>
      <c r="L58" s="9">
        <f>-EPM($B$3,$B$4,8,$A58,"period_net_amount")</f>
        <v/>
      </c>
      <c r="M58" s="9">
        <f>-EPM($B$3,$B$4,9,$A58,"period_net_amount")</f>
        <v/>
      </c>
      <c r="N58" s="9">
        <f>-EPM($B$3,$B$4,"Q3",$A58,"period_net_amount")</f>
        <v/>
      </c>
      <c r="O58" s="9">
        <f>-EPM($B$3,$B$4,10,$A58,"period_net_amount")</f>
        <v/>
      </c>
      <c r="P58" s="9">
        <f>-EPM($B$3,$B$4,11,$A58,"period_net_amount")</f>
        <v/>
      </c>
      <c r="Q58" s="9">
        <f>-EPM($B$3,$B$4,12,$A58,"period_net_amount")</f>
        <v/>
      </c>
      <c r="R58" s="9">
        <f>-EPM($B$3,$B$4,"Q4",$A58,"period_net_amount")</f>
        <v/>
      </c>
      <c r="S58" s="9">
        <f>-EPM($B$3,$B$4,"H1",$A58,"period_net_amount")</f>
        <v/>
      </c>
      <c r="T58" s="9">
        <f>-EPM($B$3,$B$4,"H2",$A58,"period_net_amount")</f>
        <v/>
      </c>
      <c r="U58" s="9">
        <f>-EPM($B$3,$B$4,"FY",$A58,"period_net_amount")</f>
        <v/>
      </c>
    </row>
    <row r="59">
      <c r="A59" s="10" t="inlineStr">
        <is>
          <t>801500</t>
        </is>
      </c>
      <c r="B59" s="11" t="inlineStr">
        <is>
          <t>Currency Gain - Realized</t>
        </is>
      </c>
      <c r="C59" s="12">
        <f>-EPM($B$3,$B$4,1,$A59,"period_net_amount")</f>
        <v/>
      </c>
      <c r="D59" s="12">
        <f>-EPM($B$3,$B$4,2,$A59,"period_net_amount")</f>
        <v/>
      </c>
      <c r="E59" s="12">
        <f>-EPM($B$3,$B$4,3,$A59,"period_net_amount")</f>
        <v/>
      </c>
      <c r="F59" s="12">
        <f>-EPM($B$3,$B$4,"Q1",$A59,"period_net_amount")</f>
        <v/>
      </c>
      <c r="G59" s="12">
        <f>-EPM($B$3,$B$4,4,$A59,"period_net_amount")</f>
        <v/>
      </c>
      <c r="H59" s="12">
        <f>-EPM($B$3,$B$4,5,$A59,"period_net_amount")</f>
        <v/>
      </c>
      <c r="I59" s="12">
        <f>-EPM($B$3,$B$4,6,$A59,"period_net_amount")</f>
        <v/>
      </c>
      <c r="J59" s="12">
        <f>-EPM($B$3,$B$4,"Q2",$A59,"period_net_amount")</f>
        <v/>
      </c>
      <c r="K59" s="12">
        <f>-EPM($B$3,$B$4,7,$A59,"period_net_amount")</f>
        <v/>
      </c>
      <c r="L59" s="12">
        <f>-EPM($B$3,$B$4,8,$A59,"period_net_amount")</f>
        <v/>
      </c>
      <c r="M59" s="12">
        <f>-EPM($B$3,$B$4,9,$A59,"period_net_amount")</f>
        <v/>
      </c>
      <c r="N59" s="12">
        <f>-EPM($B$3,$B$4,"Q3",$A59,"period_net_amount")</f>
        <v/>
      </c>
      <c r="O59" s="12">
        <f>-EPM($B$3,$B$4,10,$A59,"period_net_amount")</f>
        <v/>
      </c>
      <c r="P59" s="12">
        <f>-EPM($B$3,$B$4,11,$A59,"period_net_amount")</f>
        <v/>
      </c>
      <c r="Q59" s="12">
        <f>-EPM($B$3,$B$4,12,$A59,"period_net_amount")</f>
        <v/>
      </c>
      <c r="R59" s="12">
        <f>-EPM($B$3,$B$4,"Q4",$A59,"period_net_amount")</f>
        <v/>
      </c>
      <c r="S59" s="12">
        <f>-EPM($B$3,$B$4,"H1",$A59,"period_net_amount")</f>
        <v/>
      </c>
      <c r="T59" s="12">
        <f>-EPM($B$3,$B$4,"H2",$A59,"period_net_amount")</f>
        <v/>
      </c>
      <c r="U59" s="12">
        <f>-EPM($B$3,$B$4,"FY",$A59,"period_net_amount")</f>
        <v/>
      </c>
    </row>
    <row r="60">
      <c r="A60" s="13" t="n"/>
      <c r="B60" s="14" t="inlineStr">
        <is>
          <t>Total Other Income/Expense</t>
        </is>
      </c>
      <c r="C60" s="15">
        <f>C54+C55+C56+C57+C58+C59</f>
        <v/>
      </c>
      <c r="D60" s="15">
        <f>D54+D55+D56+D57+D58+D59</f>
        <v/>
      </c>
      <c r="E60" s="15">
        <f>E54+E55+E56+E57+E58+E59</f>
        <v/>
      </c>
      <c r="F60" s="15">
        <f>F54+F55+F56+F57+F58+F59</f>
        <v/>
      </c>
      <c r="G60" s="15">
        <f>G54+G55+G56+G57+G58+G59</f>
        <v/>
      </c>
      <c r="H60" s="15">
        <f>H54+H55+H56+H57+H58+H59</f>
        <v/>
      </c>
      <c r="I60" s="15">
        <f>I54+I55+I56+I57+I58+I59</f>
        <v/>
      </c>
      <c r="J60" s="15">
        <f>J54+J55+J56+J57+J58+J59</f>
        <v/>
      </c>
      <c r="K60" s="15">
        <f>K54+K55+K56+K57+K58+K59</f>
        <v/>
      </c>
      <c r="L60" s="15">
        <f>L54+L55+L56+L57+L58+L59</f>
        <v/>
      </c>
      <c r="M60" s="15">
        <f>M54+M55+M56+M57+M58+M59</f>
        <v/>
      </c>
      <c r="N60" s="15">
        <f>N54+N55+N56+N57+N58+N59</f>
        <v/>
      </c>
      <c r="O60" s="15">
        <f>O54+O55+O56+O57+O58+O59</f>
        <v/>
      </c>
      <c r="P60" s="15">
        <f>P54+P55+P56+P57+P58+P59</f>
        <v/>
      </c>
      <c r="Q60" s="15">
        <f>Q54+Q55+Q56+Q57+Q58+Q59</f>
        <v/>
      </c>
      <c r="R60" s="15">
        <f>R54+R55+R56+R57+R58+R59</f>
        <v/>
      </c>
      <c r="S60" s="15">
        <f>S54+S55+S56+S57+S58+S59</f>
        <v/>
      </c>
      <c r="T60" s="15">
        <f>T54+T55+T56+T57+T58+T59</f>
        <v/>
      </c>
      <c r="U60" s="15">
        <f>U54+U55+U56+U57+U58+U59</f>
        <v/>
      </c>
    </row>
    <row r="62">
      <c r="A62" s="13" t="n"/>
      <c r="B62" s="16" t="inlineStr">
        <is>
          <t>Net Income Before Tax</t>
        </is>
      </c>
      <c r="C62" s="17">
        <f>C51+C60</f>
        <v/>
      </c>
      <c r="D62" s="17">
        <f>D51+D60</f>
        <v/>
      </c>
      <c r="E62" s="17">
        <f>E51+E60</f>
        <v/>
      </c>
      <c r="F62" s="17">
        <f>F51+F60</f>
        <v/>
      </c>
      <c r="G62" s="17">
        <f>G51+G60</f>
        <v/>
      </c>
      <c r="H62" s="17">
        <f>H51+H60</f>
        <v/>
      </c>
      <c r="I62" s="17">
        <f>I51+I60</f>
        <v/>
      </c>
      <c r="J62" s="17">
        <f>J51+J60</f>
        <v/>
      </c>
      <c r="K62" s="17">
        <f>K51+K60</f>
        <v/>
      </c>
      <c r="L62" s="17">
        <f>L51+L60</f>
        <v/>
      </c>
      <c r="M62" s="17">
        <f>M51+M60</f>
        <v/>
      </c>
      <c r="N62" s="17">
        <f>N51+N60</f>
        <v/>
      </c>
      <c r="O62" s="17">
        <f>O51+O60</f>
        <v/>
      </c>
      <c r="P62" s="17">
        <f>P51+P60</f>
        <v/>
      </c>
      <c r="Q62" s="17">
        <f>Q51+Q60</f>
        <v/>
      </c>
      <c r="R62" s="17">
        <f>R51+R60</f>
        <v/>
      </c>
      <c r="S62" s="17">
        <f>S51+S60</f>
        <v/>
      </c>
      <c r="T62" s="17">
        <f>T51+T60</f>
        <v/>
      </c>
      <c r="U62" s="17">
        <f>U51+U60</f>
        <v/>
      </c>
    </row>
    <row r="64">
      <c r="B64" s="3" t="inlineStr">
        <is>
          <t>Income Tax</t>
        </is>
      </c>
    </row>
    <row r="65">
      <c r="A65" s="7" t="inlineStr">
        <is>
          <t>802100</t>
        </is>
      </c>
      <c r="B65" s="8" t="inlineStr">
        <is>
          <t>Federal Income Tax</t>
        </is>
      </c>
      <c r="C65" s="9">
        <f>-EPM($B$3,$B$4,1,$A65,"period_net_amount")</f>
        <v/>
      </c>
      <c r="D65" s="9">
        <f>-EPM($B$3,$B$4,2,$A65,"period_net_amount")</f>
        <v/>
      </c>
      <c r="E65" s="9">
        <f>-EPM($B$3,$B$4,3,$A65,"period_net_amount")</f>
        <v/>
      </c>
      <c r="F65" s="9">
        <f>-EPM($B$3,$B$4,"Q1",$A65,"period_net_amount")</f>
        <v/>
      </c>
      <c r="G65" s="9">
        <f>-EPM($B$3,$B$4,4,$A65,"period_net_amount")</f>
        <v/>
      </c>
      <c r="H65" s="9">
        <f>-EPM($B$3,$B$4,5,$A65,"period_net_amount")</f>
        <v/>
      </c>
      <c r="I65" s="9">
        <f>-EPM($B$3,$B$4,6,$A65,"period_net_amount")</f>
        <v/>
      </c>
      <c r="J65" s="9">
        <f>-EPM($B$3,$B$4,"Q2",$A65,"period_net_amount")</f>
        <v/>
      </c>
      <c r="K65" s="9">
        <f>-EPM($B$3,$B$4,7,$A65,"period_net_amount")</f>
        <v/>
      </c>
      <c r="L65" s="9">
        <f>-EPM($B$3,$B$4,8,$A65,"period_net_amount")</f>
        <v/>
      </c>
      <c r="M65" s="9">
        <f>-EPM($B$3,$B$4,9,$A65,"period_net_amount")</f>
        <v/>
      </c>
      <c r="N65" s="9">
        <f>-EPM($B$3,$B$4,"Q3",$A65,"period_net_amount")</f>
        <v/>
      </c>
      <c r="O65" s="9">
        <f>-EPM($B$3,$B$4,10,$A65,"period_net_amount")</f>
        <v/>
      </c>
      <c r="P65" s="9">
        <f>-EPM($B$3,$B$4,11,$A65,"period_net_amount")</f>
        <v/>
      </c>
      <c r="Q65" s="9">
        <f>-EPM($B$3,$B$4,12,$A65,"period_net_amount")</f>
        <v/>
      </c>
      <c r="R65" s="9">
        <f>-EPM($B$3,$B$4,"Q4",$A65,"period_net_amount")</f>
        <v/>
      </c>
      <c r="S65" s="9">
        <f>-EPM($B$3,$B$4,"H1",$A65,"period_net_amount")</f>
        <v/>
      </c>
      <c r="T65" s="9">
        <f>-EPM($B$3,$B$4,"H2",$A65,"period_net_amount")</f>
        <v/>
      </c>
      <c r="U65" s="9">
        <f>-EPM($B$3,$B$4,"FY",$A65,"period_net_amount")</f>
        <v/>
      </c>
    </row>
    <row r="66">
      <c r="A66" s="10" t="inlineStr">
        <is>
          <t>802200</t>
        </is>
      </c>
      <c r="B66" s="11" t="inlineStr">
        <is>
          <t>State Income Tax</t>
        </is>
      </c>
      <c r="C66" s="12">
        <f>-EPM($B$3,$B$4,1,$A66,"period_net_amount")</f>
        <v/>
      </c>
      <c r="D66" s="12">
        <f>-EPM($B$3,$B$4,2,$A66,"period_net_amount")</f>
        <v/>
      </c>
      <c r="E66" s="12">
        <f>-EPM($B$3,$B$4,3,$A66,"period_net_amount")</f>
        <v/>
      </c>
      <c r="F66" s="12">
        <f>-EPM($B$3,$B$4,"Q1",$A66,"period_net_amount")</f>
        <v/>
      </c>
      <c r="G66" s="12">
        <f>-EPM($B$3,$B$4,4,$A66,"period_net_amount")</f>
        <v/>
      </c>
      <c r="H66" s="12">
        <f>-EPM($B$3,$B$4,5,$A66,"period_net_amount")</f>
        <v/>
      </c>
      <c r="I66" s="12">
        <f>-EPM($B$3,$B$4,6,$A66,"period_net_amount")</f>
        <v/>
      </c>
      <c r="J66" s="12">
        <f>-EPM($B$3,$B$4,"Q2",$A66,"period_net_amount")</f>
        <v/>
      </c>
      <c r="K66" s="12">
        <f>-EPM($B$3,$B$4,7,$A66,"period_net_amount")</f>
        <v/>
      </c>
      <c r="L66" s="12">
        <f>-EPM($B$3,$B$4,8,$A66,"period_net_amount")</f>
        <v/>
      </c>
      <c r="M66" s="12">
        <f>-EPM($B$3,$B$4,9,$A66,"period_net_amount")</f>
        <v/>
      </c>
      <c r="N66" s="12">
        <f>-EPM($B$3,$B$4,"Q3",$A66,"period_net_amount")</f>
        <v/>
      </c>
      <c r="O66" s="12">
        <f>-EPM($B$3,$B$4,10,$A66,"period_net_amount")</f>
        <v/>
      </c>
      <c r="P66" s="12">
        <f>-EPM($B$3,$B$4,11,$A66,"period_net_amount")</f>
        <v/>
      </c>
      <c r="Q66" s="12">
        <f>-EPM($B$3,$B$4,12,$A66,"period_net_amount")</f>
        <v/>
      </c>
      <c r="R66" s="12">
        <f>-EPM($B$3,$B$4,"Q4",$A66,"period_net_amount")</f>
        <v/>
      </c>
      <c r="S66" s="12">
        <f>-EPM($B$3,$B$4,"H1",$A66,"period_net_amount")</f>
        <v/>
      </c>
      <c r="T66" s="12">
        <f>-EPM($B$3,$B$4,"H2",$A66,"period_net_amount")</f>
        <v/>
      </c>
      <c r="U66" s="12">
        <f>-EPM($B$3,$B$4,"FY",$A66,"period_net_amount")</f>
        <v/>
      </c>
    </row>
    <row r="67">
      <c r="A67" s="13" t="n"/>
      <c r="B67" s="14" t="inlineStr">
        <is>
          <t>Total Income Tax</t>
        </is>
      </c>
      <c r="C67" s="15">
        <f>C65+C66</f>
        <v/>
      </c>
      <c r="D67" s="15">
        <f>D65+D66</f>
        <v/>
      </c>
      <c r="E67" s="15">
        <f>E65+E66</f>
        <v/>
      </c>
      <c r="F67" s="15">
        <f>F65+F66</f>
        <v/>
      </c>
      <c r="G67" s="15">
        <f>G65+G66</f>
        <v/>
      </c>
      <c r="H67" s="15">
        <f>H65+H66</f>
        <v/>
      </c>
      <c r="I67" s="15">
        <f>I65+I66</f>
        <v/>
      </c>
      <c r="J67" s="15">
        <f>J65+J66</f>
        <v/>
      </c>
      <c r="K67" s="15">
        <f>K65+K66</f>
        <v/>
      </c>
      <c r="L67" s="15">
        <f>L65+L66</f>
        <v/>
      </c>
      <c r="M67" s="15">
        <f>M65+M66</f>
        <v/>
      </c>
      <c r="N67" s="15">
        <f>N65+N66</f>
        <v/>
      </c>
      <c r="O67" s="15">
        <f>O65+O66</f>
        <v/>
      </c>
      <c r="P67" s="15">
        <f>P65+P66</f>
        <v/>
      </c>
      <c r="Q67" s="15">
        <f>Q65+Q66</f>
        <v/>
      </c>
      <c r="R67" s="15">
        <f>R65+R66</f>
        <v/>
      </c>
      <c r="S67" s="15">
        <f>S65+S66</f>
        <v/>
      </c>
      <c r="T67" s="15">
        <f>T65+T66</f>
        <v/>
      </c>
      <c r="U67" s="15">
        <f>U65+U66</f>
        <v/>
      </c>
    </row>
    <row r="69">
      <c r="A69" s="13" t="n"/>
      <c r="B69" s="16" t="inlineStr">
        <is>
          <t>Net Income</t>
        </is>
      </c>
      <c r="C69" s="18">
        <f>C62-C67</f>
        <v/>
      </c>
      <c r="D69" s="18">
        <f>D62-D67</f>
        <v/>
      </c>
      <c r="E69" s="18">
        <f>E62-E67</f>
        <v/>
      </c>
      <c r="F69" s="18">
        <f>F62-F67</f>
        <v/>
      </c>
      <c r="G69" s="18">
        <f>G62-G67</f>
        <v/>
      </c>
      <c r="H69" s="18">
        <f>H62-H67</f>
        <v/>
      </c>
      <c r="I69" s="18">
        <f>I62-I67</f>
        <v/>
      </c>
      <c r="J69" s="18">
        <f>J62-J67</f>
        <v/>
      </c>
      <c r="K69" s="18">
        <f>K62-K67</f>
        <v/>
      </c>
      <c r="L69" s="18">
        <f>L62-L67</f>
        <v/>
      </c>
      <c r="M69" s="18">
        <f>M62-M67</f>
        <v/>
      </c>
      <c r="N69" s="18">
        <f>N62-N67</f>
        <v/>
      </c>
      <c r="O69" s="18">
        <f>O62-O67</f>
        <v/>
      </c>
      <c r="P69" s="18">
        <f>P62-P67</f>
        <v/>
      </c>
      <c r="Q69" s="18">
        <f>Q62-Q67</f>
        <v/>
      </c>
      <c r="R69" s="18">
        <f>R62-R67</f>
        <v/>
      </c>
      <c r="S69" s="18">
        <f>S62-S67</f>
        <v/>
      </c>
      <c r="T69" s="18">
        <f>T62-T67</f>
        <v/>
      </c>
      <c r="U69" s="18">
        <f>U62-U67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9" t="inlineStr">
        <is>
          <t>Balance Sheet</t>
        </is>
      </c>
      <c r="B1" s="20" t="n"/>
      <c r="C1" s="20" t="n"/>
      <c r="D1" s="20" t="n"/>
      <c r="E1" s="20" t="n"/>
      <c r="F1" s="20" t="n"/>
    </row>
    <row r="3">
      <c r="A3" s="21" t="inlineStr">
        <is>
          <t>Entity</t>
        </is>
      </c>
      <c r="B3" s="4" t="inlineStr">
        <is>
          <t>DEMF</t>
        </is>
      </c>
      <c r="D3" s="21" t="inlineStr">
        <is>
          <t>Measure</t>
        </is>
      </c>
      <c r="E3" s="4" t="inlineStr">
        <is>
          <t>ytd_net_amount</t>
        </is>
      </c>
    </row>
    <row r="4">
      <c r="A4" s="21" t="inlineStr">
        <is>
          <t>Year</t>
        </is>
      </c>
      <c r="B4" s="4" t="n">
        <v>2024</v>
      </c>
    </row>
    <row r="6">
      <c r="A6" s="22" t="inlineStr">
        <is>
          <t>Account</t>
        </is>
      </c>
      <c r="B6" s="22" t="inlineStr">
        <is>
          <t>Description</t>
        </is>
      </c>
      <c r="C6" s="23" t="inlineStr">
        <is>
          <t>Q1</t>
        </is>
      </c>
      <c r="D6" s="23" t="inlineStr">
        <is>
          <t>Q2</t>
        </is>
      </c>
      <c r="E6" s="23" t="inlineStr">
        <is>
          <t>Q3</t>
        </is>
      </c>
      <c r="F6" s="23" t="inlineStr">
        <is>
          <t>Q4</t>
        </is>
      </c>
    </row>
    <row r="7">
      <c r="B7" s="21" t="inlineStr">
        <is>
          <t>Current Assets</t>
        </is>
      </c>
    </row>
    <row r="8">
      <c r="A8" s="7" t="inlineStr">
        <is>
          <t>110110</t>
        </is>
      </c>
      <c r="B8" s="8" t="inlineStr">
        <is>
          <t>Bank Account - USD</t>
        </is>
      </c>
      <c r="C8" s="9">
        <f>-EPM($B$3,$B$4,3,$A8,"ytd_net_amount")</f>
        <v/>
      </c>
      <c r="D8" s="9">
        <f>-EPM($B$3,$B$4,6,$A8,"ytd_net_amount")</f>
        <v/>
      </c>
      <c r="E8" s="9">
        <f>-EPM($B$3,$B$4,9,$A8,"ytd_net_amount")</f>
        <v/>
      </c>
      <c r="F8" s="9">
        <f>-EPM($B$3,$B$4,12,$A8,"ytd_net_amount")</f>
        <v/>
      </c>
    </row>
    <row r="9">
      <c r="A9" s="10" t="inlineStr">
        <is>
          <t>110112</t>
        </is>
      </c>
      <c r="B9" s="11" t="inlineStr">
        <is>
          <t>Bank Account - JPY</t>
        </is>
      </c>
      <c r="C9" s="12">
        <f>-EPM($B$3,$B$4,3,$A9,"ytd_net_amount")</f>
        <v/>
      </c>
      <c r="D9" s="12">
        <f>-EPM($B$3,$B$4,6,$A9,"ytd_net_amount")</f>
        <v/>
      </c>
      <c r="E9" s="12">
        <f>-EPM($B$3,$B$4,9,$A9,"ytd_net_amount")</f>
        <v/>
      </c>
      <c r="F9" s="12">
        <f>-EPM($B$3,$B$4,12,$A9,"ytd_net_amount")</f>
        <v/>
      </c>
    </row>
    <row r="10">
      <c r="A10" s="7" t="inlineStr">
        <is>
          <t>110115</t>
        </is>
      </c>
      <c r="B10" s="8" t="inlineStr">
        <is>
          <t>Bank Account - CAD</t>
        </is>
      </c>
      <c r="C10" s="9">
        <f>-EPM($B$3,$B$4,3,$A10,"ytd_net_amount")</f>
        <v/>
      </c>
      <c r="D10" s="9">
        <f>-EPM($B$3,$B$4,6,$A10,"ytd_net_amount")</f>
        <v/>
      </c>
      <c r="E10" s="9">
        <f>-EPM($B$3,$B$4,9,$A10,"ytd_net_amount")</f>
        <v/>
      </c>
      <c r="F10" s="9">
        <f>-EPM($B$3,$B$4,12,$A10,"ytd_net_amount")</f>
        <v/>
      </c>
    </row>
    <row r="11">
      <c r="A11" s="10" t="inlineStr">
        <is>
          <t>110125</t>
        </is>
      </c>
      <c r="B11" s="11" t="inlineStr">
        <is>
          <t>Bank Account - AUD</t>
        </is>
      </c>
      <c r="C11" s="12">
        <f>-EPM($B$3,$B$4,3,$A11,"ytd_net_amount")</f>
        <v/>
      </c>
      <c r="D11" s="12">
        <f>-EPM($B$3,$B$4,6,$A11,"ytd_net_amount")</f>
        <v/>
      </c>
      <c r="E11" s="12">
        <f>-EPM($B$3,$B$4,9,$A11,"ytd_net_amount")</f>
        <v/>
      </c>
      <c r="F11" s="12">
        <f>-EPM($B$3,$B$4,12,$A11,"ytd_net_amount")</f>
        <v/>
      </c>
    </row>
    <row r="12">
      <c r="A12" s="7" t="inlineStr">
        <is>
          <t>110130</t>
        </is>
      </c>
      <c r="B12" s="8" t="inlineStr">
        <is>
          <t>Bank Account - EUR</t>
        </is>
      </c>
      <c r="C12" s="9">
        <f>-EPM($B$3,$B$4,3,$A12,"ytd_net_amount")</f>
        <v/>
      </c>
      <c r="D12" s="9">
        <f>-EPM($B$3,$B$4,6,$A12,"ytd_net_amount")</f>
        <v/>
      </c>
      <c r="E12" s="9">
        <f>-EPM($B$3,$B$4,9,$A12,"ytd_net_amount")</f>
        <v/>
      </c>
      <c r="F12" s="9">
        <f>-EPM($B$3,$B$4,12,$A12,"ytd_net_amount")</f>
        <v/>
      </c>
    </row>
    <row r="13">
      <c r="A13" s="10" t="inlineStr">
        <is>
          <t>110140</t>
        </is>
      </c>
      <c r="B13" s="11" t="inlineStr">
        <is>
          <t>Bank Account - CHF</t>
        </is>
      </c>
      <c r="C13" s="12">
        <f>-EPM($B$3,$B$4,3,$A13,"ytd_net_amount")</f>
        <v/>
      </c>
      <c r="D13" s="12">
        <f>-EPM($B$3,$B$4,6,$A13,"ytd_net_amount")</f>
        <v/>
      </c>
      <c r="E13" s="12">
        <f>-EPM($B$3,$B$4,9,$A13,"ytd_net_amount")</f>
        <v/>
      </c>
      <c r="F13" s="12">
        <f>-EPM($B$3,$B$4,12,$A13,"ytd_net_amount")</f>
        <v/>
      </c>
    </row>
    <row r="14">
      <c r="A14" s="7" t="inlineStr">
        <is>
          <t>110150</t>
        </is>
      </c>
      <c r="B14" s="8" t="inlineStr">
        <is>
          <t>Bank Account - GBP</t>
        </is>
      </c>
      <c r="C14" s="9">
        <f>-EPM($B$3,$B$4,3,$A14,"ytd_net_amount")</f>
        <v/>
      </c>
      <c r="D14" s="9">
        <f>-EPM($B$3,$B$4,6,$A14,"ytd_net_amount")</f>
        <v/>
      </c>
      <c r="E14" s="9">
        <f>-EPM($B$3,$B$4,9,$A14,"ytd_net_amount")</f>
        <v/>
      </c>
      <c r="F14" s="9">
        <f>-EPM($B$3,$B$4,12,$A14,"ytd_net_amount")</f>
        <v/>
      </c>
    </row>
    <row r="15">
      <c r="A15" s="10" t="inlineStr">
        <is>
          <t>110160</t>
        </is>
      </c>
      <c r="B15" s="11" t="inlineStr">
        <is>
          <t>Bank Account - Payroll</t>
        </is>
      </c>
      <c r="C15" s="12">
        <f>-EPM($B$3,$B$4,3,$A15,"ytd_net_amount")</f>
        <v/>
      </c>
      <c r="D15" s="12">
        <f>-EPM($B$3,$B$4,6,$A15,"ytd_net_amount")</f>
        <v/>
      </c>
      <c r="E15" s="12">
        <f>-EPM($B$3,$B$4,9,$A15,"ytd_net_amount")</f>
        <v/>
      </c>
      <c r="F15" s="12">
        <f>-EPM($B$3,$B$4,12,$A15,"ytd_net_amount")</f>
        <v/>
      </c>
    </row>
    <row r="16">
      <c r="A16" s="7" t="inlineStr">
        <is>
          <t>110180</t>
        </is>
      </c>
      <c r="B16" s="8" t="inlineStr">
        <is>
          <t>Petty Cash</t>
        </is>
      </c>
      <c r="C16" s="9">
        <f>-EPM($B$3,$B$4,3,$A16,"ytd_net_amount")</f>
        <v/>
      </c>
      <c r="D16" s="9">
        <f>-EPM($B$3,$B$4,6,$A16,"ytd_net_amount")</f>
        <v/>
      </c>
      <c r="E16" s="9">
        <f>-EPM($B$3,$B$4,9,$A16,"ytd_net_amount")</f>
        <v/>
      </c>
      <c r="F16" s="9">
        <f>-EPM($B$3,$B$4,12,$A16,"ytd_net_amount")</f>
        <v/>
      </c>
    </row>
    <row r="17">
      <c r="A17" s="10" t="inlineStr">
        <is>
          <t>130100</t>
        </is>
      </c>
      <c r="B17" s="11" t="inlineStr">
        <is>
          <t>Accounts Receivable - Domestic</t>
        </is>
      </c>
      <c r="C17" s="12">
        <f>-EPM($B$3,$B$4,3,$A17,"ytd_net_amount")</f>
        <v/>
      </c>
      <c r="D17" s="12">
        <f>-EPM($B$3,$B$4,6,$A17,"ytd_net_amount")</f>
        <v/>
      </c>
      <c r="E17" s="12">
        <f>-EPM($B$3,$B$4,9,$A17,"ytd_net_amount")</f>
        <v/>
      </c>
      <c r="F17" s="12">
        <f>-EPM($B$3,$B$4,12,$A17,"ytd_net_amount")</f>
        <v/>
      </c>
    </row>
    <row r="18">
      <c r="A18" s="7" t="inlineStr">
        <is>
          <t>130110</t>
        </is>
      </c>
      <c r="B18" s="8" t="inlineStr">
        <is>
          <t>Accounts Receivable - Foreign</t>
        </is>
      </c>
      <c r="C18" s="9">
        <f>-EPM($B$3,$B$4,3,$A18,"ytd_net_amount")</f>
        <v/>
      </c>
      <c r="D18" s="9">
        <f>-EPM($B$3,$B$4,6,$A18,"ytd_net_amount")</f>
        <v/>
      </c>
      <c r="E18" s="9">
        <f>-EPM($B$3,$B$4,9,$A18,"ytd_net_amount")</f>
        <v/>
      </c>
      <c r="F18" s="9">
        <f>-EPM($B$3,$B$4,12,$A18,"ytd_net_amount")</f>
        <v/>
      </c>
    </row>
    <row r="19">
      <c r="A19" s="10" t="inlineStr">
        <is>
          <t>130300</t>
        </is>
      </c>
      <c r="B19" s="11" t="inlineStr">
        <is>
          <t>Accounts Receivable - Not Invoiced</t>
        </is>
      </c>
      <c r="C19" s="12">
        <f>-EPM($B$3,$B$4,3,$A19,"ytd_net_amount")</f>
        <v/>
      </c>
      <c r="D19" s="12">
        <f>-EPM($B$3,$B$4,6,$A19,"ytd_net_amount")</f>
        <v/>
      </c>
      <c r="E19" s="12">
        <f>-EPM($B$3,$B$4,9,$A19,"ytd_net_amount")</f>
        <v/>
      </c>
      <c r="F19" s="12">
        <f>-EPM($B$3,$B$4,12,$A19,"ytd_net_amount")</f>
        <v/>
      </c>
    </row>
    <row r="20">
      <c r="A20" s="7" t="inlineStr">
        <is>
          <t>130700</t>
        </is>
      </c>
      <c r="B20" s="8" t="inlineStr">
        <is>
          <t>Other Receivables</t>
        </is>
      </c>
      <c r="C20" s="9">
        <f>-EPM($B$3,$B$4,3,$A20,"ytd_net_amount")</f>
        <v/>
      </c>
      <c r="D20" s="9">
        <f>-EPM($B$3,$B$4,6,$A20,"ytd_net_amount")</f>
        <v/>
      </c>
      <c r="E20" s="9">
        <f>-EPM($B$3,$B$4,9,$A20,"ytd_net_amount")</f>
        <v/>
      </c>
      <c r="F20" s="9">
        <f>-EPM($B$3,$B$4,12,$A20,"ytd_net_amount")</f>
        <v/>
      </c>
    </row>
    <row r="21">
      <c r="A21" s="10" t="inlineStr">
        <is>
          <t>132190</t>
        </is>
      </c>
      <c r="B21" s="11" t="inlineStr">
        <is>
          <t>Prepaid Expenses</t>
        </is>
      </c>
      <c r="C21" s="12">
        <f>-EPM($B$3,$B$4,3,$A21,"ytd_net_amount")</f>
        <v/>
      </c>
      <c r="D21" s="12">
        <f>-EPM($B$3,$B$4,6,$A21,"ytd_net_amount")</f>
        <v/>
      </c>
      <c r="E21" s="12">
        <f>-EPM($B$3,$B$4,9,$A21,"ytd_net_amount")</f>
        <v/>
      </c>
      <c r="F21" s="12">
        <f>-EPM($B$3,$B$4,12,$A21,"ytd_net_amount")</f>
        <v/>
      </c>
    </row>
    <row r="22">
      <c r="A22" s="7" t="inlineStr">
        <is>
          <t>133300</t>
        </is>
      </c>
      <c r="B22" s="8" t="inlineStr">
        <is>
          <t>Intercompany Receivable - USMF/DEMF</t>
        </is>
      </c>
      <c r="C22" s="9">
        <f>-EPM($B$3,$B$4,3,$A22,"ytd_net_amount")</f>
        <v/>
      </c>
      <c r="D22" s="9">
        <f>-EPM($B$3,$B$4,6,$A22,"ytd_net_amount")</f>
        <v/>
      </c>
      <c r="E22" s="9">
        <f>-EPM($B$3,$B$4,9,$A22,"ytd_net_amount")</f>
        <v/>
      </c>
      <c r="F22" s="9">
        <f>-EPM($B$3,$B$4,12,$A22,"ytd_net_amount")</f>
        <v/>
      </c>
    </row>
    <row r="23">
      <c r="A23" s="10" t="inlineStr">
        <is>
          <t>133500</t>
        </is>
      </c>
      <c r="B23" s="11" t="inlineStr">
        <is>
          <t>Interunit Receivable</t>
        </is>
      </c>
      <c r="C23" s="12">
        <f>-EPM($B$3,$B$4,3,$A23,"ytd_net_amount")</f>
        <v/>
      </c>
      <c r="D23" s="12">
        <f>-EPM($B$3,$B$4,6,$A23,"ytd_net_amount")</f>
        <v/>
      </c>
      <c r="E23" s="12">
        <f>-EPM($B$3,$B$4,9,$A23,"ytd_net_amount")</f>
        <v/>
      </c>
      <c r="F23" s="12">
        <f>-EPM($B$3,$B$4,12,$A23,"ytd_net_amount")</f>
        <v/>
      </c>
    </row>
    <row r="24">
      <c r="A24" s="7" t="inlineStr">
        <is>
          <t>140100</t>
        </is>
      </c>
      <c r="B24" s="8" t="inlineStr">
        <is>
          <t>Raw Materials Inventory</t>
        </is>
      </c>
      <c r="C24" s="9">
        <f>-EPM($B$3,$B$4,3,$A24,"ytd_net_amount")</f>
        <v/>
      </c>
      <c r="D24" s="9">
        <f>-EPM($B$3,$B$4,6,$A24,"ytd_net_amount")</f>
        <v/>
      </c>
      <c r="E24" s="9">
        <f>-EPM($B$3,$B$4,9,$A24,"ytd_net_amount")</f>
        <v/>
      </c>
      <c r="F24" s="9">
        <f>-EPM($B$3,$B$4,12,$A24,"ytd_net_amount")</f>
        <v/>
      </c>
    </row>
    <row r="25">
      <c r="A25" s="10" t="inlineStr">
        <is>
          <t>140200</t>
        </is>
      </c>
      <c r="B25" s="11" t="inlineStr">
        <is>
          <t>Finished Goods Inventory</t>
        </is>
      </c>
      <c r="C25" s="12">
        <f>-EPM($B$3,$B$4,3,$A25,"ytd_net_amount")</f>
        <v/>
      </c>
      <c r="D25" s="12">
        <f>-EPM($B$3,$B$4,6,$A25,"ytd_net_amount")</f>
        <v/>
      </c>
      <c r="E25" s="12">
        <f>-EPM($B$3,$B$4,9,$A25,"ytd_net_amount")</f>
        <v/>
      </c>
      <c r="F25" s="12">
        <f>-EPM($B$3,$B$4,12,$A25,"ytd_net_amount")</f>
        <v/>
      </c>
    </row>
    <row r="26">
      <c r="A26" s="24" t="n"/>
      <c r="B26" s="25" t="inlineStr">
        <is>
          <t>Total Current Assets</t>
        </is>
      </c>
      <c r="C26" s="26">
        <f>C8+C9+C10+C11+C12+C13+C14+C15+C16+C17+C18+C19+C20+C21+C22+C23+C24+C25</f>
        <v/>
      </c>
      <c r="D26" s="26">
        <f>D8+D9+D10+D11+D12+D13+D14+D15+D16+D17+D18+D19+D20+D21+D22+D23+D24+D25</f>
        <v/>
      </c>
      <c r="E26" s="26">
        <f>E8+E9+E10+E11+E12+E13+E14+E15+E16+E17+E18+E19+E20+E21+E22+E23+E24+E25</f>
        <v/>
      </c>
      <c r="F26" s="26">
        <f>F8+F9+F10+F11+F12+F13+F14+F15+F16+F17+F18+F19+F20+F21+F22+F23+F24+F25</f>
        <v/>
      </c>
    </row>
    <row r="28">
      <c r="B28" s="21" t="inlineStr">
        <is>
          <t>Non-Current Assets</t>
        </is>
      </c>
    </row>
    <row r="29">
      <c r="A29" s="7" t="inlineStr">
        <is>
          <t>120200</t>
        </is>
      </c>
      <c r="B29" s="8" t="inlineStr">
        <is>
          <t>Marketable Securities</t>
        </is>
      </c>
      <c r="C29" s="9">
        <f>-EPM($B$3,$B$4,3,$A29,"ytd_net_amount")</f>
        <v/>
      </c>
      <c r="D29" s="9">
        <f>-EPM($B$3,$B$4,6,$A29,"ytd_net_amount")</f>
        <v/>
      </c>
      <c r="E29" s="9">
        <f>-EPM($B$3,$B$4,9,$A29,"ytd_net_amount")</f>
        <v/>
      </c>
      <c r="F29" s="9">
        <f>-EPM($B$3,$B$4,12,$A29,"ytd_net_amount")</f>
        <v/>
      </c>
    </row>
    <row r="30">
      <c r="A30" s="10" t="inlineStr">
        <is>
          <t>134000</t>
        </is>
      </c>
      <c r="B30" s="11" t="inlineStr">
        <is>
          <t>Investment in Subsidiary</t>
        </is>
      </c>
      <c r="C30" s="12">
        <f>-EPM($B$3,$B$4,3,$A30,"ytd_net_amount")</f>
        <v/>
      </c>
      <c r="D30" s="12">
        <f>-EPM($B$3,$B$4,6,$A30,"ytd_net_amount")</f>
        <v/>
      </c>
      <c r="E30" s="12">
        <f>-EPM($B$3,$B$4,9,$A30,"ytd_net_amount")</f>
        <v/>
      </c>
      <c r="F30" s="12">
        <f>-EPM($B$3,$B$4,12,$A30,"ytd_net_amount")</f>
        <v/>
      </c>
    </row>
    <row r="31">
      <c r="A31" s="7" t="inlineStr">
        <is>
          <t>170150</t>
        </is>
      </c>
      <c r="B31" s="8" t="inlineStr">
        <is>
          <t>Goodwill</t>
        </is>
      </c>
      <c r="C31" s="9">
        <f>-EPM($B$3,$B$4,3,$A31,"ytd_net_amount")</f>
        <v/>
      </c>
      <c r="D31" s="9">
        <f>-EPM($B$3,$B$4,6,$A31,"ytd_net_amount")</f>
        <v/>
      </c>
      <c r="E31" s="9">
        <f>-EPM($B$3,$B$4,9,$A31,"ytd_net_amount")</f>
        <v/>
      </c>
      <c r="F31" s="9">
        <f>-EPM($B$3,$B$4,12,$A31,"ytd_net_amount")</f>
        <v/>
      </c>
    </row>
    <row r="32">
      <c r="A32" s="10" t="inlineStr">
        <is>
          <t>180100</t>
        </is>
      </c>
      <c r="B32" s="11" t="inlineStr">
        <is>
          <t>Tangible Fixed Assets</t>
        </is>
      </c>
      <c r="C32" s="12">
        <f>-EPM($B$3,$B$4,3,$A32,"ytd_net_amount")</f>
        <v/>
      </c>
      <c r="D32" s="12">
        <f>-EPM($B$3,$B$4,6,$A32,"ytd_net_amount")</f>
        <v/>
      </c>
      <c r="E32" s="12">
        <f>-EPM($B$3,$B$4,9,$A32,"ytd_net_amount")</f>
        <v/>
      </c>
      <c r="F32" s="12">
        <f>-EPM($B$3,$B$4,12,$A32,"ytd_net_amount")</f>
        <v/>
      </c>
    </row>
    <row r="33">
      <c r="A33" s="7" t="inlineStr">
        <is>
          <t>180140</t>
        </is>
      </c>
      <c r="B33" s="8" t="inlineStr">
        <is>
          <t>Intangible Fixed Assets</t>
        </is>
      </c>
      <c r="C33" s="9">
        <f>-EPM($B$3,$B$4,3,$A33,"ytd_net_amount")</f>
        <v/>
      </c>
      <c r="D33" s="9">
        <f>-EPM($B$3,$B$4,6,$A33,"ytd_net_amount")</f>
        <v/>
      </c>
      <c r="E33" s="9">
        <f>-EPM($B$3,$B$4,9,$A33,"ytd_net_amount")</f>
        <v/>
      </c>
      <c r="F33" s="9">
        <f>-EPM($B$3,$B$4,12,$A33,"ytd_net_amount")</f>
        <v/>
      </c>
    </row>
    <row r="34">
      <c r="A34" s="10" t="inlineStr">
        <is>
          <t>180141</t>
        </is>
      </c>
      <c r="B34" s="11" t="inlineStr">
        <is>
          <t>Assets Under Construction</t>
        </is>
      </c>
      <c r="C34" s="12">
        <f>-EPM($B$3,$B$4,3,$A34,"ytd_net_amount")</f>
        <v/>
      </c>
      <c r="D34" s="12">
        <f>-EPM($B$3,$B$4,6,$A34,"ytd_net_amount")</f>
        <v/>
      </c>
      <c r="E34" s="12">
        <f>-EPM($B$3,$B$4,9,$A34,"ytd_net_amount")</f>
        <v/>
      </c>
      <c r="F34" s="12">
        <f>-EPM($B$3,$B$4,12,$A34,"ytd_net_amount")</f>
        <v/>
      </c>
    </row>
    <row r="35">
      <c r="A35" s="7" t="inlineStr">
        <is>
          <t>180150</t>
        </is>
      </c>
      <c r="B35" s="8" t="inlineStr">
        <is>
          <t>Right-of-Use Asset - Finance Leases</t>
        </is>
      </c>
      <c r="C35" s="9">
        <f>-EPM($B$3,$B$4,3,$A35,"ytd_net_amount")</f>
        <v/>
      </c>
      <c r="D35" s="9">
        <f>-EPM($B$3,$B$4,6,$A35,"ytd_net_amount")</f>
        <v/>
      </c>
      <c r="E35" s="9">
        <f>-EPM($B$3,$B$4,9,$A35,"ytd_net_amount")</f>
        <v/>
      </c>
      <c r="F35" s="9">
        <f>-EPM($B$3,$B$4,12,$A35,"ytd_net_amount")</f>
        <v/>
      </c>
    </row>
    <row r="36">
      <c r="A36" s="10" t="inlineStr">
        <is>
          <t>180160</t>
        </is>
      </c>
      <c r="B36" s="11" t="inlineStr">
        <is>
          <t>Right-of-Use Asset - Operating Leases</t>
        </is>
      </c>
      <c r="C36" s="12">
        <f>-EPM($B$3,$B$4,3,$A36,"ytd_net_amount")</f>
        <v/>
      </c>
      <c r="D36" s="12">
        <f>-EPM($B$3,$B$4,6,$A36,"ytd_net_amount")</f>
        <v/>
      </c>
      <c r="E36" s="12">
        <f>-EPM($B$3,$B$4,9,$A36,"ytd_net_amount")</f>
        <v/>
      </c>
      <c r="F36" s="12">
        <f>-EPM($B$3,$B$4,12,$A36,"ytd_net_amount")</f>
        <v/>
      </c>
    </row>
    <row r="37">
      <c r="A37" s="7" t="inlineStr">
        <is>
          <t>180200</t>
        </is>
      </c>
      <c r="B37" s="8" t="inlineStr">
        <is>
          <t>Accumulated Depreciation - Tangible</t>
        </is>
      </c>
      <c r="C37" s="9">
        <f>-EPM($B$3,$B$4,3,$A37,"ytd_net_amount")</f>
        <v/>
      </c>
      <c r="D37" s="9">
        <f>-EPM($B$3,$B$4,6,$A37,"ytd_net_amount")</f>
        <v/>
      </c>
      <c r="E37" s="9">
        <f>-EPM($B$3,$B$4,9,$A37,"ytd_net_amount")</f>
        <v/>
      </c>
      <c r="F37" s="9">
        <f>-EPM($B$3,$B$4,12,$A37,"ytd_net_amount")</f>
        <v/>
      </c>
    </row>
    <row r="38">
      <c r="A38" s="10" t="inlineStr">
        <is>
          <t>180240</t>
        </is>
      </c>
      <c r="B38" s="11" t="inlineStr">
        <is>
          <t>Accumulated Amortization - Intangible</t>
        </is>
      </c>
      <c r="C38" s="12">
        <f>-EPM($B$3,$B$4,3,$A38,"ytd_net_amount")</f>
        <v/>
      </c>
      <c r="D38" s="12">
        <f>-EPM($B$3,$B$4,6,$A38,"ytd_net_amount")</f>
        <v/>
      </c>
      <c r="E38" s="12">
        <f>-EPM($B$3,$B$4,9,$A38,"ytd_net_amount")</f>
        <v/>
      </c>
      <c r="F38" s="12">
        <f>-EPM($B$3,$B$4,12,$A38,"ytd_net_amount")</f>
        <v/>
      </c>
    </row>
    <row r="39">
      <c r="A39" s="7" t="inlineStr">
        <is>
          <t>180295</t>
        </is>
      </c>
      <c r="B39" s="8" t="inlineStr">
        <is>
          <t>Other Assets</t>
        </is>
      </c>
      <c r="C39" s="9">
        <f>-EPM($B$3,$B$4,3,$A39,"ytd_net_amount")</f>
        <v/>
      </c>
      <c r="D39" s="9">
        <f>-EPM($B$3,$B$4,6,$A39,"ytd_net_amount")</f>
        <v/>
      </c>
      <c r="E39" s="9">
        <f>-EPM($B$3,$B$4,9,$A39,"ytd_net_amount")</f>
        <v/>
      </c>
      <c r="F39" s="9">
        <f>-EPM($B$3,$B$4,12,$A39,"ytd_net_amount")</f>
        <v/>
      </c>
    </row>
    <row r="40">
      <c r="A40" s="24" t="n"/>
      <c r="B40" s="25" t="inlineStr">
        <is>
          <t>Total Non-Current Assets</t>
        </is>
      </c>
      <c r="C40" s="26">
        <f>C29+C30+C31+C32+C33+C34+C35+C36+C37+C38+C39</f>
        <v/>
      </c>
      <c r="D40" s="26">
        <f>D29+D30+D31+D32+D33+D34+D35+D36+D37+D38+D39</f>
        <v/>
      </c>
      <c r="E40" s="26">
        <f>E29+E30+E31+E32+E33+E34+E35+E36+E37+E38+E39</f>
        <v/>
      </c>
      <c r="F40" s="26">
        <f>F29+F30+F31+F32+F33+F34+F35+F36+F37+F38+F39</f>
        <v/>
      </c>
    </row>
    <row r="42">
      <c r="A42" s="24" t="n"/>
      <c r="B42" s="27" t="inlineStr">
        <is>
          <t>Total Assets</t>
        </is>
      </c>
      <c r="C42" s="28">
        <f>C26+C40</f>
        <v/>
      </c>
      <c r="D42" s="28">
        <f>D26+D40</f>
        <v/>
      </c>
      <c r="E42" s="28">
        <f>E26+E40</f>
        <v/>
      </c>
      <c r="F42" s="28">
        <f>F26+F40</f>
        <v/>
      </c>
    </row>
    <row r="44">
      <c r="B44" s="21" t="inlineStr">
        <is>
          <t>Current Liabilities</t>
        </is>
      </c>
    </row>
    <row r="45">
      <c r="A45" s="7" t="inlineStr">
        <is>
          <t>200100</t>
        </is>
      </c>
      <c r="B45" s="8" t="inlineStr">
        <is>
          <t>Accounts Payable - Domestic</t>
        </is>
      </c>
      <c r="C45" s="9">
        <f>-EPM($B$3,$B$4,3,$A45,"ytd_net_amount")</f>
        <v/>
      </c>
      <c r="D45" s="9">
        <f>-EPM($B$3,$B$4,6,$A45,"ytd_net_amount")</f>
        <v/>
      </c>
      <c r="E45" s="9">
        <f>-EPM($B$3,$B$4,9,$A45,"ytd_net_amount")</f>
        <v/>
      </c>
      <c r="F45" s="9">
        <f>-EPM($B$3,$B$4,12,$A45,"ytd_net_amount")</f>
        <v/>
      </c>
    </row>
    <row r="46">
      <c r="A46" s="10" t="inlineStr">
        <is>
          <t>200110A</t>
        </is>
      </c>
      <c r="B46" s="11" t="inlineStr">
        <is>
          <t>Accounts Payable - Other</t>
        </is>
      </c>
      <c r="C46" s="12">
        <f>-EPM($B$3,$B$4,3,$A46,"ytd_net_amount")</f>
        <v/>
      </c>
      <c r="D46" s="12">
        <f>-EPM($B$3,$B$4,6,$A46,"ytd_net_amount")</f>
        <v/>
      </c>
      <c r="E46" s="12">
        <f>-EPM($B$3,$B$4,9,$A46,"ytd_net_amount")</f>
        <v/>
      </c>
      <c r="F46" s="12">
        <f>-EPM($B$3,$B$4,12,$A46,"ytd_net_amount")</f>
        <v/>
      </c>
    </row>
    <row r="47">
      <c r="A47" s="7" t="inlineStr">
        <is>
          <t>200130</t>
        </is>
      </c>
      <c r="B47" s="8" t="inlineStr">
        <is>
          <t>Invoice Pending Approval</t>
        </is>
      </c>
      <c r="C47" s="9">
        <f>-EPM($B$3,$B$4,3,$A47,"ytd_net_amount")</f>
        <v/>
      </c>
      <c r="D47" s="9">
        <f>-EPM($B$3,$B$4,6,$A47,"ytd_net_amount")</f>
        <v/>
      </c>
      <c r="E47" s="9">
        <f>-EPM($B$3,$B$4,9,$A47,"ytd_net_amount")</f>
        <v/>
      </c>
      <c r="F47" s="9">
        <f>-EPM($B$3,$B$4,12,$A47,"ytd_net_amount")</f>
        <v/>
      </c>
    </row>
    <row r="48">
      <c r="A48" s="10" t="inlineStr">
        <is>
          <t>200140</t>
        </is>
      </c>
      <c r="B48" s="11" t="inlineStr">
        <is>
          <t>Accrued Purchases - Received Not Invoiced</t>
        </is>
      </c>
      <c r="C48" s="12">
        <f>-EPM($B$3,$B$4,3,$A48,"ytd_net_amount")</f>
        <v/>
      </c>
      <c r="D48" s="12">
        <f>-EPM($B$3,$B$4,6,$A48,"ytd_net_amount")</f>
        <v/>
      </c>
      <c r="E48" s="12">
        <f>-EPM($B$3,$B$4,9,$A48,"ytd_net_amount")</f>
        <v/>
      </c>
      <c r="F48" s="12">
        <f>-EPM($B$3,$B$4,12,$A48,"ytd_net_amount")</f>
        <v/>
      </c>
    </row>
    <row r="49">
      <c r="A49" s="7" t="inlineStr">
        <is>
          <t>200190</t>
        </is>
      </c>
      <c r="B49" s="8" t="inlineStr">
        <is>
          <t>Accrued Purchases</t>
        </is>
      </c>
      <c r="C49" s="9">
        <f>-EPM($B$3,$B$4,3,$A49,"ytd_net_amount")</f>
        <v/>
      </c>
      <c r="D49" s="9">
        <f>-EPM($B$3,$B$4,6,$A49,"ytd_net_amount")</f>
        <v/>
      </c>
      <c r="E49" s="9">
        <f>-EPM($B$3,$B$4,9,$A49,"ytd_net_amount")</f>
        <v/>
      </c>
      <c r="F49" s="9">
        <f>-EPM($B$3,$B$4,12,$A49,"ytd_net_amount")</f>
        <v/>
      </c>
    </row>
    <row r="50">
      <c r="A50" s="10" t="inlineStr">
        <is>
          <t>201100</t>
        </is>
      </c>
      <c r="B50" s="11" t="inlineStr">
        <is>
          <t>Salaries &amp; Wages Payable</t>
        </is>
      </c>
      <c r="C50" s="12">
        <f>-EPM($B$3,$B$4,3,$A50,"ytd_net_amount")</f>
        <v/>
      </c>
      <c r="D50" s="12">
        <f>-EPM($B$3,$B$4,6,$A50,"ytd_net_amount")</f>
        <v/>
      </c>
      <c r="E50" s="12">
        <f>-EPM($B$3,$B$4,9,$A50,"ytd_net_amount")</f>
        <v/>
      </c>
      <c r="F50" s="12">
        <f>-EPM($B$3,$B$4,12,$A50,"ytd_net_amount")</f>
        <v/>
      </c>
    </row>
    <row r="51">
      <c r="A51" s="7" t="inlineStr">
        <is>
          <t>201110</t>
        </is>
      </c>
      <c r="B51" s="8" t="inlineStr">
        <is>
          <t>Commissions Payable</t>
        </is>
      </c>
      <c r="C51" s="9">
        <f>-EPM($B$3,$B$4,3,$A51,"ytd_net_amount")</f>
        <v/>
      </c>
      <c r="D51" s="9">
        <f>-EPM($B$3,$B$4,6,$A51,"ytd_net_amount")</f>
        <v/>
      </c>
      <c r="E51" s="9">
        <f>-EPM($B$3,$B$4,9,$A51,"ytd_net_amount")</f>
        <v/>
      </c>
      <c r="F51" s="9">
        <f>-EPM($B$3,$B$4,12,$A51,"ytd_net_amount")</f>
        <v/>
      </c>
    </row>
    <row r="52">
      <c r="A52" s="10" t="inlineStr">
        <is>
          <t>212160</t>
        </is>
      </c>
      <c r="B52" s="11" t="inlineStr">
        <is>
          <t>Customer Deposits</t>
        </is>
      </c>
      <c r="C52" s="12">
        <f>-EPM($B$3,$B$4,3,$A52,"ytd_net_amount")</f>
        <v/>
      </c>
      <c r="D52" s="12">
        <f>-EPM($B$3,$B$4,6,$A52,"ytd_net_amount")</f>
        <v/>
      </c>
      <c r="E52" s="12">
        <f>-EPM($B$3,$B$4,9,$A52,"ytd_net_amount")</f>
        <v/>
      </c>
      <c r="F52" s="12">
        <f>-EPM($B$3,$B$4,12,$A52,"ytd_net_amount")</f>
        <v/>
      </c>
    </row>
    <row r="53">
      <c r="A53" s="7" t="inlineStr">
        <is>
          <t>221240</t>
        </is>
      </c>
      <c r="B53" s="8" t="inlineStr">
        <is>
          <t>Income Taxes Payable</t>
        </is>
      </c>
      <c r="C53" s="9">
        <f>-EPM($B$3,$B$4,3,$A53,"ytd_net_amount")</f>
        <v/>
      </c>
      <c r="D53" s="9">
        <f>-EPM($B$3,$B$4,6,$A53,"ytd_net_amount")</f>
        <v/>
      </c>
      <c r="E53" s="9">
        <f>-EPM($B$3,$B$4,9,$A53,"ytd_net_amount")</f>
        <v/>
      </c>
      <c r="F53" s="9">
        <f>-EPM($B$3,$B$4,12,$A53,"ytd_net_amount")</f>
        <v/>
      </c>
    </row>
    <row r="54">
      <c r="A54" s="10" t="inlineStr">
        <is>
          <t>222200</t>
        </is>
      </c>
      <c r="B54" s="11" t="inlineStr">
        <is>
          <t>VAT Tax Payable</t>
        </is>
      </c>
      <c r="C54" s="12">
        <f>-EPM($B$3,$B$4,3,$A54,"ytd_net_amount")</f>
        <v/>
      </c>
      <c r="D54" s="12">
        <f>-EPM($B$3,$B$4,6,$A54,"ytd_net_amount")</f>
        <v/>
      </c>
      <c r="E54" s="12">
        <f>-EPM($B$3,$B$4,9,$A54,"ytd_net_amount")</f>
        <v/>
      </c>
      <c r="F54" s="12">
        <f>-EPM($B$3,$B$4,12,$A54,"ytd_net_amount")</f>
        <v/>
      </c>
    </row>
    <row r="55">
      <c r="A55" s="7" t="inlineStr">
        <is>
          <t>222300</t>
        </is>
      </c>
      <c r="B55" s="8" t="inlineStr">
        <is>
          <t>Short Term Obligation - Finance Leases</t>
        </is>
      </c>
      <c r="C55" s="9">
        <f>-EPM($B$3,$B$4,3,$A55,"ytd_net_amount")</f>
        <v/>
      </c>
      <c r="D55" s="9">
        <f>-EPM($B$3,$B$4,6,$A55,"ytd_net_amount")</f>
        <v/>
      </c>
      <c r="E55" s="9">
        <f>-EPM($B$3,$B$4,9,$A55,"ytd_net_amount")</f>
        <v/>
      </c>
      <c r="F55" s="9">
        <f>-EPM($B$3,$B$4,12,$A55,"ytd_net_amount")</f>
        <v/>
      </c>
    </row>
    <row r="56">
      <c r="A56" s="10" t="inlineStr">
        <is>
          <t>222310</t>
        </is>
      </c>
      <c r="B56" s="11" t="inlineStr">
        <is>
          <t>Short Term Obligation - Operating Leases</t>
        </is>
      </c>
      <c r="C56" s="12">
        <f>-EPM($B$3,$B$4,3,$A56,"ytd_net_amount")</f>
        <v/>
      </c>
      <c r="D56" s="12">
        <f>-EPM($B$3,$B$4,6,$A56,"ytd_net_amount")</f>
        <v/>
      </c>
      <c r="E56" s="12">
        <f>-EPM($B$3,$B$4,9,$A56,"ytd_net_amount")</f>
        <v/>
      </c>
      <c r="F56" s="12">
        <f>-EPM($B$3,$B$4,12,$A56,"ytd_net_amount")</f>
        <v/>
      </c>
    </row>
    <row r="57">
      <c r="A57" s="7" t="inlineStr">
        <is>
          <t>231300</t>
        </is>
      </c>
      <c r="B57" s="8" t="inlineStr">
        <is>
          <t>Intercompany Payable - USMF/DEMF</t>
        </is>
      </c>
      <c r="C57" s="9">
        <f>-EPM($B$3,$B$4,3,$A57,"ytd_net_amount")</f>
        <v/>
      </c>
      <c r="D57" s="9">
        <f>-EPM($B$3,$B$4,6,$A57,"ytd_net_amount")</f>
        <v/>
      </c>
      <c r="E57" s="9">
        <f>-EPM($B$3,$B$4,9,$A57,"ytd_net_amount")</f>
        <v/>
      </c>
      <c r="F57" s="9">
        <f>-EPM($B$3,$B$4,12,$A57,"ytd_net_amount")</f>
        <v/>
      </c>
    </row>
    <row r="58">
      <c r="A58" s="10" t="inlineStr">
        <is>
          <t>231500</t>
        </is>
      </c>
      <c r="B58" s="11" t="inlineStr">
        <is>
          <t>Interunit Payable</t>
        </is>
      </c>
      <c r="C58" s="12">
        <f>-EPM($B$3,$B$4,3,$A58,"ytd_net_amount")</f>
        <v/>
      </c>
      <c r="D58" s="12">
        <f>-EPM($B$3,$B$4,6,$A58,"ytd_net_amount")</f>
        <v/>
      </c>
      <c r="E58" s="12">
        <f>-EPM($B$3,$B$4,9,$A58,"ytd_net_amount")</f>
        <v/>
      </c>
      <c r="F58" s="12">
        <f>-EPM($B$3,$B$4,12,$A58,"ytd_net_amount")</f>
        <v/>
      </c>
    </row>
    <row r="59">
      <c r="A59" s="24" t="n"/>
      <c r="B59" s="25" t="inlineStr">
        <is>
          <t>Total Current Liabilities</t>
        </is>
      </c>
      <c r="C59" s="26">
        <f>C45+C46+C47+C48+C49+C50+C51+C52+C53+C54+C55+C56+C57+C58</f>
        <v/>
      </c>
      <c r="D59" s="26">
        <f>D45+D46+D47+D48+D49+D50+D51+D52+D53+D54+D55+D56+D57+D58</f>
        <v/>
      </c>
      <c r="E59" s="26">
        <f>E45+E46+E47+E48+E49+E50+E51+E52+E53+E54+E55+E56+E57+E58</f>
        <v/>
      </c>
      <c r="F59" s="26">
        <f>F45+F46+F47+F48+F49+F50+F51+F52+F53+F54+F55+F56+F57+F58</f>
        <v/>
      </c>
    </row>
    <row r="61">
      <c r="B61" s="21" t="inlineStr">
        <is>
          <t>Non-Current Liabilities</t>
        </is>
      </c>
    </row>
    <row r="62">
      <c r="A62" s="7" t="inlineStr">
        <is>
          <t>250100</t>
        </is>
      </c>
      <c r="B62" s="8" t="inlineStr">
        <is>
          <t>Long-term Bank Loans</t>
        </is>
      </c>
      <c r="C62" s="9">
        <f>-EPM($B$3,$B$4,3,$A62,"ytd_net_amount")</f>
        <v/>
      </c>
      <c r="D62" s="9">
        <f>-EPM($B$3,$B$4,6,$A62,"ytd_net_amount")</f>
        <v/>
      </c>
      <c r="E62" s="9">
        <f>-EPM($B$3,$B$4,9,$A62,"ytd_net_amount")</f>
        <v/>
      </c>
      <c r="F62" s="9">
        <f>-EPM($B$3,$B$4,12,$A62,"ytd_net_amount")</f>
        <v/>
      </c>
    </row>
    <row r="63">
      <c r="A63" s="10" t="inlineStr">
        <is>
          <t>250200</t>
        </is>
      </c>
      <c r="B63" s="11" t="inlineStr">
        <is>
          <t>Notes Payable</t>
        </is>
      </c>
      <c r="C63" s="12">
        <f>-EPM($B$3,$B$4,3,$A63,"ytd_net_amount")</f>
        <v/>
      </c>
      <c r="D63" s="12">
        <f>-EPM($B$3,$B$4,6,$A63,"ytd_net_amount")</f>
        <v/>
      </c>
      <c r="E63" s="12">
        <f>-EPM($B$3,$B$4,9,$A63,"ytd_net_amount")</f>
        <v/>
      </c>
      <c r="F63" s="12">
        <f>-EPM($B$3,$B$4,12,$A63,"ytd_net_amount")</f>
        <v/>
      </c>
    </row>
    <row r="64">
      <c r="A64" s="7" t="inlineStr">
        <is>
          <t>250300</t>
        </is>
      </c>
      <c r="B64" s="8" t="inlineStr">
        <is>
          <t>Mortgage Payable</t>
        </is>
      </c>
      <c r="C64" s="9">
        <f>-EPM($B$3,$B$4,3,$A64,"ytd_net_amount")</f>
        <v/>
      </c>
      <c r="D64" s="9">
        <f>-EPM($B$3,$B$4,6,$A64,"ytd_net_amount")</f>
        <v/>
      </c>
      <c r="E64" s="9">
        <f>-EPM($B$3,$B$4,9,$A64,"ytd_net_amount")</f>
        <v/>
      </c>
      <c r="F64" s="9">
        <f>-EPM($B$3,$B$4,12,$A64,"ytd_net_amount")</f>
        <v/>
      </c>
    </row>
    <row r="65">
      <c r="A65" s="10" t="inlineStr">
        <is>
          <t>250500</t>
        </is>
      </c>
      <c r="B65" s="11" t="inlineStr">
        <is>
          <t>Deferred Income Tax</t>
        </is>
      </c>
      <c r="C65" s="12">
        <f>-EPM($B$3,$B$4,3,$A65,"ytd_net_amount")</f>
        <v/>
      </c>
      <c r="D65" s="12">
        <f>-EPM($B$3,$B$4,6,$A65,"ytd_net_amount")</f>
        <v/>
      </c>
      <c r="E65" s="12">
        <f>-EPM($B$3,$B$4,9,$A65,"ytd_net_amount")</f>
        <v/>
      </c>
      <c r="F65" s="12">
        <f>-EPM($B$3,$B$4,12,$A65,"ytd_net_amount")</f>
        <v/>
      </c>
    </row>
    <row r="66">
      <c r="A66" s="7" t="inlineStr">
        <is>
          <t>250600</t>
        </is>
      </c>
      <c r="B66" s="8" t="inlineStr">
        <is>
          <t>Deferred Revenue</t>
        </is>
      </c>
      <c r="C66" s="9">
        <f>-EPM($B$3,$B$4,3,$A66,"ytd_net_amount")</f>
        <v/>
      </c>
      <c r="D66" s="9">
        <f>-EPM($B$3,$B$4,6,$A66,"ytd_net_amount")</f>
        <v/>
      </c>
      <c r="E66" s="9">
        <f>-EPM($B$3,$B$4,9,$A66,"ytd_net_amount")</f>
        <v/>
      </c>
      <c r="F66" s="9">
        <f>-EPM($B$3,$B$4,12,$A66,"ytd_net_amount")</f>
        <v/>
      </c>
    </row>
    <row r="67">
      <c r="A67" s="10" t="inlineStr">
        <is>
          <t>250601</t>
        </is>
      </c>
      <c r="B67" s="11" t="inlineStr">
        <is>
          <t>Long Term Obligation - Finance Leases</t>
        </is>
      </c>
      <c r="C67" s="12">
        <f>-EPM($B$3,$B$4,3,$A67,"ytd_net_amount")</f>
        <v/>
      </c>
      <c r="D67" s="12">
        <f>-EPM($B$3,$B$4,6,$A67,"ytd_net_amount")</f>
        <v/>
      </c>
      <c r="E67" s="12">
        <f>-EPM($B$3,$B$4,9,$A67,"ytd_net_amount")</f>
        <v/>
      </c>
      <c r="F67" s="12">
        <f>-EPM($B$3,$B$4,12,$A67,"ytd_net_amount")</f>
        <v/>
      </c>
    </row>
    <row r="68">
      <c r="A68" s="7" t="inlineStr">
        <is>
          <t>250602</t>
        </is>
      </c>
      <c r="B68" s="8" t="inlineStr">
        <is>
          <t>Long Term Obligation - Operating Leases</t>
        </is>
      </c>
      <c r="C68" s="9">
        <f>-EPM($B$3,$B$4,3,$A68,"ytd_net_amount")</f>
        <v/>
      </c>
      <c r="D68" s="9">
        <f>-EPM($B$3,$B$4,6,$A68,"ytd_net_amount")</f>
        <v/>
      </c>
      <c r="E68" s="9">
        <f>-EPM($B$3,$B$4,9,$A68,"ytd_net_amount")</f>
        <v/>
      </c>
      <c r="F68" s="9">
        <f>-EPM($B$3,$B$4,12,$A68,"ytd_net_amount")</f>
        <v/>
      </c>
    </row>
    <row r="69">
      <c r="A69" s="24" t="n"/>
      <c r="B69" s="25" t="inlineStr">
        <is>
          <t>Total Non-Current Liabilities</t>
        </is>
      </c>
      <c r="C69" s="26">
        <f>C62+C63+C64+C65+C66+C67+C68</f>
        <v/>
      </c>
      <c r="D69" s="26">
        <f>D62+D63+D64+D65+D66+D67+D68</f>
        <v/>
      </c>
      <c r="E69" s="26">
        <f>E62+E63+E64+E65+E66+E67+E68</f>
        <v/>
      </c>
      <c r="F69" s="26">
        <f>F62+F63+F64+F65+F66+F67+F68</f>
        <v/>
      </c>
    </row>
    <row r="71">
      <c r="A71" s="24" t="n"/>
      <c r="B71" s="27" t="inlineStr">
        <is>
          <t>Total Liabilities</t>
        </is>
      </c>
      <c r="C71" s="28">
        <f>C59+C69</f>
        <v/>
      </c>
      <c r="D71" s="28">
        <f>D59+D69</f>
        <v/>
      </c>
      <c r="E71" s="28">
        <f>E59+E69</f>
        <v/>
      </c>
      <c r="F71" s="28">
        <f>F59+F69</f>
        <v/>
      </c>
    </row>
    <row r="73">
      <c r="B73" s="21" t="inlineStr">
        <is>
          <t>Shareholders' Equity</t>
        </is>
      </c>
    </row>
    <row r="74">
      <c r="A74" s="7" t="inlineStr">
        <is>
          <t>300110</t>
        </is>
      </c>
      <c r="B74" s="8" t="inlineStr">
        <is>
          <t>Capital Stock</t>
        </is>
      </c>
      <c r="C74" s="9">
        <f>-EPM($B$3,$B$4,3,$A74,"ytd_net_amount")</f>
        <v/>
      </c>
      <c r="D74" s="9">
        <f>-EPM($B$3,$B$4,6,$A74,"ytd_net_amount")</f>
        <v/>
      </c>
      <c r="E74" s="9">
        <f>-EPM($B$3,$B$4,9,$A74,"ytd_net_amount")</f>
        <v/>
      </c>
      <c r="F74" s="9">
        <f>-EPM($B$3,$B$4,12,$A74,"ytd_net_amount")</f>
        <v/>
      </c>
    </row>
    <row r="75">
      <c r="A75" s="10" t="inlineStr">
        <is>
          <t>300120</t>
        </is>
      </c>
      <c r="B75" s="11" t="inlineStr">
        <is>
          <t>Paid-in Capital</t>
        </is>
      </c>
      <c r="C75" s="12">
        <f>-EPM($B$3,$B$4,3,$A75,"ytd_net_amount")</f>
        <v/>
      </c>
      <c r="D75" s="12">
        <f>-EPM($B$3,$B$4,6,$A75,"ytd_net_amount")</f>
        <v/>
      </c>
      <c r="E75" s="12">
        <f>-EPM($B$3,$B$4,9,$A75,"ytd_net_amount")</f>
        <v/>
      </c>
      <c r="F75" s="12">
        <f>-EPM($B$3,$B$4,12,$A75,"ytd_net_amount")</f>
        <v/>
      </c>
    </row>
    <row r="76">
      <c r="A76" s="7" t="inlineStr">
        <is>
          <t>300130</t>
        </is>
      </c>
      <c r="B76" s="8" t="inlineStr">
        <is>
          <t>Dividends Paid</t>
        </is>
      </c>
      <c r="C76" s="9">
        <f>-EPM($B$3,$B$4,3,$A76,"ytd_net_amount")</f>
        <v/>
      </c>
      <c r="D76" s="9">
        <f>-EPM($B$3,$B$4,6,$A76,"ytd_net_amount")</f>
        <v/>
      </c>
      <c r="E76" s="9">
        <f>-EPM($B$3,$B$4,9,$A76,"ytd_net_amount")</f>
        <v/>
      </c>
      <c r="F76" s="9">
        <f>-EPM($B$3,$B$4,12,$A76,"ytd_net_amount")</f>
        <v/>
      </c>
    </row>
    <row r="77">
      <c r="A77" s="10" t="inlineStr">
        <is>
          <t>300150</t>
        </is>
      </c>
      <c r="B77" s="11" t="inlineStr">
        <is>
          <t>Unrealized Currency Gain/Loss</t>
        </is>
      </c>
      <c r="C77" s="12">
        <f>-EPM($B$3,$B$4,3,$A77,"ytd_net_amount")</f>
        <v/>
      </c>
      <c r="D77" s="12">
        <f>-EPM($B$3,$B$4,6,$A77,"ytd_net_amount")</f>
        <v/>
      </c>
      <c r="E77" s="12">
        <f>-EPM($B$3,$B$4,9,$A77,"ytd_net_amount")</f>
        <v/>
      </c>
      <c r="F77" s="12">
        <f>-EPM($B$3,$B$4,12,$A77,"ytd_net_amount")</f>
        <v/>
      </c>
    </row>
    <row r="78">
      <c r="A78" s="7" t="inlineStr">
        <is>
          <t>300160</t>
        </is>
      </c>
      <c r="B78" s="8" t="inlineStr">
        <is>
          <t>Retained Earnings</t>
        </is>
      </c>
      <c r="C78" s="9">
        <f>-EPM($B$3,$B$4,3,$A78,"ytd_net_amount")</f>
        <v/>
      </c>
      <c r="D78" s="9">
        <f>-EPM($B$3,$B$4,6,$A78,"ytd_net_amount")</f>
        <v/>
      </c>
      <c r="E78" s="9">
        <f>-EPM($B$3,$B$4,9,$A78,"ytd_net_amount")</f>
        <v/>
      </c>
      <c r="F78" s="9">
        <f>-EPM($B$3,$B$4,12,$A78,"ytd_net_amount")</f>
        <v/>
      </c>
    </row>
    <row r="79">
      <c r="A79" s="10" t="inlineStr">
        <is>
          <t>300170</t>
        </is>
      </c>
      <c r="B79" s="11" t="inlineStr">
        <is>
          <t>Accumulated Other Comprehensive Income</t>
        </is>
      </c>
      <c r="C79" s="12">
        <f>-EPM($B$3,$B$4,3,$A79,"ytd_net_amount")</f>
        <v/>
      </c>
      <c r="D79" s="12">
        <f>-EPM($B$3,$B$4,6,$A79,"ytd_net_amount")</f>
        <v/>
      </c>
      <c r="E79" s="12">
        <f>-EPM($B$3,$B$4,9,$A79,"ytd_net_amount")</f>
        <v/>
      </c>
      <c r="F79" s="12">
        <f>-EPM($B$3,$B$4,12,$A79,"ytd_net_amount")</f>
        <v/>
      </c>
    </row>
    <row r="80">
      <c r="A80" s="24" t="n"/>
      <c r="B80" s="25" t="inlineStr">
        <is>
          <t>Total Equity</t>
        </is>
      </c>
      <c r="C80" s="26">
        <f>C74+C75+C76+C77+C78+C79</f>
        <v/>
      </c>
      <c r="D80" s="26">
        <f>D74+D75+D76+D77+D78+D79</f>
        <v/>
      </c>
      <c r="E80" s="26">
        <f>E74+E75+E76+E77+E78+E79</f>
        <v/>
      </c>
      <c r="F80" s="26">
        <f>F74+F75+F76+F77+F78+F79</f>
        <v/>
      </c>
    </row>
    <row r="82">
      <c r="A82" s="24" t="n"/>
      <c r="B82" s="27" t="inlineStr">
        <is>
          <t>Total Liabilities &amp; Equity</t>
        </is>
      </c>
      <c r="C82" s="28">
        <f>C71+C80</f>
        <v/>
      </c>
      <c r="D82" s="28">
        <f>D71+D80</f>
        <v/>
      </c>
      <c r="E82" s="28">
        <f>E71+E80</f>
        <v/>
      </c>
      <c r="F82" s="28">
        <f>F71+F80</f>
        <v/>
      </c>
    </row>
    <row r="84">
      <c r="A84" s="24" t="n"/>
      <c r="B84" s="27" t="inlineStr">
        <is>
          <t>Check (Assets - L&amp;E)</t>
        </is>
      </c>
      <c r="C84" s="29">
        <f>C42-C82</f>
        <v/>
      </c>
      <c r="D84" s="29">
        <f>D42-D82</f>
        <v/>
      </c>
      <c r="E84" s="29">
        <f>E42-E82</f>
        <v/>
      </c>
      <c r="F84" s="29">
        <f>F42-F82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0" t="inlineStr">
        <is>
          <t>Statement of Cash Flows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3">
      <c r="A3" s="32" t="inlineStr">
        <is>
          <t>Entity</t>
        </is>
      </c>
      <c r="B3" s="4" t="inlineStr">
        <is>
          <t>DEMF</t>
        </is>
      </c>
      <c r="D3" s="32" t="inlineStr">
        <is>
          <t>Measure</t>
        </is>
      </c>
      <c r="E3" s="4" t="inlineStr">
        <is>
          <t>period_net_amount</t>
        </is>
      </c>
    </row>
    <row r="4">
      <c r="A4" s="32" t="inlineStr">
        <is>
          <t>Year</t>
        </is>
      </c>
      <c r="B4" s="4" t="n">
        <v>2024</v>
      </c>
    </row>
    <row r="6">
      <c r="A6" s="33" t="inlineStr">
        <is>
          <t>Account</t>
        </is>
      </c>
      <c r="B6" s="33" t="inlineStr">
        <is>
          <t>Description</t>
        </is>
      </c>
      <c r="C6" s="34" t="inlineStr">
        <is>
          <t>Q1</t>
        </is>
      </c>
      <c r="D6" s="34" t="inlineStr">
        <is>
          <t>Q2</t>
        </is>
      </c>
      <c r="E6" s="34" t="inlineStr">
        <is>
          <t>Q3</t>
        </is>
      </c>
      <c r="F6" s="34" t="inlineStr">
        <is>
          <t>Q4</t>
        </is>
      </c>
      <c r="G6" s="34" t="inlineStr">
        <is>
          <t>H1</t>
        </is>
      </c>
      <c r="H6" s="34" t="inlineStr">
        <is>
          <t>H2</t>
        </is>
      </c>
      <c r="I6" s="34" t="inlineStr">
        <is>
          <t>Full Year</t>
        </is>
      </c>
    </row>
    <row r="7">
      <c r="B7" s="32" t="inlineStr">
        <is>
          <t>Operating Activities</t>
        </is>
      </c>
    </row>
    <row r="8">
      <c r="B8" s="11" t="inlineStr">
        <is>
          <t>Net Income</t>
        </is>
      </c>
      <c r="C8" s="12">
        <f>-EPM($B$3,$B$4,"Q1","300160","period_net_amount")</f>
        <v/>
      </c>
      <c r="D8" s="12">
        <f>-EPM($B$3,$B$4,"Q2","300160","period_net_amount")</f>
        <v/>
      </c>
      <c r="E8" s="12">
        <f>-EPM($B$3,$B$4,"Q3","300160","period_net_amount")</f>
        <v/>
      </c>
      <c r="F8" s="12">
        <f>-EPM($B$3,$B$4,"Q4","300160","period_net_amount")</f>
        <v/>
      </c>
      <c r="G8" s="12">
        <f>-EPM($B$3,$B$4,"H1","300160","period_net_amount")</f>
        <v/>
      </c>
      <c r="H8" s="12">
        <f>-EPM($B$3,$B$4,"H2","300160","period_net_amount")</f>
        <v/>
      </c>
      <c r="I8" s="12">
        <f>-EPM($B$3,$B$4,"FY","300160","period_net_amount")</f>
        <v/>
      </c>
    </row>
    <row r="9">
      <c r="B9" s="35" t="inlineStr">
        <is>
          <t>Adjustments for non-cash items:</t>
        </is>
      </c>
    </row>
    <row r="10">
      <c r="A10" s="10" t="inlineStr">
        <is>
          <t>607200</t>
        </is>
      </c>
      <c r="B10" s="11" t="inlineStr">
        <is>
          <t>Depreciation - Tangible Assets</t>
        </is>
      </c>
      <c r="C10" s="12">
        <f>EPM($B$3,$B$4,"Q1",$A10,"period_net_amount")</f>
        <v/>
      </c>
      <c r="D10" s="12">
        <f>EPM($B$3,$B$4,"Q2",$A10,"period_net_amount")</f>
        <v/>
      </c>
      <c r="E10" s="12">
        <f>EPM($B$3,$B$4,"Q3",$A10,"period_net_amount")</f>
        <v/>
      </c>
      <c r="F10" s="12">
        <f>EPM($B$3,$B$4,"Q4",$A10,"period_net_amount")</f>
        <v/>
      </c>
      <c r="G10" s="12">
        <f>EPM($B$3,$B$4,"H1",$A10,"period_net_amount")</f>
        <v/>
      </c>
      <c r="H10" s="12">
        <f>EPM($B$3,$B$4,"H2",$A10,"period_net_amount")</f>
        <v/>
      </c>
      <c r="I10" s="12">
        <f>EPM($B$3,$B$4,"FY",$A10,"period_net_amount")</f>
        <v/>
      </c>
    </row>
    <row r="11">
      <c r="A11" s="7" t="inlineStr">
        <is>
          <t>607100</t>
        </is>
      </c>
      <c r="B11" s="8" t="inlineStr">
        <is>
          <t>Depreciation - Intangible Assets</t>
        </is>
      </c>
      <c r="C11" s="9">
        <f>EPM($B$3,$B$4,"Q1",$A11,"period_net_amount")</f>
        <v/>
      </c>
      <c r="D11" s="9">
        <f>EPM($B$3,$B$4,"Q2",$A11,"period_net_amount")</f>
        <v/>
      </c>
      <c r="E11" s="9">
        <f>EPM($B$3,$B$4,"Q3",$A11,"period_net_amount")</f>
        <v/>
      </c>
      <c r="F11" s="9">
        <f>EPM($B$3,$B$4,"Q4",$A11,"period_net_amount")</f>
        <v/>
      </c>
      <c r="G11" s="9">
        <f>EPM($B$3,$B$4,"H1",$A11,"period_net_amount")</f>
        <v/>
      </c>
      <c r="H11" s="9">
        <f>EPM($B$3,$B$4,"H2",$A11,"period_net_amount")</f>
        <v/>
      </c>
      <c r="I11" s="9">
        <f>EPM($B$3,$B$4,"FY",$A11,"period_net_amount")</f>
        <v/>
      </c>
    </row>
    <row r="12">
      <c r="A12" s="10" t="inlineStr">
        <is>
          <t>801100</t>
        </is>
      </c>
      <c r="B12" s="11" t="inlineStr">
        <is>
          <t>Gain/Loss - Disposal of Assets</t>
        </is>
      </c>
      <c r="C12" s="12">
        <f>EPM($B$3,$B$4,"Q1",$A12,"period_net_amount")</f>
        <v/>
      </c>
      <c r="D12" s="12">
        <f>EPM($B$3,$B$4,"Q2",$A12,"period_net_amount")</f>
        <v/>
      </c>
      <c r="E12" s="12">
        <f>EPM($B$3,$B$4,"Q3",$A12,"period_net_amount")</f>
        <v/>
      </c>
      <c r="F12" s="12">
        <f>EPM($B$3,$B$4,"Q4",$A12,"period_net_amount")</f>
        <v/>
      </c>
      <c r="G12" s="12">
        <f>EPM($B$3,$B$4,"H1",$A12,"period_net_amount")</f>
        <v/>
      </c>
      <c r="H12" s="12">
        <f>EPM($B$3,$B$4,"H2",$A12,"period_net_amount")</f>
        <v/>
      </c>
      <c r="I12" s="12">
        <f>EPM($B$3,$B$4,"FY",$A12,"period_net_amount")</f>
        <v/>
      </c>
    </row>
    <row r="13">
      <c r="A13" s="7" t="inlineStr">
        <is>
          <t>801200</t>
        </is>
      </c>
      <c r="B13" s="8" t="inlineStr">
        <is>
          <t>Gain/Loss - Revaluation</t>
        </is>
      </c>
      <c r="C13" s="9">
        <f>EPM($B$3,$B$4,"Q1",$A13,"period_net_amount")</f>
        <v/>
      </c>
      <c r="D13" s="9">
        <f>EPM($B$3,$B$4,"Q2",$A13,"period_net_amount")</f>
        <v/>
      </c>
      <c r="E13" s="9">
        <f>EPM($B$3,$B$4,"Q3",$A13,"period_net_amount")</f>
        <v/>
      </c>
      <c r="F13" s="9">
        <f>EPM($B$3,$B$4,"Q4",$A13,"period_net_amount")</f>
        <v/>
      </c>
      <c r="G13" s="9">
        <f>EPM($B$3,$B$4,"H1",$A13,"period_net_amount")</f>
        <v/>
      </c>
      <c r="H13" s="9">
        <f>EPM($B$3,$B$4,"H2",$A13,"period_net_amount")</f>
        <v/>
      </c>
      <c r="I13" s="9">
        <f>EPM($B$3,$B$4,"FY",$A13,"period_net_amount")</f>
        <v/>
      </c>
    </row>
    <row r="14">
      <c r="B14" s="35" t="inlineStr">
        <is>
          <t>Changes in working capital:</t>
        </is>
      </c>
    </row>
    <row r="15">
      <c r="A15" s="10" t="inlineStr">
        <is>
          <t>130100</t>
        </is>
      </c>
      <c r="B15" s="11" t="inlineStr">
        <is>
          <t>Accounts Receivable</t>
        </is>
      </c>
      <c r="C15" s="12">
        <f>EPM($B$3,$B$4,"Q1",$A15,"period_net_amount")</f>
        <v/>
      </c>
      <c r="D15" s="12">
        <f>EPM($B$3,$B$4,"Q2",$A15,"period_net_amount")</f>
        <v/>
      </c>
      <c r="E15" s="12">
        <f>EPM($B$3,$B$4,"Q3",$A15,"period_net_amount")</f>
        <v/>
      </c>
      <c r="F15" s="12">
        <f>EPM($B$3,$B$4,"Q4",$A15,"period_net_amount")</f>
        <v/>
      </c>
      <c r="G15" s="12">
        <f>EPM($B$3,$B$4,"H1",$A15,"period_net_amount")</f>
        <v/>
      </c>
      <c r="H15" s="12">
        <f>EPM($B$3,$B$4,"H2",$A15,"period_net_amount")</f>
        <v/>
      </c>
      <c r="I15" s="12">
        <f>EPM($B$3,$B$4,"FY",$A15,"period_net_amount")</f>
        <v/>
      </c>
    </row>
    <row r="16">
      <c r="A16" s="7" t="inlineStr">
        <is>
          <t>130300</t>
        </is>
      </c>
      <c r="B16" s="8" t="inlineStr">
        <is>
          <t>Accounts Receivable - Not Invoiced</t>
        </is>
      </c>
      <c r="C16" s="9">
        <f>EPM($B$3,$B$4,"Q1",$A16,"period_net_amount")</f>
        <v/>
      </c>
      <c r="D16" s="9">
        <f>EPM($B$3,$B$4,"Q2",$A16,"period_net_amount")</f>
        <v/>
      </c>
      <c r="E16" s="9">
        <f>EPM($B$3,$B$4,"Q3",$A16,"period_net_amount")</f>
        <v/>
      </c>
      <c r="F16" s="9">
        <f>EPM($B$3,$B$4,"Q4",$A16,"period_net_amount")</f>
        <v/>
      </c>
      <c r="G16" s="9">
        <f>EPM($B$3,$B$4,"H1",$A16,"period_net_amount")</f>
        <v/>
      </c>
      <c r="H16" s="9">
        <f>EPM($B$3,$B$4,"H2",$A16,"period_net_amount")</f>
        <v/>
      </c>
      <c r="I16" s="9">
        <f>EPM($B$3,$B$4,"FY",$A16,"period_net_amount")</f>
        <v/>
      </c>
    </row>
    <row r="17">
      <c r="A17" s="10" t="inlineStr">
        <is>
          <t>140100</t>
        </is>
      </c>
      <c r="B17" s="11" t="inlineStr">
        <is>
          <t>Raw Materials Inventory</t>
        </is>
      </c>
      <c r="C17" s="12">
        <f>EPM($B$3,$B$4,"Q1",$A17,"period_net_amount")</f>
        <v/>
      </c>
      <c r="D17" s="12">
        <f>EPM($B$3,$B$4,"Q2",$A17,"period_net_amount")</f>
        <v/>
      </c>
      <c r="E17" s="12">
        <f>EPM($B$3,$B$4,"Q3",$A17,"period_net_amount")</f>
        <v/>
      </c>
      <c r="F17" s="12">
        <f>EPM($B$3,$B$4,"Q4",$A17,"period_net_amount")</f>
        <v/>
      </c>
      <c r="G17" s="12">
        <f>EPM($B$3,$B$4,"H1",$A17,"period_net_amount")</f>
        <v/>
      </c>
      <c r="H17" s="12">
        <f>EPM($B$3,$B$4,"H2",$A17,"period_net_amount")</f>
        <v/>
      </c>
      <c r="I17" s="12">
        <f>EPM($B$3,$B$4,"FY",$A17,"period_net_amount")</f>
        <v/>
      </c>
    </row>
    <row r="18">
      <c r="A18" s="7" t="inlineStr">
        <is>
          <t>140200</t>
        </is>
      </c>
      <c r="B18" s="8" t="inlineStr">
        <is>
          <t>Finished Goods Inventory</t>
        </is>
      </c>
      <c r="C18" s="9">
        <f>EPM($B$3,$B$4,"Q1",$A18,"period_net_amount")</f>
        <v/>
      </c>
      <c r="D18" s="9">
        <f>EPM($B$3,$B$4,"Q2",$A18,"period_net_amount")</f>
        <v/>
      </c>
      <c r="E18" s="9">
        <f>EPM($B$3,$B$4,"Q3",$A18,"period_net_amount")</f>
        <v/>
      </c>
      <c r="F18" s="9">
        <f>EPM($B$3,$B$4,"Q4",$A18,"period_net_amount")</f>
        <v/>
      </c>
      <c r="G18" s="9">
        <f>EPM($B$3,$B$4,"H1",$A18,"period_net_amount")</f>
        <v/>
      </c>
      <c r="H18" s="9">
        <f>EPM($B$3,$B$4,"H2",$A18,"period_net_amount")</f>
        <v/>
      </c>
      <c r="I18" s="9">
        <f>EPM($B$3,$B$4,"FY",$A18,"period_net_amount")</f>
        <v/>
      </c>
    </row>
    <row r="19">
      <c r="A19" s="10" t="inlineStr">
        <is>
          <t>132190</t>
        </is>
      </c>
      <c r="B19" s="11" t="inlineStr">
        <is>
          <t>Prepaid Expenses</t>
        </is>
      </c>
      <c r="C19" s="12">
        <f>EPM($B$3,$B$4,"Q1",$A19,"period_net_amount")</f>
        <v/>
      </c>
      <c r="D19" s="12">
        <f>EPM($B$3,$B$4,"Q2",$A19,"period_net_amount")</f>
        <v/>
      </c>
      <c r="E19" s="12">
        <f>EPM($B$3,$B$4,"Q3",$A19,"period_net_amount")</f>
        <v/>
      </c>
      <c r="F19" s="12">
        <f>EPM($B$3,$B$4,"Q4",$A19,"period_net_amount")</f>
        <v/>
      </c>
      <c r="G19" s="12">
        <f>EPM($B$3,$B$4,"H1",$A19,"period_net_amount")</f>
        <v/>
      </c>
      <c r="H19" s="12">
        <f>EPM($B$3,$B$4,"H2",$A19,"period_net_amount")</f>
        <v/>
      </c>
      <c r="I19" s="12">
        <f>EPM($B$3,$B$4,"FY",$A19,"period_net_amount")</f>
        <v/>
      </c>
    </row>
    <row r="20">
      <c r="A20" s="7" t="inlineStr">
        <is>
          <t>200100</t>
        </is>
      </c>
      <c r="B20" s="8" t="inlineStr">
        <is>
          <t>Accounts Payable</t>
        </is>
      </c>
      <c r="C20" s="9">
        <f>EPM($B$3,$B$4,"Q1",$A20,"period_net_amount")</f>
        <v/>
      </c>
      <c r="D20" s="9">
        <f>EPM($B$3,$B$4,"Q2",$A20,"period_net_amount")</f>
        <v/>
      </c>
      <c r="E20" s="9">
        <f>EPM($B$3,$B$4,"Q3",$A20,"period_net_amount")</f>
        <v/>
      </c>
      <c r="F20" s="9">
        <f>EPM($B$3,$B$4,"Q4",$A20,"period_net_amount")</f>
        <v/>
      </c>
      <c r="G20" s="9">
        <f>EPM($B$3,$B$4,"H1",$A20,"period_net_amount")</f>
        <v/>
      </c>
      <c r="H20" s="9">
        <f>EPM($B$3,$B$4,"H2",$A20,"period_net_amount")</f>
        <v/>
      </c>
      <c r="I20" s="9">
        <f>EPM($B$3,$B$4,"FY",$A20,"period_net_amount")</f>
        <v/>
      </c>
    </row>
    <row r="21">
      <c r="A21" s="10" t="inlineStr">
        <is>
          <t>200140</t>
        </is>
      </c>
      <c r="B21" s="11" t="inlineStr">
        <is>
          <t>Accrued Purchases</t>
        </is>
      </c>
      <c r="C21" s="12">
        <f>EPM($B$3,$B$4,"Q1",$A21,"period_net_amount")</f>
        <v/>
      </c>
      <c r="D21" s="12">
        <f>EPM($B$3,$B$4,"Q2",$A21,"period_net_amount")</f>
        <v/>
      </c>
      <c r="E21" s="12">
        <f>EPM($B$3,$B$4,"Q3",$A21,"period_net_amount")</f>
        <v/>
      </c>
      <c r="F21" s="12">
        <f>EPM($B$3,$B$4,"Q4",$A21,"period_net_amount")</f>
        <v/>
      </c>
      <c r="G21" s="12">
        <f>EPM($B$3,$B$4,"H1",$A21,"period_net_amount")</f>
        <v/>
      </c>
      <c r="H21" s="12">
        <f>EPM($B$3,$B$4,"H2",$A21,"period_net_amount")</f>
        <v/>
      </c>
      <c r="I21" s="12">
        <f>EPM($B$3,$B$4,"FY",$A21,"period_net_amount")</f>
        <v/>
      </c>
    </row>
    <row r="22">
      <c r="A22" s="7" t="inlineStr">
        <is>
          <t>200190</t>
        </is>
      </c>
      <c r="B22" s="8" t="inlineStr">
        <is>
          <t>Accrued Purchases - Other</t>
        </is>
      </c>
      <c r="C22" s="9">
        <f>EPM($B$3,$B$4,"Q1",$A22,"period_net_amount")</f>
        <v/>
      </c>
      <c r="D22" s="9">
        <f>EPM($B$3,$B$4,"Q2",$A22,"period_net_amount")</f>
        <v/>
      </c>
      <c r="E22" s="9">
        <f>EPM($B$3,$B$4,"Q3",$A22,"period_net_amount")</f>
        <v/>
      </c>
      <c r="F22" s="9">
        <f>EPM($B$3,$B$4,"Q4",$A22,"period_net_amount")</f>
        <v/>
      </c>
      <c r="G22" s="9">
        <f>EPM($B$3,$B$4,"H1",$A22,"period_net_amount")</f>
        <v/>
      </c>
      <c r="H22" s="9">
        <f>EPM($B$3,$B$4,"H2",$A22,"period_net_amount")</f>
        <v/>
      </c>
      <c r="I22" s="9">
        <f>EPM($B$3,$B$4,"FY",$A22,"period_net_amount")</f>
        <v/>
      </c>
    </row>
    <row r="23">
      <c r="A23" s="36" t="n"/>
      <c r="B23" s="37" t="inlineStr">
        <is>
          <t>Net Cash from Operating Activities</t>
        </is>
      </c>
      <c r="C23" s="38">
        <f>C8+C10+C11+C12+C13+C15+C16+C17+C18+C19+C20+C21+C22</f>
        <v/>
      </c>
      <c r="D23" s="38">
        <f>D8+D10+D11+D12+D13+D15+D16+D17+D18+D19+D20+D21+D22</f>
        <v/>
      </c>
      <c r="E23" s="38">
        <f>E8+E10+E11+E12+E13+E15+E16+E17+E18+E19+E20+E21+E22</f>
        <v/>
      </c>
      <c r="F23" s="38">
        <f>F8+F10+F11+F12+F13+F15+F16+F17+F18+F19+F20+F21+F22</f>
        <v/>
      </c>
      <c r="G23" s="38">
        <f>G8+G10+G11+G12+G13+G15+G16+G17+G18+G19+G20+G21+G22</f>
        <v/>
      </c>
      <c r="H23" s="38">
        <f>H8+H10+H11+H12+H13+H15+H16+H17+H18+H19+H20+H21+H22</f>
        <v/>
      </c>
      <c r="I23" s="38">
        <f>I8+I10+I11+I12+I13+I15+I16+I17+I18+I19+I20+I21+I22</f>
        <v/>
      </c>
    </row>
    <row r="25">
      <c r="B25" s="32" t="inlineStr">
        <is>
          <t>Investing Activities</t>
        </is>
      </c>
    </row>
    <row r="26">
      <c r="A26" s="7" t="inlineStr">
        <is>
          <t>180100</t>
        </is>
      </c>
      <c r="B26" s="8" t="inlineStr">
        <is>
          <t>Purchase of Fixed Assets</t>
        </is>
      </c>
      <c r="C26" s="9">
        <f>EPM($B$3,$B$4,"Q1",$A26,"period_net_amount")</f>
        <v/>
      </c>
      <c r="D26" s="9">
        <f>EPM($B$3,$B$4,"Q2",$A26,"period_net_amount")</f>
        <v/>
      </c>
      <c r="E26" s="9">
        <f>EPM($B$3,$B$4,"Q3",$A26,"period_net_amount")</f>
        <v/>
      </c>
      <c r="F26" s="9">
        <f>EPM($B$3,$B$4,"Q4",$A26,"period_net_amount")</f>
        <v/>
      </c>
      <c r="G26" s="9">
        <f>EPM($B$3,$B$4,"H1",$A26,"period_net_amount")</f>
        <v/>
      </c>
      <c r="H26" s="9">
        <f>EPM($B$3,$B$4,"H2",$A26,"period_net_amount")</f>
        <v/>
      </c>
      <c r="I26" s="9">
        <f>EPM($B$3,$B$4,"FY",$A26,"period_net_amount")</f>
        <v/>
      </c>
    </row>
    <row r="27">
      <c r="A27" s="10" t="inlineStr">
        <is>
          <t>180141</t>
        </is>
      </c>
      <c r="B27" s="11" t="inlineStr">
        <is>
          <t>Assets Under Construction</t>
        </is>
      </c>
      <c r="C27" s="12">
        <f>EPM($B$3,$B$4,"Q1",$A27,"period_net_amount")</f>
        <v/>
      </c>
      <c r="D27" s="12">
        <f>EPM($B$3,$B$4,"Q2",$A27,"period_net_amount")</f>
        <v/>
      </c>
      <c r="E27" s="12">
        <f>EPM($B$3,$B$4,"Q3",$A27,"period_net_amount")</f>
        <v/>
      </c>
      <c r="F27" s="12">
        <f>EPM($B$3,$B$4,"Q4",$A27,"period_net_amount")</f>
        <v/>
      </c>
      <c r="G27" s="12">
        <f>EPM($B$3,$B$4,"H1",$A27,"period_net_amount")</f>
        <v/>
      </c>
      <c r="H27" s="12">
        <f>EPM($B$3,$B$4,"H2",$A27,"period_net_amount")</f>
        <v/>
      </c>
      <c r="I27" s="12">
        <f>EPM($B$3,$B$4,"FY",$A27,"period_net_amount")</f>
        <v/>
      </c>
    </row>
    <row r="28">
      <c r="A28" s="7" t="inlineStr">
        <is>
          <t>180140</t>
        </is>
      </c>
      <c r="B28" s="8" t="inlineStr">
        <is>
          <t>Purchase of Intangible Assets</t>
        </is>
      </c>
      <c r="C28" s="9">
        <f>EPM($B$3,$B$4,"Q1",$A28,"period_net_amount")</f>
        <v/>
      </c>
      <c r="D28" s="9">
        <f>EPM($B$3,$B$4,"Q2",$A28,"period_net_amount")</f>
        <v/>
      </c>
      <c r="E28" s="9">
        <f>EPM($B$3,$B$4,"Q3",$A28,"period_net_amount")</f>
        <v/>
      </c>
      <c r="F28" s="9">
        <f>EPM($B$3,$B$4,"Q4",$A28,"period_net_amount")</f>
        <v/>
      </c>
      <c r="G28" s="9">
        <f>EPM($B$3,$B$4,"H1",$A28,"period_net_amount")</f>
        <v/>
      </c>
      <c r="H28" s="9">
        <f>EPM($B$3,$B$4,"H2",$A28,"period_net_amount")</f>
        <v/>
      </c>
      <c r="I28" s="9">
        <f>EPM($B$3,$B$4,"FY",$A28,"period_net_amount")</f>
        <v/>
      </c>
    </row>
    <row r="29">
      <c r="A29" s="10" t="inlineStr">
        <is>
          <t>120200</t>
        </is>
      </c>
      <c r="B29" s="11" t="inlineStr">
        <is>
          <t>Marketable Securities</t>
        </is>
      </c>
      <c r="C29" s="12">
        <f>EPM($B$3,$B$4,"Q1",$A29,"period_net_amount")</f>
        <v/>
      </c>
      <c r="D29" s="12">
        <f>EPM($B$3,$B$4,"Q2",$A29,"period_net_amount")</f>
        <v/>
      </c>
      <c r="E29" s="12">
        <f>EPM($B$3,$B$4,"Q3",$A29,"period_net_amount")</f>
        <v/>
      </c>
      <c r="F29" s="12">
        <f>EPM($B$3,$B$4,"Q4",$A29,"period_net_amount")</f>
        <v/>
      </c>
      <c r="G29" s="12">
        <f>EPM($B$3,$B$4,"H1",$A29,"period_net_amount")</f>
        <v/>
      </c>
      <c r="H29" s="12">
        <f>EPM($B$3,$B$4,"H2",$A29,"period_net_amount")</f>
        <v/>
      </c>
      <c r="I29" s="12">
        <f>EPM($B$3,$B$4,"FY",$A29,"period_net_amount")</f>
        <v/>
      </c>
    </row>
    <row r="30">
      <c r="A30" s="36" t="n"/>
      <c r="B30" s="37" t="inlineStr">
        <is>
          <t>Net Cash from Investing Activities</t>
        </is>
      </c>
      <c r="C30" s="38">
        <f>C26+C27+C28+C29</f>
        <v/>
      </c>
      <c r="D30" s="38">
        <f>D26+D27+D28+D29</f>
        <v/>
      </c>
      <c r="E30" s="38">
        <f>E26+E27+E28+E29</f>
        <v/>
      </c>
      <c r="F30" s="38">
        <f>F26+F27+F28+F29</f>
        <v/>
      </c>
      <c r="G30" s="38">
        <f>G26+G27+G28+G29</f>
        <v/>
      </c>
      <c r="H30" s="38">
        <f>H26+H27+H28+H29</f>
        <v/>
      </c>
      <c r="I30" s="38">
        <f>I26+I27+I28+I29</f>
        <v/>
      </c>
    </row>
    <row r="32">
      <c r="B32" s="32" t="inlineStr">
        <is>
          <t>Financing Activities</t>
        </is>
      </c>
    </row>
    <row r="33">
      <c r="A33" s="7" t="inlineStr">
        <is>
          <t>250100</t>
        </is>
      </c>
      <c r="B33" s="8" t="inlineStr">
        <is>
          <t>Long-term Bank Loans</t>
        </is>
      </c>
      <c r="C33" s="9">
        <f>EPM($B$3,$B$4,"Q1",$A33,"period_net_amount")</f>
        <v/>
      </c>
      <c r="D33" s="9">
        <f>EPM($B$3,$B$4,"Q2",$A33,"period_net_amount")</f>
        <v/>
      </c>
      <c r="E33" s="9">
        <f>EPM($B$3,$B$4,"Q3",$A33,"period_net_amount")</f>
        <v/>
      </c>
      <c r="F33" s="9">
        <f>EPM($B$3,$B$4,"Q4",$A33,"period_net_amount")</f>
        <v/>
      </c>
      <c r="G33" s="9">
        <f>EPM($B$3,$B$4,"H1",$A33,"period_net_amount")</f>
        <v/>
      </c>
      <c r="H33" s="9">
        <f>EPM($B$3,$B$4,"H2",$A33,"period_net_amount")</f>
        <v/>
      </c>
      <c r="I33" s="9">
        <f>EPM($B$3,$B$4,"FY",$A33,"period_net_amount")</f>
        <v/>
      </c>
    </row>
    <row r="34">
      <c r="A34" s="10" t="inlineStr">
        <is>
          <t>250200</t>
        </is>
      </c>
      <c r="B34" s="11" t="inlineStr">
        <is>
          <t>Notes Payable</t>
        </is>
      </c>
      <c r="C34" s="12">
        <f>EPM($B$3,$B$4,"Q1",$A34,"period_net_amount")</f>
        <v/>
      </c>
      <c r="D34" s="12">
        <f>EPM($B$3,$B$4,"Q2",$A34,"period_net_amount")</f>
        <v/>
      </c>
      <c r="E34" s="12">
        <f>EPM($B$3,$B$4,"Q3",$A34,"period_net_amount")</f>
        <v/>
      </c>
      <c r="F34" s="12">
        <f>EPM($B$3,$B$4,"Q4",$A34,"period_net_amount")</f>
        <v/>
      </c>
      <c r="G34" s="12">
        <f>EPM($B$3,$B$4,"H1",$A34,"period_net_amount")</f>
        <v/>
      </c>
      <c r="H34" s="12">
        <f>EPM($B$3,$B$4,"H2",$A34,"period_net_amount")</f>
        <v/>
      </c>
      <c r="I34" s="12">
        <f>EPM($B$3,$B$4,"FY",$A34,"period_net_amount")</f>
        <v/>
      </c>
    </row>
    <row r="35">
      <c r="A35" s="7" t="inlineStr">
        <is>
          <t>250300</t>
        </is>
      </c>
      <c r="B35" s="8" t="inlineStr">
        <is>
          <t>Mortgage Payable</t>
        </is>
      </c>
      <c r="C35" s="9">
        <f>EPM($B$3,$B$4,"Q1",$A35,"period_net_amount")</f>
        <v/>
      </c>
      <c r="D35" s="9">
        <f>EPM($B$3,$B$4,"Q2",$A35,"period_net_amount")</f>
        <v/>
      </c>
      <c r="E35" s="9">
        <f>EPM($B$3,$B$4,"Q3",$A35,"period_net_amount")</f>
        <v/>
      </c>
      <c r="F35" s="9">
        <f>EPM($B$3,$B$4,"Q4",$A35,"period_net_amount")</f>
        <v/>
      </c>
      <c r="G35" s="9">
        <f>EPM($B$3,$B$4,"H1",$A35,"period_net_amount")</f>
        <v/>
      </c>
      <c r="H35" s="9">
        <f>EPM($B$3,$B$4,"H2",$A35,"period_net_amount")</f>
        <v/>
      </c>
      <c r="I35" s="9">
        <f>EPM($B$3,$B$4,"FY",$A35,"period_net_amount")</f>
        <v/>
      </c>
    </row>
    <row r="36">
      <c r="A36" s="10" t="inlineStr">
        <is>
          <t>300110</t>
        </is>
      </c>
      <c r="B36" s="11" t="inlineStr">
        <is>
          <t>Capital Stock</t>
        </is>
      </c>
      <c r="C36" s="12">
        <f>EPM($B$3,$B$4,"Q1",$A36,"period_net_amount")</f>
        <v/>
      </c>
      <c r="D36" s="12">
        <f>EPM($B$3,$B$4,"Q2",$A36,"period_net_amount")</f>
        <v/>
      </c>
      <c r="E36" s="12">
        <f>EPM($B$3,$B$4,"Q3",$A36,"period_net_amount")</f>
        <v/>
      </c>
      <c r="F36" s="12">
        <f>EPM($B$3,$B$4,"Q4",$A36,"period_net_amount")</f>
        <v/>
      </c>
      <c r="G36" s="12">
        <f>EPM($B$3,$B$4,"H1",$A36,"period_net_amount")</f>
        <v/>
      </c>
      <c r="H36" s="12">
        <f>EPM($B$3,$B$4,"H2",$A36,"period_net_amount")</f>
        <v/>
      </c>
      <c r="I36" s="12">
        <f>EPM($B$3,$B$4,"FY",$A36,"period_net_amount")</f>
        <v/>
      </c>
    </row>
    <row r="37">
      <c r="A37" s="7" t="inlineStr">
        <is>
          <t>300130</t>
        </is>
      </c>
      <c r="B37" s="8" t="inlineStr">
        <is>
          <t>Dividends Paid</t>
        </is>
      </c>
      <c r="C37" s="9">
        <f>EPM($B$3,$B$4,"Q1",$A37,"period_net_amount")</f>
        <v/>
      </c>
      <c r="D37" s="9">
        <f>EPM($B$3,$B$4,"Q2",$A37,"period_net_amount")</f>
        <v/>
      </c>
      <c r="E37" s="9">
        <f>EPM($B$3,$B$4,"Q3",$A37,"period_net_amount")</f>
        <v/>
      </c>
      <c r="F37" s="9">
        <f>EPM($B$3,$B$4,"Q4",$A37,"period_net_amount")</f>
        <v/>
      </c>
      <c r="G37" s="9">
        <f>EPM($B$3,$B$4,"H1",$A37,"period_net_amount")</f>
        <v/>
      </c>
      <c r="H37" s="9">
        <f>EPM($B$3,$B$4,"H2",$A37,"period_net_amount")</f>
        <v/>
      </c>
      <c r="I37" s="9">
        <f>EPM($B$3,$B$4,"FY",$A37,"period_net_amount")</f>
        <v/>
      </c>
    </row>
    <row r="38">
      <c r="A38" s="36" t="n"/>
      <c r="B38" s="37" t="inlineStr">
        <is>
          <t>Net Cash from Financing Activities</t>
        </is>
      </c>
      <c r="C38" s="38">
        <f>C33+C34+C35+C36+C37</f>
        <v/>
      </c>
      <c r="D38" s="38">
        <f>D33+D34+D35+D36+D37</f>
        <v/>
      </c>
      <c r="E38" s="38">
        <f>E33+E34+E35+E36+E37</f>
        <v/>
      </c>
      <c r="F38" s="38">
        <f>F33+F34+F35+F36+F37</f>
        <v/>
      </c>
      <c r="G38" s="38">
        <f>G33+G34+G35+G36+G37</f>
        <v/>
      </c>
      <c r="H38" s="38">
        <f>H33+H34+H35+H36+H37</f>
        <v/>
      </c>
      <c r="I38" s="38">
        <f>I33+I34+I35+I36+I37</f>
        <v/>
      </c>
    </row>
    <row r="40">
      <c r="A40" s="36" t="n"/>
      <c r="B40" s="39" t="inlineStr">
        <is>
          <t>Net Change in Cash</t>
        </is>
      </c>
      <c r="C40" s="40">
        <f>C23+C30+C38</f>
        <v/>
      </c>
      <c r="D40" s="40">
        <f>D23+D30+D38</f>
        <v/>
      </c>
      <c r="E40" s="40">
        <f>E23+E30+E38</f>
        <v/>
      </c>
      <c r="F40" s="40">
        <f>F23+F30+F38</f>
        <v/>
      </c>
      <c r="G40" s="40">
        <f>G23+G30+G38</f>
        <v/>
      </c>
      <c r="H40" s="40">
        <f>H23+H30+H38</f>
        <v/>
      </c>
      <c r="I40" s="40">
        <f>I23+I30+I38</f>
        <v/>
      </c>
    </row>
    <row r="42">
      <c r="B42" s="32" t="inlineStr">
        <is>
          <t>Cash Position</t>
        </is>
      </c>
    </row>
    <row r="43">
      <c r="B43" s="11" t="inlineStr">
        <is>
          <t>Opening Cash (prior year-end)</t>
        </is>
      </c>
      <c r="C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D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E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F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G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H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I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</row>
    <row r="44">
      <c r="B44" s="11" t="inlineStr">
        <is>
          <t>Net Change in Cash (above)</t>
        </is>
      </c>
      <c r="C44" s="12">
        <f>C40</f>
        <v/>
      </c>
      <c r="D44" s="12">
        <f>D40</f>
        <v/>
      </c>
      <c r="E44" s="12">
        <f>E40</f>
        <v/>
      </c>
      <c r="F44" s="12">
        <f>F40</f>
        <v/>
      </c>
      <c r="G44" s="12">
        <f>G40</f>
        <v/>
      </c>
      <c r="H44" s="12">
        <f>H40</f>
        <v/>
      </c>
      <c r="I44" s="12">
        <f>I40</f>
        <v/>
      </c>
    </row>
    <row r="45">
      <c r="A45" s="36" t="n"/>
      <c r="B45" s="39" t="inlineStr">
        <is>
          <t>Closing Cash</t>
        </is>
      </c>
      <c r="C45" s="41">
        <f>C43+C44</f>
        <v/>
      </c>
      <c r="D45" s="41">
        <f>D43+D44</f>
        <v/>
      </c>
      <c r="E45" s="41">
        <f>E43+E44</f>
        <v/>
      </c>
      <c r="F45" s="41">
        <f>F43+F44</f>
        <v/>
      </c>
      <c r="G45" s="41">
        <f>G43+G44</f>
        <v/>
      </c>
      <c r="H45" s="41">
        <f>H43+H44</f>
        <v/>
      </c>
      <c r="I45" s="41">
        <f>I43+I44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Profit &amp; Loss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3">
      <c r="A3" s="3" t="inlineStr">
        <is>
          <t>Entity</t>
        </is>
      </c>
      <c r="B3" s="4" t="inlineStr">
        <is>
          <t>DEMF</t>
        </is>
      </c>
      <c r="D3" s="3" t="inlineStr">
        <is>
          <t>Measure</t>
        </is>
      </c>
      <c r="E3" s="4" t="inlineStr">
        <is>
          <t>period_net_amount</t>
        </is>
      </c>
    </row>
    <row r="4">
      <c r="A4" s="3" t="inlineStr">
        <is>
          <t>Year</t>
        </is>
      </c>
      <c r="B4" s="4" t="n">
        <v>2025</v>
      </c>
    </row>
    <row r="6">
      <c r="A6" s="5" t="inlineStr">
        <is>
          <t>Account</t>
        </is>
      </c>
      <c r="B6" s="5" t="inlineStr">
        <is>
          <t>Description</t>
        </is>
      </c>
      <c r="C6" s="6" t="inlineStr">
        <is>
          <t>Jan</t>
        </is>
      </c>
      <c r="D6" s="6" t="inlineStr">
        <is>
          <t>Feb</t>
        </is>
      </c>
      <c r="E6" s="6" t="inlineStr">
        <is>
          <t>Mar</t>
        </is>
      </c>
      <c r="F6" s="6" t="inlineStr">
        <is>
          <t>Q1</t>
        </is>
      </c>
      <c r="G6" s="6" t="inlineStr">
        <is>
          <t>Apr</t>
        </is>
      </c>
      <c r="H6" s="6" t="inlineStr">
        <is>
          <t>May</t>
        </is>
      </c>
      <c r="I6" s="6" t="inlineStr">
        <is>
          <t>Jun</t>
        </is>
      </c>
      <c r="J6" s="6" t="inlineStr">
        <is>
          <t>Q2</t>
        </is>
      </c>
      <c r="K6" s="6" t="inlineStr">
        <is>
          <t>Jul</t>
        </is>
      </c>
      <c r="L6" s="6" t="inlineStr">
        <is>
          <t>Aug</t>
        </is>
      </c>
      <c r="M6" s="6" t="inlineStr">
        <is>
          <t>Sep</t>
        </is>
      </c>
      <c r="N6" s="6" t="inlineStr">
        <is>
          <t>Q3</t>
        </is>
      </c>
      <c r="O6" s="6" t="inlineStr">
        <is>
          <t>Oct</t>
        </is>
      </c>
      <c r="P6" s="6" t="inlineStr">
        <is>
          <t>Nov</t>
        </is>
      </c>
      <c r="Q6" s="6" t="inlineStr">
        <is>
          <t>Dec</t>
        </is>
      </c>
      <c r="R6" s="6" t="inlineStr">
        <is>
          <t>Q4</t>
        </is>
      </c>
      <c r="S6" s="6" t="inlineStr">
        <is>
          <t>H1</t>
        </is>
      </c>
      <c r="T6" s="6" t="inlineStr">
        <is>
          <t>H2</t>
        </is>
      </c>
      <c r="U6" s="6" t="inlineStr">
        <is>
          <t>Full Year</t>
        </is>
      </c>
    </row>
    <row r="7">
      <c r="B7" s="3" t="inlineStr">
        <is>
          <t>Revenue</t>
        </is>
      </c>
    </row>
    <row r="8">
      <c r="A8" s="7" t="inlineStr">
        <is>
          <t>401100</t>
        </is>
      </c>
      <c r="B8" s="8" t="inlineStr">
        <is>
          <t>Product Sales</t>
        </is>
      </c>
      <c r="C8" s="9">
        <f>-EPM($B$3,$B$4,1,$A8,"period_net_amount")</f>
        <v/>
      </c>
      <c r="D8" s="9">
        <f>-EPM($B$3,$B$4,2,$A8,"period_net_amount")</f>
        <v/>
      </c>
      <c r="E8" s="9">
        <f>-EPM($B$3,$B$4,3,$A8,"period_net_amount")</f>
        <v/>
      </c>
      <c r="F8" s="9">
        <f>-EPM($B$3,$B$4,"Q1",$A8,"period_net_amount")</f>
        <v/>
      </c>
      <c r="G8" s="9">
        <f>-EPM($B$3,$B$4,4,$A8,"period_net_amount")</f>
        <v/>
      </c>
      <c r="H8" s="9">
        <f>-EPM($B$3,$B$4,5,$A8,"period_net_amount")</f>
        <v/>
      </c>
      <c r="I8" s="9">
        <f>-EPM($B$3,$B$4,6,$A8,"period_net_amount")</f>
        <v/>
      </c>
      <c r="J8" s="9">
        <f>-EPM($B$3,$B$4,"Q2",$A8,"period_net_amount")</f>
        <v/>
      </c>
      <c r="K8" s="9">
        <f>-EPM($B$3,$B$4,7,$A8,"period_net_amount")</f>
        <v/>
      </c>
      <c r="L8" s="9">
        <f>-EPM($B$3,$B$4,8,$A8,"period_net_amount")</f>
        <v/>
      </c>
      <c r="M8" s="9">
        <f>-EPM($B$3,$B$4,9,$A8,"period_net_amount")</f>
        <v/>
      </c>
      <c r="N8" s="9">
        <f>-EPM($B$3,$B$4,"Q3",$A8,"period_net_amount")</f>
        <v/>
      </c>
      <c r="O8" s="9">
        <f>-EPM($B$3,$B$4,10,$A8,"period_net_amount")</f>
        <v/>
      </c>
      <c r="P8" s="9">
        <f>-EPM($B$3,$B$4,11,$A8,"period_net_amount")</f>
        <v/>
      </c>
      <c r="Q8" s="9">
        <f>-EPM($B$3,$B$4,12,$A8,"period_net_amount")</f>
        <v/>
      </c>
      <c r="R8" s="9">
        <f>-EPM($B$3,$B$4,"Q4",$A8,"period_net_amount")</f>
        <v/>
      </c>
      <c r="S8" s="9">
        <f>-EPM($B$3,$B$4,"H1",$A8,"period_net_amount")</f>
        <v/>
      </c>
      <c r="T8" s="9">
        <f>-EPM($B$3,$B$4,"H2",$A8,"period_net_amount")</f>
        <v/>
      </c>
      <c r="U8" s="9">
        <f>-EPM($B$3,$B$4,"FY",$A8,"period_net_amount")</f>
        <v/>
      </c>
    </row>
    <row r="9">
      <c r="A9" s="10" t="inlineStr">
        <is>
          <t>401200</t>
        </is>
      </c>
      <c r="B9" s="11" t="inlineStr">
        <is>
          <t>Service Revenue</t>
        </is>
      </c>
      <c r="C9" s="12">
        <f>-EPM($B$3,$B$4,1,$A9,"period_net_amount")</f>
        <v/>
      </c>
      <c r="D9" s="12">
        <f>-EPM($B$3,$B$4,2,$A9,"period_net_amount")</f>
        <v/>
      </c>
      <c r="E9" s="12">
        <f>-EPM($B$3,$B$4,3,$A9,"period_net_amount")</f>
        <v/>
      </c>
      <c r="F9" s="12">
        <f>-EPM($B$3,$B$4,"Q1",$A9,"period_net_amount")</f>
        <v/>
      </c>
      <c r="G9" s="12">
        <f>-EPM($B$3,$B$4,4,$A9,"period_net_amount")</f>
        <v/>
      </c>
      <c r="H9" s="12">
        <f>-EPM($B$3,$B$4,5,$A9,"period_net_amount")</f>
        <v/>
      </c>
      <c r="I9" s="12">
        <f>-EPM($B$3,$B$4,6,$A9,"period_net_amount")</f>
        <v/>
      </c>
      <c r="J9" s="12">
        <f>-EPM($B$3,$B$4,"Q2",$A9,"period_net_amount")</f>
        <v/>
      </c>
      <c r="K9" s="12">
        <f>-EPM($B$3,$B$4,7,$A9,"period_net_amount")</f>
        <v/>
      </c>
      <c r="L9" s="12">
        <f>-EPM($B$3,$B$4,8,$A9,"period_net_amount")</f>
        <v/>
      </c>
      <c r="M9" s="12">
        <f>-EPM($B$3,$B$4,9,$A9,"period_net_amount")</f>
        <v/>
      </c>
      <c r="N9" s="12">
        <f>-EPM($B$3,$B$4,"Q3",$A9,"period_net_amount")</f>
        <v/>
      </c>
      <c r="O9" s="12">
        <f>-EPM($B$3,$B$4,10,$A9,"period_net_amount")</f>
        <v/>
      </c>
      <c r="P9" s="12">
        <f>-EPM($B$3,$B$4,11,$A9,"period_net_amount")</f>
        <v/>
      </c>
      <c r="Q9" s="12">
        <f>-EPM($B$3,$B$4,12,$A9,"period_net_amount")</f>
        <v/>
      </c>
      <c r="R9" s="12">
        <f>-EPM($B$3,$B$4,"Q4",$A9,"period_net_amount")</f>
        <v/>
      </c>
      <c r="S9" s="12">
        <f>-EPM($B$3,$B$4,"H1",$A9,"period_net_amount")</f>
        <v/>
      </c>
      <c r="T9" s="12">
        <f>-EPM($B$3,$B$4,"H2",$A9,"period_net_amount")</f>
        <v/>
      </c>
      <c r="U9" s="12">
        <f>-EPM($B$3,$B$4,"FY",$A9,"period_net_amount")</f>
        <v/>
      </c>
    </row>
    <row r="10">
      <c r="A10" s="7" t="inlineStr">
        <is>
          <t>401300</t>
        </is>
      </c>
      <c r="B10" s="8" t="inlineStr">
        <is>
          <t>Other Revenue</t>
        </is>
      </c>
      <c r="C10" s="9">
        <f>-EPM($B$3,$B$4,1,$A10,"period_net_amount")</f>
        <v/>
      </c>
      <c r="D10" s="9">
        <f>-EPM($B$3,$B$4,2,$A10,"period_net_amount")</f>
        <v/>
      </c>
      <c r="E10" s="9">
        <f>-EPM($B$3,$B$4,3,$A10,"period_net_amount")</f>
        <v/>
      </c>
      <c r="F10" s="9">
        <f>-EPM($B$3,$B$4,"Q1",$A10,"period_net_amount")</f>
        <v/>
      </c>
      <c r="G10" s="9">
        <f>-EPM($B$3,$B$4,4,$A10,"period_net_amount")</f>
        <v/>
      </c>
      <c r="H10" s="9">
        <f>-EPM($B$3,$B$4,5,$A10,"period_net_amount")</f>
        <v/>
      </c>
      <c r="I10" s="9">
        <f>-EPM($B$3,$B$4,6,$A10,"period_net_amount")</f>
        <v/>
      </c>
      <c r="J10" s="9">
        <f>-EPM($B$3,$B$4,"Q2",$A10,"period_net_amount")</f>
        <v/>
      </c>
      <c r="K10" s="9">
        <f>-EPM($B$3,$B$4,7,$A10,"period_net_amount")</f>
        <v/>
      </c>
      <c r="L10" s="9">
        <f>-EPM($B$3,$B$4,8,$A10,"period_net_amount")</f>
        <v/>
      </c>
      <c r="M10" s="9">
        <f>-EPM($B$3,$B$4,9,$A10,"period_net_amount")</f>
        <v/>
      </c>
      <c r="N10" s="9">
        <f>-EPM($B$3,$B$4,"Q3",$A10,"period_net_amount")</f>
        <v/>
      </c>
      <c r="O10" s="9">
        <f>-EPM($B$3,$B$4,10,$A10,"period_net_amount")</f>
        <v/>
      </c>
      <c r="P10" s="9">
        <f>-EPM($B$3,$B$4,11,$A10,"period_net_amount")</f>
        <v/>
      </c>
      <c r="Q10" s="9">
        <f>-EPM($B$3,$B$4,12,$A10,"period_net_amount")</f>
        <v/>
      </c>
      <c r="R10" s="9">
        <f>-EPM($B$3,$B$4,"Q4",$A10,"period_net_amount")</f>
        <v/>
      </c>
      <c r="S10" s="9">
        <f>-EPM($B$3,$B$4,"H1",$A10,"period_net_amount")</f>
        <v/>
      </c>
      <c r="T10" s="9">
        <f>-EPM($B$3,$B$4,"H2",$A10,"period_net_amount")</f>
        <v/>
      </c>
      <c r="U10" s="9">
        <f>-EPM($B$3,$B$4,"FY",$A10,"period_net_amount")</f>
        <v/>
      </c>
    </row>
    <row r="11">
      <c r="A11" s="10" t="inlineStr">
        <is>
          <t>401400</t>
        </is>
      </c>
      <c r="B11" s="11" t="inlineStr">
        <is>
          <t>Accrued Sales</t>
        </is>
      </c>
      <c r="C11" s="12">
        <f>-EPM($B$3,$B$4,1,$A11,"period_net_amount")</f>
        <v/>
      </c>
      <c r="D11" s="12">
        <f>-EPM($B$3,$B$4,2,$A11,"period_net_amount")</f>
        <v/>
      </c>
      <c r="E11" s="12">
        <f>-EPM($B$3,$B$4,3,$A11,"period_net_amount")</f>
        <v/>
      </c>
      <c r="F11" s="12">
        <f>-EPM($B$3,$B$4,"Q1",$A11,"period_net_amount")</f>
        <v/>
      </c>
      <c r="G11" s="12">
        <f>-EPM($B$3,$B$4,4,$A11,"period_net_amount")</f>
        <v/>
      </c>
      <c r="H11" s="12">
        <f>-EPM($B$3,$B$4,5,$A11,"period_net_amount")</f>
        <v/>
      </c>
      <c r="I11" s="12">
        <f>-EPM($B$3,$B$4,6,$A11,"period_net_amount")</f>
        <v/>
      </c>
      <c r="J11" s="12">
        <f>-EPM($B$3,$B$4,"Q2",$A11,"period_net_amount")</f>
        <v/>
      </c>
      <c r="K11" s="12">
        <f>-EPM($B$3,$B$4,7,$A11,"period_net_amount")</f>
        <v/>
      </c>
      <c r="L11" s="12">
        <f>-EPM($B$3,$B$4,8,$A11,"period_net_amount")</f>
        <v/>
      </c>
      <c r="M11" s="12">
        <f>-EPM($B$3,$B$4,9,$A11,"period_net_amount")</f>
        <v/>
      </c>
      <c r="N11" s="12">
        <f>-EPM($B$3,$B$4,"Q3",$A11,"period_net_amount")</f>
        <v/>
      </c>
      <c r="O11" s="12">
        <f>-EPM($B$3,$B$4,10,$A11,"period_net_amount")</f>
        <v/>
      </c>
      <c r="P11" s="12">
        <f>-EPM($B$3,$B$4,11,$A11,"period_net_amount")</f>
        <v/>
      </c>
      <c r="Q11" s="12">
        <f>-EPM($B$3,$B$4,12,$A11,"period_net_amount")</f>
        <v/>
      </c>
      <c r="R11" s="12">
        <f>-EPM($B$3,$B$4,"Q4",$A11,"period_net_amount")</f>
        <v/>
      </c>
      <c r="S11" s="12">
        <f>-EPM($B$3,$B$4,"H1",$A11,"period_net_amount")</f>
        <v/>
      </c>
      <c r="T11" s="12">
        <f>-EPM($B$3,$B$4,"H2",$A11,"period_net_amount")</f>
        <v/>
      </c>
      <c r="U11" s="12">
        <f>-EPM($B$3,$B$4,"FY",$A11,"period_net_amount")</f>
        <v/>
      </c>
    </row>
    <row r="12">
      <c r="A12" s="7" t="inlineStr">
        <is>
          <t>402300</t>
        </is>
      </c>
      <c r="B12" s="8" t="inlineStr">
        <is>
          <t>Intercompany Sales</t>
        </is>
      </c>
      <c r="C12" s="9">
        <f>-EPM($B$3,$B$4,1,$A12,"period_net_amount")</f>
        <v/>
      </c>
      <c r="D12" s="9">
        <f>-EPM($B$3,$B$4,2,$A12,"period_net_amount")</f>
        <v/>
      </c>
      <c r="E12" s="9">
        <f>-EPM($B$3,$B$4,3,$A12,"period_net_amount")</f>
        <v/>
      </c>
      <c r="F12" s="9">
        <f>-EPM($B$3,$B$4,"Q1",$A12,"period_net_amount")</f>
        <v/>
      </c>
      <c r="G12" s="9">
        <f>-EPM($B$3,$B$4,4,$A12,"period_net_amount")</f>
        <v/>
      </c>
      <c r="H12" s="9">
        <f>-EPM($B$3,$B$4,5,$A12,"period_net_amount")</f>
        <v/>
      </c>
      <c r="I12" s="9">
        <f>-EPM($B$3,$B$4,6,$A12,"period_net_amount")</f>
        <v/>
      </c>
      <c r="J12" s="9">
        <f>-EPM($B$3,$B$4,"Q2",$A12,"period_net_amount")</f>
        <v/>
      </c>
      <c r="K12" s="9">
        <f>-EPM($B$3,$B$4,7,$A12,"period_net_amount")</f>
        <v/>
      </c>
      <c r="L12" s="9">
        <f>-EPM($B$3,$B$4,8,$A12,"period_net_amount")</f>
        <v/>
      </c>
      <c r="M12" s="9">
        <f>-EPM($B$3,$B$4,9,$A12,"period_net_amount")</f>
        <v/>
      </c>
      <c r="N12" s="9">
        <f>-EPM($B$3,$B$4,"Q3",$A12,"period_net_amount")</f>
        <v/>
      </c>
      <c r="O12" s="9">
        <f>-EPM($B$3,$B$4,10,$A12,"period_net_amount")</f>
        <v/>
      </c>
      <c r="P12" s="9">
        <f>-EPM($B$3,$B$4,11,$A12,"period_net_amount")</f>
        <v/>
      </c>
      <c r="Q12" s="9">
        <f>-EPM($B$3,$B$4,12,$A12,"period_net_amount")</f>
        <v/>
      </c>
      <c r="R12" s="9">
        <f>-EPM($B$3,$B$4,"Q4",$A12,"period_net_amount")</f>
        <v/>
      </c>
      <c r="S12" s="9">
        <f>-EPM($B$3,$B$4,"H1",$A12,"period_net_amount")</f>
        <v/>
      </c>
      <c r="T12" s="9">
        <f>-EPM($B$3,$B$4,"H2",$A12,"period_net_amount")</f>
        <v/>
      </c>
      <c r="U12" s="9">
        <f>-EPM($B$3,$B$4,"FY",$A12,"period_net_amount")</f>
        <v/>
      </c>
    </row>
    <row r="13">
      <c r="A13" s="10" t="inlineStr">
        <is>
          <t>403150</t>
        </is>
      </c>
      <c r="B13" s="11" t="inlineStr">
        <is>
          <t>Miscellaneous Charges</t>
        </is>
      </c>
      <c r="C13" s="12">
        <f>-EPM($B$3,$B$4,1,$A13,"period_net_amount")</f>
        <v/>
      </c>
      <c r="D13" s="12">
        <f>-EPM($B$3,$B$4,2,$A13,"period_net_amount")</f>
        <v/>
      </c>
      <c r="E13" s="12">
        <f>-EPM($B$3,$B$4,3,$A13,"period_net_amount")</f>
        <v/>
      </c>
      <c r="F13" s="12">
        <f>-EPM($B$3,$B$4,"Q1",$A13,"period_net_amount")</f>
        <v/>
      </c>
      <c r="G13" s="12">
        <f>-EPM($B$3,$B$4,4,$A13,"period_net_amount")</f>
        <v/>
      </c>
      <c r="H13" s="12">
        <f>-EPM($B$3,$B$4,5,$A13,"period_net_amount")</f>
        <v/>
      </c>
      <c r="I13" s="12">
        <f>-EPM($B$3,$B$4,6,$A13,"period_net_amount")</f>
        <v/>
      </c>
      <c r="J13" s="12">
        <f>-EPM($B$3,$B$4,"Q2",$A13,"period_net_amount")</f>
        <v/>
      </c>
      <c r="K13" s="12">
        <f>-EPM($B$3,$B$4,7,$A13,"period_net_amount")</f>
        <v/>
      </c>
      <c r="L13" s="12">
        <f>-EPM($B$3,$B$4,8,$A13,"period_net_amount")</f>
        <v/>
      </c>
      <c r="M13" s="12">
        <f>-EPM($B$3,$B$4,9,$A13,"period_net_amount")</f>
        <v/>
      </c>
      <c r="N13" s="12">
        <f>-EPM($B$3,$B$4,"Q3",$A13,"period_net_amount")</f>
        <v/>
      </c>
      <c r="O13" s="12">
        <f>-EPM($B$3,$B$4,10,$A13,"period_net_amount")</f>
        <v/>
      </c>
      <c r="P13" s="12">
        <f>-EPM($B$3,$B$4,11,$A13,"period_net_amount")</f>
        <v/>
      </c>
      <c r="Q13" s="12">
        <f>-EPM($B$3,$B$4,12,$A13,"period_net_amount")</f>
        <v/>
      </c>
      <c r="R13" s="12">
        <f>-EPM($B$3,$B$4,"Q4",$A13,"period_net_amount")</f>
        <v/>
      </c>
      <c r="S13" s="12">
        <f>-EPM($B$3,$B$4,"H1",$A13,"period_net_amount")</f>
        <v/>
      </c>
      <c r="T13" s="12">
        <f>-EPM($B$3,$B$4,"H2",$A13,"period_net_amount")</f>
        <v/>
      </c>
      <c r="U13" s="12">
        <f>-EPM($B$3,$B$4,"FY",$A13,"period_net_amount")</f>
        <v/>
      </c>
    </row>
    <row r="14">
      <c r="A14" s="7" t="inlineStr">
        <is>
          <t>403300</t>
        </is>
      </c>
      <c r="B14" s="8" t="inlineStr">
        <is>
          <t>Customer Cash Discounts</t>
        </is>
      </c>
      <c r="C14" s="9">
        <f>-EPM($B$3,$B$4,1,$A14,"period_net_amount")</f>
        <v/>
      </c>
      <c r="D14" s="9">
        <f>-EPM($B$3,$B$4,2,$A14,"period_net_amount")</f>
        <v/>
      </c>
      <c r="E14" s="9">
        <f>-EPM($B$3,$B$4,3,$A14,"period_net_amount")</f>
        <v/>
      </c>
      <c r="F14" s="9">
        <f>-EPM($B$3,$B$4,"Q1",$A14,"period_net_amount")</f>
        <v/>
      </c>
      <c r="G14" s="9">
        <f>-EPM($B$3,$B$4,4,$A14,"period_net_amount")</f>
        <v/>
      </c>
      <c r="H14" s="9">
        <f>-EPM($B$3,$B$4,5,$A14,"period_net_amount")</f>
        <v/>
      </c>
      <c r="I14" s="9">
        <f>-EPM($B$3,$B$4,6,$A14,"period_net_amount")</f>
        <v/>
      </c>
      <c r="J14" s="9">
        <f>-EPM($B$3,$B$4,"Q2",$A14,"period_net_amount")</f>
        <v/>
      </c>
      <c r="K14" s="9">
        <f>-EPM($B$3,$B$4,7,$A14,"period_net_amount")</f>
        <v/>
      </c>
      <c r="L14" s="9">
        <f>-EPM($B$3,$B$4,8,$A14,"period_net_amount")</f>
        <v/>
      </c>
      <c r="M14" s="9">
        <f>-EPM($B$3,$B$4,9,$A14,"period_net_amount")</f>
        <v/>
      </c>
      <c r="N14" s="9">
        <f>-EPM($B$3,$B$4,"Q3",$A14,"period_net_amount")</f>
        <v/>
      </c>
      <c r="O14" s="9">
        <f>-EPM($B$3,$B$4,10,$A14,"period_net_amount")</f>
        <v/>
      </c>
      <c r="P14" s="9">
        <f>-EPM($B$3,$B$4,11,$A14,"period_net_amount")</f>
        <v/>
      </c>
      <c r="Q14" s="9">
        <f>-EPM($B$3,$B$4,12,$A14,"period_net_amount")</f>
        <v/>
      </c>
      <c r="R14" s="9">
        <f>-EPM($B$3,$B$4,"Q4",$A14,"period_net_amount")</f>
        <v/>
      </c>
      <c r="S14" s="9">
        <f>-EPM($B$3,$B$4,"H1",$A14,"period_net_amount")</f>
        <v/>
      </c>
      <c r="T14" s="9">
        <f>-EPM($B$3,$B$4,"H2",$A14,"period_net_amount")</f>
        <v/>
      </c>
      <c r="U14" s="9">
        <f>-EPM($B$3,$B$4,"FY",$A14,"period_net_amount")</f>
        <v/>
      </c>
    </row>
    <row r="15">
      <c r="A15" s="10" t="inlineStr">
        <is>
          <t>411100</t>
        </is>
      </c>
      <c r="B15" s="11" t="inlineStr">
        <is>
          <t>Revenue - Labor</t>
        </is>
      </c>
      <c r="C15" s="12">
        <f>-EPM($B$3,$B$4,1,$A15,"period_net_amount")</f>
        <v/>
      </c>
      <c r="D15" s="12">
        <f>-EPM($B$3,$B$4,2,$A15,"period_net_amount")</f>
        <v/>
      </c>
      <c r="E15" s="12">
        <f>-EPM($B$3,$B$4,3,$A15,"period_net_amount")</f>
        <v/>
      </c>
      <c r="F15" s="12">
        <f>-EPM($B$3,$B$4,"Q1",$A15,"period_net_amount")</f>
        <v/>
      </c>
      <c r="G15" s="12">
        <f>-EPM($B$3,$B$4,4,$A15,"period_net_amount")</f>
        <v/>
      </c>
      <c r="H15" s="12">
        <f>-EPM($B$3,$B$4,5,$A15,"period_net_amount")</f>
        <v/>
      </c>
      <c r="I15" s="12">
        <f>-EPM($B$3,$B$4,6,$A15,"period_net_amount")</f>
        <v/>
      </c>
      <c r="J15" s="12">
        <f>-EPM($B$3,$B$4,"Q2",$A15,"period_net_amount")</f>
        <v/>
      </c>
      <c r="K15" s="12">
        <f>-EPM($B$3,$B$4,7,$A15,"period_net_amount")</f>
        <v/>
      </c>
      <c r="L15" s="12">
        <f>-EPM($B$3,$B$4,8,$A15,"period_net_amount")</f>
        <v/>
      </c>
      <c r="M15" s="12">
        <f>-EPM($B$3,$B$4,9,$A15,"period_net_amount")</f>
        <v/>
      </c>
      <c r="N15" s="12">
        <f>-EPM($B$3,$B$4,"Q3",$A15,"period_net_amount")</f>
        <v/>
      </c>
      <c r="O15" s="12">
        <f>-EPM($B$3,$B$4,10,$A15,"period_net_amount")</f>
        <v/>
      </c>
      <c r="P15" s="12">
        <f>-EPM($B$3,$B$4,11,$A15,"period_net_amount")</f>
        <v/>
      </c>
      <c r="Q15" s="12">
        <f>-EPM($B$3,$B$4,12,$A15,"period_net_amount")</f>
        <v/>
      </c>
      <c r="R15" s="12">
        <f>-EPM($B$3,$B$4,"Q4",$A15,"period_net_amount")</f>
        <v/>
      </c>
      <c r="S15" s="12">
        <f>-EPM($B$3,$B$4,"H1",$A15,"period_net_amount")</f>
        <v/>
      </c>
      <c r="T15" s="12">
        <f>-EPM($B$3,$B$4,"H2",$A15,"period_net_amount")</f>
        <v/>
      </c>
      <c r="U15" s="12">
        <f>-EPM($B$3,$B$4,"FY",$A15,"period_net_amount")</f>
        <v/>
      </c>
    </row>
    <row r="16">
      <c r="A16" s="7" t="inlineStr">
        <is>
          <t>411400</t>
        </is>
      </c>
      <c r="B16" s="8" t="inlineStr">
        <is>
          <t>Revenue - Fees</t>
        </is>
      </c>
      <c r="C16" s="9">
        <f>-EPM($B$3,$B$4,1,$A16,"period_net_amount")</f>
        <v/>
      </c>
      <c r="D16" s="9">
        <f>-EPM($B$3,$B$4,2,$A16,"period_net_amount")</f>
        <v/>
      </c>
      <c r="E16" s="9">
        <f>-EPM($B$3,$B$4,3,$A16,"period_net_amount")</f>
        <v/>
      </c>
      <c r="F16" s="9">
        <f>-EPM($B$3,$B$4,"Q1",$A16,"period_net_amount")</f>
        <v/>
      </c>
      <c r="G16" s="9">
        <f>-EPM($B$3,$B$4,4,$A16,"period_net_amount")</f>
        <v/>
      </c>
      <c r="H16" s="9">
        <f>-EPM($B$3,$B$4,5,$A16,"period_net_amount")</f>
        <v/>
      </c>
      <c r="I16" s="9">
        <f>-EPM($B$3,$B$4,6,$A16,"period_net_amount")</f>
        <v/>
      </c>
      <c r="J16" s="9">
        <f>-EPM($B$3,$B$4,"Q2",$A16,"period_net_amount")</f>
        <v/>
      </c>
      <c r="K16" s="9">
        <f>-EPM($B$3,$B$4,7,$A16,"period_net_amount")</f>
        <v/>
      </c>
      <c r="L16" s="9">
        <f>-EPM($B$3,$B$4,8,$A16,"period_net_amount")</f>
        <v/>
      </c>
      <c r="M16" s="9">
        <f>-EPM($B$3,$B$4,9,$A16,"period_net_amount")</f>
        <v/>
      </c>
      <c r="N16" s="9">
        <f>-EPM($B$3,$B$4,"Q3",$A16,"period_net_amount")</f>
        <v/>
      </c>
      <c r="O16" s="9">
        <f>-EPM($B$3,$B$4,10,$A16,"period_net_amount")</f>
        <v/>
      </c>
      <c r="P16" s="9">
        <f>-EPM($B$3,$B$4,11,$A16,"period_net_amount")</f>
        <v/>
      </c>
      <c r="Q16" s="9">
        <f>-EPM($B$3,$B$4,12,$A16,"period_net_amount")</f>
        <v/>
      </c>
      <c r="R16" s="9">
        <f>-EPM($B$3,$B$4,"Q4",$A16,"period_net_amount")</f>
        <v/>
      </c>
      <c r="S16" s="9">
        <f>-EPM($B$3,$B$4,"H1",$A16,"period_net_amount")</f>
        <v/>
      </c>
      <c r="T16" s="9">
        <f>-EPM($B$3,$B$4,"H2",$A16,"period_net_amount")</f>
        <v/>
      </c>
      <c r="U16" s="9">
        <f>-EPM($B$3,$B$4,"FY",$A16,"period_net_amount")</f>
        <v/>
      </c>
    </row>
    <row r="17">
      <c r="A17" s="10" t="inlineStr">
        <is>
          <t>420200</t>
        </is>
      </c>
      <c r="B17" s="11" t="inlineStr">
        <is>
          <t>Accrued Revenue</t>
        </is>
      </c>
      <c r="C17" s="12">
        <f>-EPM($B$3,$B$4,1,$A17,"period_net_amount")</f>
        <v/>
      </c>
      <c r="D17" s="12">
        <f>-EPM($B$3,$B$4,2,$A17,"period_net_amount")</f>
        <v/>
      </c>
      <c r="E17" s="12">
        <f>-EPM($B$3,$B$4,3,$A17,"period_net_amount")</f>
        <v/>
      </c>
      <c r="F17" s="12">
        <f>-EPM($B$3,$B$4,"Q1",$A17,"period_net_amount")</f>
        <v/>
      </c>
      <c r="G17" s="12">
        <f>-EPM($B$3,$B$4,4,$A17,"period_net_amount")</f>
        <v/>
      </c>
      <c r="H17" s="12">
        <f>-EPM($B$3,$B$4,5,$A17,"period_net_amount")</f>
        <v/>
      </c>
      <c r="I17" s="12">
        <f>-EPM($B$3,$B$4,6,$A17,"period_net_amount")</f>
        <v/>
      </c>
      <c r="J17" s="12">
        <f>-EPM($B$3,$B$4,"Q2",$A17,"period_net_amount")</f>
        <v/>
      </c>
      <c r="K17" s="12">
        <f>-EPM($B$3,$B$4,7,$A17,"period_net_amount")</f>
        <v/>
      </c>
      <c r="L17" s="12">
        <f>-EPM($B$3,$B$4,8,$A17,"period_net_amount")</f>
        <v/>
      </c>
      <c r="M17" s="12">
        <f>-EPM($B$3,$B$4,9,$A17,"period_net_amount")</f>
        <v/>
      </c>
      <c r="N17" s="12">
        <f>-EPM($B$3,$B$4,"Q3",$A17,"period_net_amount")</f>
        <v/>
      </c>
      <c r="O17" s="12">
        <f>-EPM($B$3,$B$4,10,$A17,"period_net_amount")</f>
        <v/>
      </c>
      <c r="P17" s="12">
        <f>-EPM($B$3,$B$4,11,$A17,"period_net_amount")</f>
        <v/>
      </c>
      <c r="Q17" s="12">
        <f>-EPM($B$3,$B$4,12,$A17,"period_net_amount")</f>
        <v/>
      </c>
      <c r="R17" s="12">
        <f>-EPM($B$3,$B$4,"Q4",$A17,"period_net_amount")</f>
        <v/>
      </c>
      <c r="S17" s="12">
        <f>-EPM($B$3,$B$4,"H1",$A17,"period_net_amount")</f>
        <v/>
      </c>
      <c r="T17" s="12">
        <f>-EPM($B$3,$B$4,"H2",$A17,"period_net_amount")</f>
        <v/>
      </c>
      <c r="U17" s="12">
        <f>-EPM($B$3,$B$4,"FY",$A17,"period_net_amount")</f>
        <v/>
      </c>
    </row>
    <row r="18">
      <c r="A18" s="13" t="n"/>
      <c r="B18" s="14" t="inlineStr">
        <is>
          <t>Total Revenue</t>
        </is>
      </c>
      <c r="C18" s="15">
        <f>C8+C9+C10+C11+C12+C13+C14+C15+C16+C17</f>
        <v/>
      </c>
      <c r="D18" s="15">
        <f>D8+D9+D10+D11+D12+D13+D14+D15+D16+D17</f>
        <v/>
      </c>
      <c r="E18" s="15">
        <f>E8+E9+E10+E11+E12+E13+E14+E15+E16+E17</f>
        <v/>
      </c>
      <c r="F18" s="15">
        <f>F8+F9+F10+F11+F12+F13+F14+F15+F16+F17</f>
        <v/>
      </c>
      <c r="G18" s="15">
        <f>G8+G9+G10+G11+G12+G13+G14+G15+G16+G17</f>
        <v/>
      </c>
      <c r="H18" s="15">
        <f>H8+H9+H10+H11+H12+H13+H14+H15+H16+H17</f>
        <v/>
      </c>
      <c r="I18" s="15">
        <f>I8+I9+I10+I11+I12+I13+I14+I15+I16+I17</f>
        <v/>
      </c>
      <c r="J18" s="15">
        <f>J8+J9+J10+J11+J12+J13+J14+J15+J16+J17</f>
        <v/>
      </c>
      <c r="K18" s="15">
        <f>K8+K9+K10+K11+K12+K13+K14+K15+K16+K17</f>
        <v/>
      </c>
      <c r="L18" s="15">
        <f>L8+L9+L10+L11+L12+L13+L14+L15+L16+L17</f>
        <v/>
      </c>
      <c r="M18" s="15">
        <f>M8+M9+M10+M11+M12+M13+M14+M15+M16+M17</f>
        <v/>
      </c>
      <c r="N18" s="15">
        <f>N8+N9+N10+N11+N12+N13+N14+N15+N16+N17</f>
        <v/>
      </c>
      <c r="O18" s="15">
        <f>O8+O9+O10+O11+O12+O13+O14+O15+O16+O17</f>
        <v/>
      </c>
      <c r="P18" s="15">
        <f>P8+P9+P10+P11+P12+P13+P14+P15+P16+P17</f>
        <v/>
      </c>
      <c r="Q18" s="15">
        <f>Q8+Q9+Q10+Q11+Q12+Q13+Q14+Q15+Q16+Q17</f>
        <v/>
      </c>
      <c r="R18" s="15">
        <f>R8+R9+R10+R11+R12+R13+R14+R15+R16+R17</f>
        <v/>
      </c>
      <c r="S18" s="15">
        <f>S8+S9+S10+S11+S12+S13+S14+S15+S16+S17</f>
        <v/>
      </c>
      <c r="T18" s="15">
        <f>T8+T9+T10+T11+T12+T13+T14+T15+T16+T17</f>
        <v/>
      </c>
      <c r="U18" s="15">
        <f>U8+U9+U10+U11+U12+U13+U14+U15+U16+U17</f>
        <v/>
      </c>
    </row>
    <row r="20">
      <c r="B20" s="3" t="inlineStr">
        <is>
          <t>Cost of Goods Sold</t>
        </is>
      </c>
    </row>
    <row r="21">
      <c r="A21" s="7" t="inlineStr">
        <is>
          <t>500100</t>
        </is>
      </c>
      <c r="B21" s="8" t="inlineStr">
        <is>
          <t>COGS - Finished Goods</t>
        </is>
      </c>
      <c r="C21" s="9">
        <f>-EPM($B$3,$B$4,1,$A21,"period_net_amount")</f>
        <v/>
      </c>
      <c r="D21" s="9">
        <f>-EPM($B$3,$B$4,2,$A21,"period_net_amount")</f>
        <v/>
      </c>
      <c r="E21" s="9">
        <f>-EPM($B$3,$B$4,3,$A21,"period_net_amount")</f>
        <v/>
      </c>
      <c r="F21" s="9">
        <f>-EPM($B$3,$B$4,"Q1",$A21,"period_net_amount")</f>
        <v/>
      </c>
      <c r="G21" s="9">
        <f>-EPM($B$3,$B$4,4,$A21,"period_net_amount")</f>
        <v/>
      </c>
      <c r="H21" s="9">
        <f>-EPM($B$3,$B$4,5,$A21,"period_net_amount")</f>
        <v/>
      </c>
      <c r="I21" s="9">
        <f>-EPM($B$3,$B$4,6,$A21,"period_net_amount")</f>
        <v/>
      </c>
      <c r="J21" s="9">
        <f>-EPM($B$3,$B$4,"Q2",$A21,"period_net_amount")</f>
        <v/>
      </c>
      <c r="K21" s="9">
        <f>-EPM($B$3,$B$4,7,$A21,"period_net_amount")</f>
        <v/>
      </c>
      <c r="L21" s="9">
        <f>-EPM($B$3,$B$4,8,$A21,"period_net_amount")</f>
        <v/>
      </c>
      <c r="M21" s="9">
        <f>-EPM($B$3,$B$4,9,$A21,"period_net_amount")</f>
        <v/>
      </c>
      <c r="N21" s="9">
        <f>-EPM($B$3,$B$4,"Q3",$A21,"period_net_amount")</f>
        <v/>
      </c>
      <c r="O21" s="9">
        <f>-EPM($B$3,$B$4,10,$A21,"period_net_amount")</f>
        <v/>
      </c>
      <c r="P21" s="9">
        <f>-EPM($B$3,$B$4,11,$A21,"period_net_amount")</f>
        <v/>
      </c>
      <c r="Q21" s="9">
        <f>-EPM($B$3,$B$4,12,$A21,"period_net_amount")</f>
        <v/>
      </c>
      <c r="R21" s="9">
        <f>-EPM($B$3,$B$4,"Q4",$A21,"period_net_amount")</f>
        <v/>
      </c>
      <c r="S21" s="9">
        <f>-EPM($B$3,$B$4,"H1",$A21,"period_net_amount")</f>
        <v/>
      </c>
      <c r="T21" s="9">
        <f>-EPM($B$3,$B$4,"H2",$A21,"period_net_amount")</f>
        <v/>
      </c>
      <c r="U21" s="9">
        <f>-EPM($B$3,$B$4,"FY",$A21,"period_net_amount")</f>
        <v/>
      </c>
    </row>
    <row r="22">
      <c r="A22" s="10" t="inlineStr">
        <is>
          <t>500150</t>
        </is>
      </c>
      <c r="B22" s="11" t="inlineStr">
        <is>
          <t>Deferred COGS</t>
        </is>
      </c>
      <c r="C22" s="12">
        <f>-EPM($B$3,$B$4,1,$A22,"period_net_amount")</f>
        <v/>
      </c>
      <c r="D22" s="12">
        <f>-EPM($B$3,$B$4,2,$A22,"period_net_amount")</f>
        <v/>
      </c>
      <c r="E22" s="12">
        <f>-EPM($B$3,$B$4,3,$A22,"period_net_amount")</f>
        <v/>
      </c>
      <c r="F22" s="12">
        <f>-EPM($B$3,$B$4,"Q1",$A22,"period_net_amount")</f>
        <v/>
      </c>
      <c r="G22" s="12">
        <f>-EPM($B$3,$B$4,4,$A22,"period_net_amount")</f>
        <v/>
      </c>
      <c r="H22" s="12">
        <f>-EPM($B$3,$B$4,5,$A22,"period_net_amount")</f>
        <v/>
      </c>
      <c r="I22" s="12">
        <f>-EPM($B$3,$B$4,6,$A22,"period_net_amount")</f>
        <v/>
      </c>
      <c r="J22" s="12">
        <f>-EPM($B$3,$B$4,"Q2",$A22,"period_net_amount")</f>
        <v/>
      </c>
      <c r="K22" s="12">
        <f>-EPM($B$3,$B$4,7,$A22,"period_net_amount")</f>
        <v/>
      </c>
      <c r="L22" s="12">
        <f>-EPM($B$3,$B$4,8,$A22,"period_net_amount")</f>
        <v/>
      </c>
      <c r="M22" s="12">
        <f>-EPM($B$3,$B$4,9,$A22,"period_net_amount")</f>
        <v/>
      </c>
      <c r="N22" s="12">
        <f>-EPM($B$3,$B$4,"Q3",$A22,"period_net_amount")</f>
        <v/>
      </c>
      <c r="O22" s="12">
        <f>-EPM($B$3,$B$4,10,$A22,"period_net_amount")</f>
        <v/>
      </c>
      <c r="P22" s="12">
        <f>-EPM($B$3,$B$4,11,$A22,"period_net_amount")</f>
        <v/>
      </c>
      <c r="Q22" s="12">
        <f>-EPM($B$3,$B$4,12,$A22,"period_net_amount")</f>
        <v/>
      </c>
      <c r="R22" s="12">
        <f>-EPM($B$3,$B$4,"Q4",$A22,"period_net_amount")</f>
        <v/>
      </c>
      <c r="S22" s="12">
        <f>-EPM($B$3,$B$4,"H1",$A22,"period_net_amount")</f>
        <v/>
      </c>
      <c r="T22" s="12">
        <f>-EPM($B$3,$B$4,"H2",$A22,"period_net_amount")</f>
        <v/>
      </c>
      <c r="U22" s="12">
        <f>-EPM($B$3,$B$4,"FY",$A22,"period_net_amount")</f>
        <v/>
      </c>
    </row>
    <row r="23">
      <c r="A23" s="7" t="inlineStr">
        <is>
          <t>510310</t>
        </is>
      </c>
      <c r="B23" s="8" t="inlineStr">
        <is>
          <t>Purchase Price Variance</t>
        </is>
      </c>
      <c r="C23" s="9">
        <f>-EPM($B$3,$B$4,1,$A23,"period_net_amount")</f>
        <v/>
      </c>
      <c r="D23" s="9">
        <f>-EPM($B$3,$B$4,2,$A23,"period_net_amount")</f>
        <v/>
      </c>
      <c r="E23" s="9">
        <f>-EPM($B$3,$B$4,3,$A23,"period_net_amount")</f>
        <v/>
      </c>
      <c r="F23" s="9">
        <f>-EPM($B$3,$B$4,"Q1",$A23,"period_net_amount")</f>
        <v/>
      </c>
      <c r="G23" s="9">
        <f>-EPM($B$3,$B$4,4,$A23,"period_net_amount")</f>
        <v/>
      </c>
      <c r="H23" s="9">
        <f>-EPM($B$3,$B$4,5,$A23,"period_net_amount")</f>
        <v/>
      </c>
      <c r="I23" s="9">
        <f>-EPM($B$3,$B$4,6,$A23,"period_net_amount")</f>
        <v/>
      </c>
      <c r="J23" s="9">
        <f>-EPM($B$3,$B$4,"Q2",$A23,"period_net_amount")</f>
        <v/>
      </c>
      <c r="K23" s="9">
        <f>-EPM($B$3,$B$4,7,$A23,"period_net_amount")</f>
        <v/>
      </c>
      <c r="L23" s="9">
        <f>-EPM($B$3,$B$4,8,$A23,"period_net_amount")</f>
        <v/>
      </c>
      <c r="M23" s="9">
        <f>-EPM($B$3,$B$4,9,$A23,"period_net_amount")</f>
        <v/>
      </c>
      <c r="N23" s="9">
        <f>-EPM($B$3,$B$4,"Q3",$A23,"period_net_amount")</f>
        <v/>
      </c>
      <c r="O23" s="9">
        <f>-EPM($B$3,$B$4,10,$A23,"period_net_amount")</f>
        <v/>
      </c>
      <c r="P23" s="9">
        <f>-EPM($B$3,$B$4,11,$A23,"period_net_amount")</f>
        <v/>
      </c>
      <c r="Q23" s="9">
        <f>-EPM($B$3,$B$4,12,$A23,"period_net_amount")</f>
        <v/>
      </c>
      <c r="R23" s="9">
        <f>-EPM($B$3,$B$4,"Q4",$A23,"period_net_amount")</f>
        <v/>
      </c>
      <c r="S23" s="9">
        <f>-EPM($B$3,$B$4,"H1",$A23,"period_net_amount")</f>
        <v/>
      </c>
      <c r="T23" s="9">
        <f>-EPM($B$3,$B$4,"H2",$A23,"period_net_amount")</f>
        <v/>
      </c>
      <c r="U23" s="9">
        <f>-EPM($B$3,$B$4,"FY",$A23,"period_net_amount")</f>
        <v/>
      </c>
    </row>
    <row r="24">
      <c r="A24" s="10" t="inlineStr">
        <is>
          <t>510500</t>
        </is>
      </c>
      <c r="B24" s="11" t="inlineStr">
        <is>
          <t>Inventory Profit/Loss</t>
        </is>
      </c>
      <c r="C24" s="12">
        <f>-EPM($B$3,$B$4,1,$A24,"period_net_amount")</f>
        <v/>
      </c>
      <c r="D24" s="12">
        <f>-EPM($B$3,$B$4,2,$A24,"period_net_amount")</f>
        <v/>
      </c>
      <c r="E24" s="12">
        <f>-EPM($B$3,$B$4,3,$A24,"period_net_amount")</f>
        <v/>
      </c>
      <c r="F24" s="12">
        <f>-EPM($B$3,$B$4,"Q1",$A24,"period_net_amount")</f>
        <v/>
      </c>
      <c r="G24" s="12">
        <f>-EPM($B$3,$B$4,4,$A24,"period_net_amount")</f>
        <v/>
      </c>
      <c r="H24" s="12">
        <f>-EPM($B$3,$B$4,5,$A24,"period_net_amount")</f>
        <v/>
      </c>
      <c r="I24" s="12">
        <f>-EPM($B$3,$B$4,6,$A24,"period_net_amount")</f>
        <v/>
      </c>
      <c r="J24" s="12">
        <f>-EPM($B$3,$B$4,"Q2",$A24,"period_net_amount")</f>
        <v/>
      </c>
      <c r="K24" s="12">
        <f>-EPM($B$3,$B$4,7,$A24,"period_net_amount")</f>
        <v/>
      </c>
      <c r="L24" s="12">
        <f>-EPM($B$3,$B$4,8,$A24,"period_net_amount")</f>
        <v/>
      </c>
      <c r="M24" s="12">
        <f>-EPM($B$3,$B$4,9,$A24,"period_net_amount")</f>
        <v/>
      </c>
      <c r="N24" s="12">
        <f>-EPM($B$3,$B$4,"Q3",$A24,"period_net_amount")</f>
        <v/>
      </c>
      <c r="O24" s="12">
        <f>-EPM($B$3,$B$4,10,$A24,"period_net_amount")</f>
        <v/>
      </c>
      <c r="P24" s="12">
        <f>-EPM($B$3,$B$4,11,$A24,"period_net_amount")</f>
        <v/>
      </c>
      <c r="Q24" s="12">
        <f>-EPM($B$3,$B$4,12,$A24,"period_net_amount")</f>
        <v/>
      </c>
      <c r="R24" s="12">
        <f>-EPM($B$3,$B$4,"Q4",$A24,"period_net_amount")</f>
        <v/>
      </c>
      <c r="S24" s="12">
        <f>-EPM($B$3,$B$4,"H1",$A24,"period_net_amount")</f>
        <v/>
      </c>
      <c r="T24" s="12">
        <f>-EPM($B$3,$B$4,"H2",$A24,"period_net_amount")</f>
        <v/>
      </c>
      <c r="U24" s="12">
        <f>-EPM($B$3,$B$4,"FY",$A24,"period_net_amount")</f>
        <v/>
      </c>
    </row>
    <row r="25">
      <c r="A25" s="7" t="inlineStr">
        <is>
          <t>510520</t>
        </is>
      </c>
      <c r="B25" s="8" t="inlineStr">
        <is>
          <t>Inventory Adjustment</t>
        </is>
      </c>
      <c r="C25" s="9">
        <f>-EPM($B$3,$B$4,1,$A25,"period_net_amount")</f>
        <v/>
      </c>
      <c r="D25" s="9">
        <f>-EPM($B$3,$B$4,2,$A25,"period_net_amount")</f>
        <v/>
      </c>
      <c r="E25" s="9">
        <f>-EPM($B$3,$B$4,3,$A25,"period_net_amount")</f>
        <v/>
      </c>
      <c r="F25" s="9">
        <f>-EPM($B$3,$B$4,"Q1",$A25,"period_net_amount")</f>
        <v/>
      </c>
      <c r="G25" s="9">
        <f>-EPM($B$3,$B$4,4,$A25,"period_net_amount")</f>
        <v/>
      </c>
      <c r="H25" s="9">
        <f>-EPM($B$3,$B$4,5,$A25,"period_net_amount")</f>
        <v/>
      </c>
      <c r="I25" s="9">
        <f>-EPM($B$3,$B$4,6,$A25,"period_net_amount")</f>
        <v/>
      </c>
      <c r="J25" s="9">
        <f>-EPM($B$3,$B$4,"Q2",$A25,"period_net_amount")</f>
        <v/>
      </c>
      <c r="K25" s="9">
        <f>-EPM($B$3,$B$4,7,$A25,"period_net_amount")</f>
        <v/>
      </c>
      <c r="L25" s="9">
        <f>-EPM($B$3,$B$4,8,$A25,"period_net_amount")</f>
        <v/>
      </c>
      <c r="M25" s="9">
        <f>-EPM($B$3,$B$4,9,$A25,"period_net_amount")</f>
        <v/>
      </c>
      <c r="N25" s="9">
        <f>-EPM($B$3,$B$4,"Q3",$A25,"period_net_amount")</f>
        <v/>
      </c>
      <c r="O25" s="9">
        <f>-EPM($B$3,$B$4,10,$A25,"period_net_amount")</f>
        <v/>
      </c>
      <c r="P25" s="9">
        <f>-EPM($B$3,$B$4,11,$A25,"period_net_amount")</f>
        <v/>
      </c>
      <c r="Q25" s="9">
        <f>-EPM($B$3,$B$4,12,$A25,"period_net_amount")</f>
        <v/>
      </c>
      <c r="R25" s="9">
        <f>-EPM($B$3,$B$4,"Q4",$A25,"period_net_amount")</f>
        <v/>
      </c>
      <c r="S25" s="9">
        <f>-EPM($B$3,$B$4,"H1",$A25,"period_net_amount")</f>
        <v/>
      </c>
      <c r="T25" s="9">
        <f>-EPM($B$3,$B$4,"H2",$A25,"period_net_amount")</f>
        <v/>
      </c>
      <c r="U25" s="9">
        <f>-EPM($B$3,$B$4,"FY",$A25,"period_net_amount")</f>
        <v/>
      </c>
    </row>
    <row r="26">
      <c r="A26" s="10" t="inlineStr">
        <is>
          <t>540100</t>
        </is>
      </c>
      <c r="B26" s="11" t="inlineStr">
        <is>
          <t>Cost of Project - Labor</t>
        </is>
      </c>
      <c r="C26" s="12">
        <f>-EPM($B$3,$B$4,1,$A26,"period_net_amount")</f>
        <v/>
      </c>
      <c r="D26" s="12">
        <f>-EPM($B$3,$B$4,2,$A26,"period_net_amount")</f>
        <v/>
      </c>
      <c r="E26" s="12">
        <f>-EPM($B$3,$B$4,3,$A26,"period_net_amount")</f>
        <v/>
      </c>
      <c r="F26" s="12">
        <f>-EPM($B$3,$B$4,"Q1",$A26,"period_net_amount")</f>
        <v/>
      </c>
      <c r="G26" s="12">
        <f>-EPM($B$3,$B$4,4,$A26,"period_net_amount")</f>
        <v/>
      </c>
      <c r="H26" s="12">
        <f>-EPM($B$3,$B$4,5,$A26,"period_net_amount")</f>
        <v/>
      </c>
      <c r="I26" s="12">
        <f>-EPM($B$3,$B$4,6,$A26,"period_net_amount")</f>
        <v/>
      </c>
      <c r="J26" s="12">
        <f>-EPM($B$3,$B$4,"Q2",$A26,"period_net_amount")</f>
        <v/>
      </c>
      <c r="K26" s="12">
        <f>-EPM($B$3,$B$4,7,$A26,"period_net_amount")</f>
        <v/>
      </c>
      <c r="L26" s="12">
        <f>-EPM($B$3,$B$4,8,$A26,"period_net_amount")</f>
        <v/>
      </c>
      <c r="M26" s="12">
        <f>-EPM($B$3,$B$4,9,$A26,"period_net_amount")</f>
        <v/>
      </c>
      <c r="N26" s="12">
        <f>-EPM($B$3,$B$4,"Q3",$A26,"period_net_amount")</f>
        <v/>
      </c>
      <c r="O26" s="12">
        <f>-EPM($B$3,$B$4,10,$A26,"period_net_amount")</f>
        <v/>
      </c>
      <c r="P26" s="12">
        <f>-EPM($B$3,$B$4,11,$A26,"period_net_amount")</f>
        <v/>
      </c>
      <c r="Q26" s="12">
        <f>-EPM($B$3,$B$4,12,$A26,"period_net_amount")</f>
        <v/>
      </c>
      <c r="R26" s="12">
        <f>-EPM($B$3,$B$4,"Q4",$A26,"period_net_amount")</f>
        <v/>
      </c>
      <c r="S26" s="12">
        <f>-EPM($B$3,$B$4,"H1",$A26,"period_net_amount")</f>
        <v/>
      </c>
      <c r="T26" s="12">
        <f>-EPM($B$3,$B$4,"H2",$A26,"period_net_amount")</f>
        <v/>
      </c>
      <c r="U26" s="12">
        <f>-EPM($B$3,$B$4,"FY",$A26,"period_net_amount")</f>
        <v/>
      </c>
    </row>
    <row r="27">
      <c r="A27" s="7" t="inlineStr">
        <is>
          <t>540110</t>
        </is>
      </c>
      <c r="B27" s="8" t="inlineStr">
        <is>
          <t>Cost of Project - Products</t>
        </is>
      </c>
      <c r="C27" s="9">
        <f>-EPM($B$3,$B$4,1,$A27,"period_net_amount")</f>
        <v/>
      </c>
      <c r="D27" s="9">
        <f>-EPM($B$3,$B$4,2,$A27,"period_net_amount")</f>
        <v/>
      </c>
      <c r="E27" s="9">
        <f>-EPM($B$3,$B$4,3,$A27,"period_net_amount")</f>
        <v/>
      </c>
      <c r="F27" s="9">
        <f>-EPM($B$3,$B$4,"Q1",$A27,"period_net_amount")</f>
        <v/>
      </c>
      <c r="G27" s="9">
        <f>-EPM($B$3,$B$4,4,$A27,"period_net_amount")</f>
        <v/>
      </c>
      <c r="H27" s="9">
        <f>-EPM($B$3,$B$4,5,$A27,"period_net_amount")</f>
        <v/>
      </c>
      <c r="I27" s="9">
        <f>-EPM($B$3,$B$4,6,$A27,"period_net_amount")</f>
        <v/>
      </c>
      <c r="J27" s="9">
        <f>-EPM($B$3,$B$4,"Q2",$A27,"period_net_amount")</f>
        <v/>
      </c>
      <c r="K27" s="9">
        <f>-EPM($B$3,$B$4,7,$A27,"period_net_amount")</f>
        <v/>
      </c>
      <c r="L27" s="9">
        <f>-EPM($B$3,$B$4,8,$A27,"period_net_amount")</f>
        <v/>
      </c>
      <c r="M27" s="9">
        <f>-EPM($B$3,$B$4,9,$A27,"period_net_amount")</f>
        <v/>
      </c>
      <c r="N27" s="9">
        <f>-EPM($B$3,$B$4,"Q3",$A27,"period_net_amount")</f>
        <v/>
      </c>
      <c r="O27" s="9">
        <f>-EPM($B$3,$B$4,10,$A27,"period_net_amount")</f>
        <v/>
      </c>
      <c r="P27" s="9">
        <f>-EPM($B$3,$B$4,11,$A27,"period_net_amount")</f>
        <v/>
      </c>
      <c r="Q27" s="9">
        <f>-EPM($B$3,$B$4,12,$A27,"period_net_amount")</f>
        <v/>
      </c>
      <c r="R27" s="9">
        <f>-EPM($B$3,$B$4,"Q4",$A27,"period_net_amount")</f>
        <v/>
      </c>
      <c r="S27" s="9">
        <f>-EPM($B$3,$B$4,"H1",$A27,"period_net_amount")</f>
        <v/>
      </c>
      <c r="T27" s="9">
        <f>-EPM($B$3,$B$4,"H2",$A27,"period_net_amount")</f>
        <v/>
      </c>
      <c r="U27" s="9">
        <f>-EPM($B$3,$B$4,"FY",$A27,"period_net_amount")</f>
        <v/>
      </c>
    </row>
    <row r="28">
      <c r="A28" s="10" t="inlineStr">
        <is>
          <t>6112015</t>
        </is>
      </c>
      <c r="B28" s="11" t="inlineStr">
        <is>
          <t>COGS - Materials &amp; Services</t>
        </is>
      </c>
      <c r="C28" s="12">
        <f>-EPM($B$3,$B$4,1,$A28,"period_net_amount")</f>
        <v/>
      </c>
      <c r="D28" s="12">
        <f>-EPM($B$3,$B$4,2,$A28,"period_net_amount")</f>
        <v/>
      </c>
      <c r="E28" s="12">
        <f>-EPM($B$3,$B$4,3,$A28,"period_net_amount")</f>
        <v/>
      </c>
      <c r="F28" s="12">
        <f>-EPM($B$3,$B$4,"Q1",$A28,"period_net_amount")</f>
        <v/>
      </c>
      <c r="G28" s="12">
        <f>-EPM($B$3,$B$4,4,$A28,"period_net_amount")</f>
        <v/>
      </c>
      <c r="H28" s="12">
        <f>-EPM($B$3,$B$4,5,$A28,"period_net_amount")</f>
        <v/>
      </c>
      <c r="I28" s="12">
        <f>-EPM($B$3,$B$4,6,$A28,"period_net_amount")</f>
        <v/>
      </c>
      <c r="J28" s="12">
        <f>-EPM($B$3,$B$4,"Q2",$A28,"period_net_amount")</f>
        <v/>
      </c>
      <c r="K28" s="12">
        <f>-EPM($B$3,$B$4,7,$A28,"period_net_amount")</f>
        <v/>
      </c>
      <c r="L28" s="12">
        <f>-EPM($B$3,$B$4,8,$A28,"period_net_amount")</f>
        <v/>
      </c>
      <c r="M28" s="12">
        <f>-EPM($B$3,$B$4,9,$A28,"period_net_amount")</f>
        <v/>
      </c>
      <c r="N28" s="12">
        <f>-EPM($B$3,$B$4,"Q3",$A28,"period_net_amount")</f>
        <v/>
      </c>
      <c r="O28" s="12">
        <f>-EPM($B$3,$B$4,10,$A28,"period_net_amount")</f>
        <v/>
      </c>
      <c r="P28" s="12">
        <f>-EPM($B$3,$B$4,11,$A28,"period_net_amount")</f>
        <v/>
      </c>
      <c r="Q28" s="12">
        <f>-EPM($B$3,$B$4,12,$A28,"period_net_amount")</f>
        <v/>
      </c>
      <c r="R28" s="12">
        <f>-EPM($B$3,$B$4,"Q4",$A28,"period_net_amount")</f>
        <v/>
      </c>
      <c r="S28" s="12">
        <f>-EPM($B$3,$B$4,"H1",$A28,"period_net_amount")</f>
        <v/>
      </c>
      <c r="T28" s="12">
        <f>-EPM($B$3,$B$4,"H2",$A28,"period_net_amount")</f>
        <v/>
      </c>
      <c r="U28" s="12">
        <f>-EPM($B$3,$B$4,"FY",$A28,"period_net_amount")</f>
        <v/>
      </c>
    </row>
    <row r="29">
      <c r="A29" s="13" t="n"/>
      <c r="B29" s="14" t="inlineStr">
        <is>
          <t>Total COGS</t>
        </is>
      </c>
      <c r="C29" s="15">
        <f>C21+C22+C23+C24+C25+C26+C27+C28</f>
        <v/>
      </c>
      <c r="D29" s="15">
        <f>D21+D22+D23+D24+D25+D26+D27+D28</f>
        <v/>
      </c>
      <c r="E29" s="15">
        <f>E21+E22+E23+E24+E25+E26+E27+E28</f>
        <v/>
      </c>
      <c r="F29" s="15">
        <f>F21+F22+F23+F24+F25+F26+F27+F28</f>
        <v/>
      </c>
      <c r="G29" s="15">
        <f>G21+G22+G23+G24+G25+G26+G27+G28</f>
        <v/>
      </c>
      <c r="H29" s="15">
        <f>H21+H22+H23+H24+H25+H26+H27+H28</f>
        <v/>
      </c>
      <c r="I29" s="15">
        <f>I21+I22+I23+I24+I25+I26+I27+I28</f>
        <v/>
      </c>
      <c r="J29" s="15">
        <f>J21+J22+J23+J24+J25+J26+J27+J28</f>
        <v/>
      </c>
      <c r="K29" s="15">
        <f>K21+K22+K23+K24+K25+K26+K27+K28</f>
        <v/>
      </c>
      <c r="L29" s="15">
        <f>L21+L22+L23+L24+L25+L26+L27+L28</f>
        <v/>
      </c>
      <c r="M29" s="15">
        <f>M21+M22+M23+M24+M25+M26+M27+M28</f>
        <v/>
      </c>
      <c r="N29" s="15">
        <f>N21+N22+N23+N24+N25+N26+N27+N28</f>
        <v/>
      </c>
      <c r="O29" s="15">
        <f>O21+O22+O23+O24+O25+O26+O27+O28</f>
        <v/>
      </c>
      <c r="P29" s="15">
        <f>P21+P22+P23+P24+P25+P26+P27+P28</f>
        <v/>
      </c>
      <c r="Q29" s="15">
        <f>Q21+Q22+Q23+Q24+Q25+Q26+Q27+Q28</f>
        <v/>
      </c>
      <c r="R29" s="15">
        <f>R21+R22+R23+R24+R25+R26+R27+R28</f>
        <v/>
      </c>
      <c r="S29" s="15">
        <f>S21+S22+S23+S24+S25+S26+S27+S28</f>
        <v/>
      </c>
      <c r="T29" s="15">
        <f>T21+T22+T23+T24+T25+T26+T27+T28</f>
        <v/>
      </c>
      <c r="U29" s="15">
        <f>U21+U22+U23+U24+U25+U26+U27+U28</f>
        <v/>
      </c>
    </row>
    <row r="31">
      <c r="A31" s="13" t="n"/>
      <c r="B31" s="16" t="inlineStr">
        <is>
          <t>Gross Profit</t>
        </is>
      </c>
      <c r="C31" s="17">
        <f>C18+C29</f>
        <v/>
      </c>
      <c r="D31" s="17">
        <f>D18+D29</f>
        <v/>
      </c>
      <c r="E31" s="17">
        <f>E18+E29</f>
        <v/>
      </c>
      <c r="F31" s="17">
        <f>F18+F29</f>
        <v/>
      </c>
      <c r="G31" s="17">
        <f>G18+G29</f>
        <v/>
      </c>
      <c r="H31" s="17">
        <f>H18+H29</f>
        <v/>
      </c>
      <c r="I31" s="17">
        <f>I18+I29</f>
        <v/>
      </c>
      <c r="J31" s="17">
        <f>J18+J29</f>
        <v/>
      </c>
      <c r="K31" s="17">
        <f>K18+K29</f>
        <v/>
      </c>
      <c r="L31" s="17">
        <f>L18+L29</f>
        <v/>
      </c>
      <c r="M31" s="17">
        <f>M18+M29</f>
        <v/>
      </c>
      <c r="N31" s="17">
        <f>N18+N29</f>
        <v/>
      </c>
      <c r="O31" s="17">
        <f>O18+O29</f>
        <v/>
      </c>
      <c r="P31" s="17">
        <f>P18+P29</f>
        <v/>
      </c>
      <c r="Q31" s="17">
        <f>Q18+Q29</f>
        <v/>
      </c>
      <c r="R31" s="17">
        <f>R18+R29</f>
        <v/>
      </c>
      <c r="S31" s="17">
        <f>S18+S29</f>
        <v/>
      </c>
      <c r="T31" s="17">
        <f>T18+T29</f>
        <v/>
      </c>
      <c r="U31" s="17">
        <f>U18+U29</f>
        <v/>
      </c>
    </row>
    <row r="33">
      <c r="B33" s="3" t="inlineStr">
        <is>
          <t>Operating Expenses</t>
        </is>
      </c>
    </row>
    <row r="34">
      <c r="A34" s="7" t="inlineStr">
        <is>
          <t>600180</t>
        </is>
      </c>
      <c r="B34" s="8" t="inlineStr">
        <is>
          <t>Raw Materials Receipts</t>
        </is>
      </c>
      <c r="C34" s="9">
        <f>-EPM($B$3,$B$4,1,$A34,"period_net_amount")</f>
        <v/>
      </c>
      <c r="D34" s="9">
        <f>-EPM($B$3,$B$4,2,$A34,"period_net_amount")</f>
        <v/>
      </c>
      <c r="E34" s="9">
        <f>-EPM($B$3,$B$4,3,$A34,"period_net_amount")</f>
        <v/>
      </c>
      <c r="F34" s="9">
        <f>-EPM($B$3,$B$4,"Q1",$A34,"period_net_amount")</f>
        <v/>
      </c>
      <c r="G34" s="9">
        <f>-EPM($B$3,$B$4,4,$A34,"period_net_amount")</f>
        <v/>
      </c>
      <c r="H34" s="9">
        <f>-EPM($B$3,$B$4,5,$A34,"period_net_amount")</f>
        <v/>
      </c>
      <c r="I34" s="9">
        <f>-EPM($B$3,$B$4,6,$A34,"period_net_amount")</f>
        <v/>
      </c>
      <c r="J34" s="9">
        <f>-EPM($B$3,$B$4,"Q2",$A34,"period_net_amount")</f>
        <v/>
      </c>
      <c r="K34" s="9">
        <f>-EPM($B$3,$B$4,7,$A34,"period_net_amount")</f>
        <v/>
      </c>
      <c r="L34" s="9">
        <f>-EPM($B$3,$B$4,8,$A34,"period_net_amount")</f>
        <v/>
      </c>
      <c r="M34" s="9">
        <f>-EPM($B$3,$B$4,9,$A34,"period_net_amount")</f>
        <v/>
      </c>
      <c r="N34" s="9">
        <f>-EPM($B$3,$B$4,"Q3",$A34,"period_net_amount")</f>
        <v/>
      </c>
      <c r="O34" s="9">
        <f>-EPM($B$3,$B$4,10,$A34,"period_net_amount")</f>
        <v/>
      </c>
      <c r="P34" s="9">
        <f>-EPM($B$3,$B$4,11,$A34,"period_net_amount")</f>
        <v/>
      </c>
      <c r="Q34" s="9">
        <f>-EPM($B$3,$B$4,12,$A34,"period_net_amount")</f>
        <v/>
      </c>
      <c r="R34" s="9">
        <f>-EPM($B$3,$B$4,"Q4",$A34,"period_net_amount")</f>
        <v/>
      </c>
      <c r="S34" s="9">
        <f>-EPM($B$3,$B$4,"H1",$A34,"period_net_amount")</f>
        <v/>
      </c>
      <c r="T34" s="9">
        <f>-EPM($B$3,$B$4,"H2",$A34,"period_net_amount")</f>
        <v/>
      </c>
      <c r="U34" s="9">
        <f>-EPM($B$3,$B$4,"FY",$A34,"period_net_amount")</f>
        <v/>
      </c>
    </row>
    <row r="35">
      <c r="A35" s="10" t="inlineStr">
        <is>
          <t>601200</t>
        </is>
      </c>
      <c r="B35" s="11" t="inlineStr">
        <is>
          <t>Selling Expense</t>
        </is>
      </c>
      <c r="C35" s="12">
        <f>-EPM($B$3,$B$4,1,$A35,"period_net_amount")</f>
        <v/>
      </c>
      <c r="D35" s="12">
        <f>-EPM($B$3,$B$4,2,$A35,"period_net_amount")</f>
        <v/>
      </c>
      <c r="E35" s="12">
        <f>-EPM($B$3,$B$4,3,$A35,"period_net_amount")</f>
        <v/>
      </c>
      <c r="F35" s="12">
        <f>-EPM($B$3,$B$4,"Q1",$A35,"period_net_amount")</f>
        <v/>
      </c>
      <c r="G35" s="12">
        <f>-EPM($B$3,$B$4,4,$A35,"period_net_amount")</f>
        <v/>
      </c>
      <c r="H35" s="12">
        <f>-EPM($B$3,$B$4,5,$A35,"period_net_amount")</f>
        <v/>
      </c>
      <c r="I35" s="12">
        <f>-EPM($B$3,$B$4,6,$A35,"period_net_amount")</f>
        <v/>
      </c>
      <c r="J35" s="12">
        <f>-EPM($B$3,$B$4,"Q2",$A35,"period_net_amount")</f>
        <v/>
      </c>
      <c r="K35" s="12">
        <f>-EPM($B$3,$B$4,7,$A35,"period_net_amount")</f>
        <v/>
      </c>
      <c r="L35" s="12">
        <f>-EPM($B$3,$B$4,8,$A35,"period_net_amount")</f>
        <v/>
      </c>
      <c r="M35" s="12">
        <f>-EPM($B$3,$B$4,9,$A35,"period_net_amount")</f>
        <v/>
      </c>
      <c r="N35" s="12">
        <f>-EPM($B$3,$B$4,"Q3",$A35,"period_net_amount")</f>
        <v/>
      </c>
      <c r="O35" s="12">
        <f>-EPM($B$3,$B$4,10,$A35,"period_net_amount")</f>
        <v/>
      </c>
      <c r="P35" s="12">
        <f>-EPM($B$3,$B$4,11,$A35,"period_net_amount")</f>
        <v/>
      </c>
      <c r="Q35" s="12">
        <f>-EPM($B$3,$B$4,12,$A35,"period_net_amount")</f>
        <v/>
      </c>
      <c r="R35" s="12">
        <f>-EPM($B$3,$B$4,"Q4",$A35,"period_net_amount")</f>
        <v/>
      </c>
      <c r="S35" s="12">
        <f>-EPM($B$3,$B$4,"H1",$A35,"period_net_amount")</f>
        <v/>
      </c>
      <c r="T35" s="12">
        <f>-EPM($B$3,$B$4,"H2",$A35,"period_net_amount")</f>
        <v/>
      </c>
      <c r="U35" s="12">
        <f>-EPM($B$3,$B$4,"FY",$A35,"period_net_amount")</f>
        <v/>
      </c>
    </row>
    <row r="36">
      <c r="A36" s="7" t="inlineStr">
        <is>
          <t>601300</t>
        </is>
      </c>
      <c r="B36" s="8" t="inlineStr">
        <is>
          <t>Advertising Expense</t>
        </is>
      </c>
      <c r="C36" s="9">
        <f>-EPM($B$3,$B$4,1,$A36,"period_net_amount")</f>
        <v/>
      </c>
      <c r="D36" s="9">
        <f>-EPM($B$3,$B$4,2,$A36,"period_net_amount")</f>
        <v/>
      </c>
      <c r="E36" s="9">
        <f>-EPM($B$3,$B$4,3,$A36,"period_net_amount")</f>
        <v/>
      </c>
      <c r="F36" s="9">
        <f>-EPM($B$3,$B$4,"Q1",$A36,"period_net_amount")</f>
        <v/>
      </c>
      <c r="G36" s="9">
        <f>-EPM($B$3,$B$4,4,$A36,"period_net_amount")</f>
        <v/>
      </c>
      <c r="H36" s="9">
        <f>-EPM($B$3,$B$4,5,$A36,"period_net_amount")</f>
        <v/>
      </c>
      <c r="I36" s="9">
        <f>-EPM($B$3,$B$4,6,$A36,"period_net_amount")</f>
        <v/>
      </c>
      <c r="J36" s="9">
        <f>-EPM($B$3,$B$4,"Q2",$A36,"period_net_amount")</f>
        <v/>
      </c>
      <c r="K36" s="9">
        <f>-EPM($B$3,$B$4,7,$A36,"period_net_amount")</f>
        <v/>
      </c>
      <c r="L36" s="9">
        <f>-EPM($B$3,$B$4,8,$A36,"period_net_amount")</f>
        <v/>
      </c>
      <c r="M36" s="9">
        <f>-EPM($B$3,$B$4,9,$A36,"period_net_amount")</f>
        <v/>
      </c>
      <c r="N36" s="9">
        <f>-EPM($B$3,$B$4,"Q3",$A36,"period_net_amount")</f>
        <v/>
      </c>
      <c r="O36" s="9">
        <f>-EPM($B$3,$B$4,10,$A36,"period_net_amount")</f>
        <v/>
      </c>
      <c r="P36" s="9">
        <f>-EPM($B$3,$B$4,11,$A36,"period_net_amount")</f>
        <v/>
      </c>
      <c r="Q36" s="9">
        <f>-EPM($B$3,$B$4,12,$A36,"period_net_amount")</f>
        <v/>
      </c>
      <c r="R36" s="9">
        <f>-EPM($B$3,$B$4,"Q4",$A36,"period_net_amount")</f>
        <v/>
      </c>
      <c r="S36" s="9">
        <f>-EPM($B$3,$B$4,"H1",$A36,"period_net_amount")</f>
        <v/>
      </c>
      <c r="T36" s="9">
        <f>-EPM($B$3,$B$4,"H2",$A36,"period_net_amount")</f>
        <v/>
      </c>
      <c r="U36" s="9">
        <f>-EPM($B$3,$B$4,"FY",$A36,"period_net_amount")</f>
        <v/>
      </c>
    </row>
    <row r="37">
      <c r="A37" s="10" t="inlineStr">
        <is>
          <t>601500</t>
        </is>
      </c>
      <c r="B37" s="11" t="inlineStr">
        <is>
          <t>Travel Expense</t>
        </is>
      </c>
      <c r="C37" s="12">
        <f>-EPM($B$3,$B$4,1,$A37,"period_net_amount")</f>
        <v/>
      </c>
      <c r="D37" s="12">
        <f>-EPM($B$3,$B$4,2,$A37,"period_net_amount")</f>
        <v/>
      </c>
      <c r="E37" s="12">
        <f>-EPM($B$3,$B$4,3,$A37,"period_net_amount")</f>
        <v/>
      </c>
      <c r="F37" s="12">
        <f>-EPM($B$3,$B$4,"Q1",$A37,"period_net_amount")</f>
        <v/>
      </c>
      <c r="G37" s="12">
        <f>-EPM($B$3,$B$4,4,$A37,"period_net_amount")</f>
        <v/>
      </c>
      <c r="H37" s="12">
        <f>-EPM($B$3,$B$4,5,$A37,"period_net_amount")</f>
        <v/>
      </c>
      <c r="I37" s="12">
        <f>-EPM($B$3,$B$4,6,$A37,"period_net_amount")</f>
        <v/>
      </c>
      <c r="J37" s="12">
        <f>-EPM($B$3,$B$4,"Q2",$A37,"period_net_amount")</f>
        <v/>
      </c>
      <c r="K37" s="12">
        <f>-EPM($B$3,$B$4,7,$A37,"period_net_amount")</f>
        <v/>
      </c>
      <c r="L37" s="12">
        <f>-EPM($B$3,$B$4,8,$A37,"period_net_amount")</f>
        <v/>
      </c>
      <c r="M37" s="12">
        <f>-EPM($B$3,$B$4,9,$A37,"period_net_amount")</f>
        <v/>
      </c>
      <c r="N37" s="12">
        <f>-EPM($B$3,$B$4,"Q3",$A37,"period_net_amount")</f>
        <v/>
      </c>
      <c r="O37" s="12">
        <f>-EPM($B$3,$B$4,10,$A37,"period_net_amount")</f>
        <v/>
      </c>
      <c r="P37" s="12">
        <f>-EPM($B$3,$B$4,11,$A37,"period_net_amount")</f>
        <v/>
      </c>
      <c r="Q37" s="12">
        <f>-EPM($B$3,$B$4,12,$A37,"period_net_amount")</f>
        <v/>
      </c>
      <c r="R37" s="12">
        <f>-EPM($B$3,$B$4,"Q4",$A37,"period_net_amount")</f>
        <v/>
      </c>
      <c r="S37" s="12">
        <f>-EPM($B$3,$B$4,"H1",$A37,"period_net_amount")</f>
        <v/>
      </c>
      <c r="T37" s="12">
        <f>-EPM($B$3,$B$4,"H2",$A37,"period_net_amount")</f>
        <v/>
      </c>
      <c r="U37" s="12">
        <f>-EPM($B$3,$B$4,"FY",$A37,"period_net_amount")</f>
        <v/>
      </c>
    </row>
    <row r="38">
      <c r="A38" s="7" t="inlineStr">
        <is>
          <t>602100</t>
        </is>
      </c>
      <c r="B38" s="8" t="inlineStr">
        <is>
          <t>Salaries &amp; Wages</t>
        </is>
      </c>
      <c r="C38" s="9">
        <f>-EPM($B$3,$B$4,1,$A38,"period_net_amount")</f>
        <v/>
      </c>
      <c r="D38" s="9">
        <f>-EPM($B$3,$B$4,2,$A38,"period_net_amount")</f>
        <v/>
      </c>
      <c r="E38" s="9">
        <f>-EPM($B$3,$B$4,3,$A38,"period_net_amount")</f>
        <v/>
      </c>
      <c r="F38" s="9">
        <f>-EPM($B$3,$B$4,"Q1",$A38,"period_net_amount")</f>
        <v/>
      </c>
      <c r="G38" s="9">
        <f>-EPM($B$3,$B$4,4,$A38,"period_net_amount")</f>
        <v/>
      </c>
      <c r="H38" s="9">
        <f>-EPM($B$3,$B$4,5,$A38,"period_net_amount")</f>
        <v/>
      </c>
      <c r="I38" s="9">
        <f>-EPM($B$3,$B$4,6,$A38,"period_net_amount")</f>
        <v/>
      </c>
      <c r="J38" s="9">
        <f>-EPM($B$3,$B$4,"Q2",$A38,"period_net_amount")</f>
        <v/>
      </c>
      <c r="K38" s="9">
        <f>-EPM($B$3,$B$4,7,$A38,"period_net_amount")</f>
        <v/>
      </c>
      <c r="L38" s="9">
        <f>-EPM($B$3,$B$4,8,$A38,"period_net_amount")</f>
        <v/>
      </c>
      <c r="M38" s="9">
        <f>-EPM($B$3,$B$4,9,$A38,"period_net_amount")</f>
        <v/>
      </c>
      <c r="N38" s="9">
        <f>-EPM($B$3,$B$4,"Q3",$A38,"period_net_amount")</f>
        <v/>
      </c>
      <c r="O38" s="9">
        <f>-EPM($B$3,$B$4,10,$A38,"period_net_amount")</f>
        <v/>
      </c>
      <c r="P38" s="9">
        <f>-EPM($B$3,$B$4,11,$A38,"period_net_amount")</f>
        <v/>
      </c>
      <c r="Q38" s="9">
        <f>-EPM($B$3,$B$4,12,$A38,"period_net_amount")</f>
        <v/>
      </c>
      <c r="R38" s="9">
        <f>-EPM($B$3,$B$4,"Q4",$A38,"period_net_amount")</f>
        <v/>
      </c>
      <c r="S38" s="9">
        <f>-EPM($B$3,$B$4,"H1",$A38,"period_net_amount")</f>
        <v/>
      </c>
      <c r="T38" s="9">
        <f>-EPM($B$3,$B$4,"H2",$A38,"period_net_amount")</f>
        <v/>
      </c>
      <c r="U38" s="9">
        <f>-EPM($B$3,$B$4,"FY",$A38,"period_net_amount")</f>
        <v/>
      </c>
    </row>
    <row r="39">
      <c r="A39" s="10" t="inlineStr">
        <is>
          <t>602120</t>
        </is>
      </c>
      <c r="B39" s="11" t="inlineStr">
        <is>
          <t>Payroll Tax</t>
        </is>
      </c>
      <c r="C39" s="12">
        <f>-EPM($B$3,$B$4,1,$A39,"period_net_amount")</f>
        <v/>
      </c>
      <c r="D39" s="12">
        <f>-EPM($B$3,$B$4,2,$A39,"period_net_amount")</f>
        <v/>
      </c>
      <c r="E39" s="12">
        <f>-EPM($B$3,$B$4,3,$A39,"period_net_amount")</f>
        <v/>
      </c>
      <c r="F39" s="12">
        <f>-EPM($B$3,$B$4,"Q1",$A39,"period_net_amount")</f>
        <v/>
      </c>
      <c r="G39" s="12">
        <f>-EPM($B$3,$B$4,4,$A39,"period_net_amount")</f>
        <v/>
      </c>
      <c r="H39" s="12">
        <f>-EPM($B$3,$B$4,5,$A39,"period_net_amount")</f>
        <v/>
      </c>
      <c r="I39" s="12">
        <f>-EPM($B$3,$B$4,6,$A39,"period_net_amount")</f>
        <v/>
      </c>
      <c r="J39" s="12">
        <f>-EPM($B$3,$B$4,"Q2",$A39,"period_net_amount")</f>
        <v/>
      </c>
      <c r="K39" s="12">
        <f>-EPM($B$3,$B$4,7,$A39,"period_net_amount")</f>
        <v/>
      </c>
      <c r="L39" s="12">
        <f>-EPM($B$3,$B$4,8,$A39,"period_net_amount")</f>
        <v/>
      </c>
      <c r="M39" s="12">
        <f>-EPM($B$3,$B$4,9,$A39,"period_net_amount")</f>
        <v/>
      </c>
      <c r="N39" s="12">
        <f>-EPM($B$3,$B$4,"Q3",$A39,"period_net_amount")</f>
        <v/>
      </c>
      <c r="O39" s="12">
        <f>-EPM($B$3,$B$4,10,$A39,"period_net_amount")</f>
        <v/>
      </c>
      <c r="P39" s="12">
        <f>-EPM($B$3,$B$4,11,$A39,"period_net_amount")</f>
        <v/>
      </c>
      <c r="Q39" s="12">
        <f>-EPM($B$3,$B$4,12,$A39,"period_net_amount")</f>
        <v/>
      </c>
      <c r="R39" s="12">
        <f>-EPM($B$3,$B$4,"Q4",$A39,"period_net_amount")</f>
        <v/>
      </c>
      <c r="S39" s="12">
        <f>-EPM($B$3,$B$4,"H1",$A39,"period_net_amount")</f>
        <v/>
      </c>
      <c r="T39" s="12">
        <f>-EPM($B$3,$B$4,"H2",$A39,"period_net_amount")</f>
        <v/>
      </c>
      <c r="U39" s="12">
        <f>-EPM($B$3,$B$4,"FY",$A39,"period_net_amount")</f>
        <v/>
      </c>
    </row>
    <row r="40">
      <c r="A40" s="7" t="inlineStr">
        <is>
          <t>602130</t>
        </is>
      </c>
      <c r="B40" s="8" t="inlineStr">
        <is>
          <t>Health/Life Insurance</t>
        </is>
      </c>
      <c r="C40" s="9">
        <f>-EPM($B$3,$B$4,1,$A40,"period_net_amount")</f>
        <v/>
      </c>
      <c r="D40" s="9">
        <f>-EPM($B$3,$B$4,2,$A40,"period_net_amount")</f>
        <v/>
      </c>
      <c r="E40" s="9">
        <f>-EPM($B$3,$B$4,3,$A40,"period_net_amount")</f>
        <v/>
      </c>
      <c r="F40" s="9">
        <f>-EPM($B$3,$B$4,"Q1",$A40,"period_net_amount")</f>
        <v/>
      </c>
      <c r="G40" s="9">
        <f>-EPM($B$3,$B$4,4,$A40,"period_net_amount")</f>
        <v/>
      </c>
      <c r="H40" s="9">
        <f>-EPM($B$3,$B$4,5,$A40,"period_net_amount")</f>
        <v/>
      </c>
      <c r="I40" s="9">
        <f>-EPM($B$3,$B$4,6,$A40,"period_net_amount")</f>
        <v/>
      </c>
      <c r="J40" s="9">
        <f>-EPM($B$3,$B$4,"Q2",$A40,"period_net_amount")</f>
        <v/>
      </c>
      <c r="K40" s="9">
        <f>-EPM($B$3,$B$4,7,$A40,"period_net_amount")</f>
        <v/>
      </c>
      <c r="L40" s="9">
        <f>-EPM($B$3,$B$4,8,$A40,"period_net_amount")</f>
        <v/>
      </c>
      <c r="M40" s="9">
        <f>-EPM($B$3,$B$4,9,$A40,"period_net_amount")</f>
        <v/>
      </c>
      <c r="N40" s="9">
        <f>-EPM($B$3,$B$4,"Q3",$A40,"period_net_amount")</f>
        <v/>
      </c>
      <c r="O40" s="9">
        <f>-EPM($B$3,$B$4,10,$A40,"period_net_amount")</f>
        <v/>
      </c>
      <c r="P40" s="9">
        <f>-EPM($B$3,$B$4,11,$A40,"period_net_amount")</f>
        <v/>
      </c>
      <c r="Q40" s="9">
        <f>-EPM($B$3,$B$4,12,$A40,"period_net_amount")</f>
        <v/>
      </c>
      <c r="R40" s="9">
        <f>-EPM($B$3,$B$4,"Q4",$A40,"period_net_amount")</f>
        <v/>
      </c>
      <c r="S40" s="9">
        <f>-EPM($B$3,$B$4,"H1",$A40,"period_net_amount")</f>
        <v/>
      </c>
      <c r="T40" s="9">
        <f>-EPM($B$3,$B$4,"H2",$A40,"period_net_amount")</f>
        <v/>
      </c>
      <c r="U40" s="9">
        <f>-EPM($B$3,$B$4,"FY",$A40,"period_net_amount")</f>
        <v/>
      </c>
    </row>
    <row r="41">
      <c r="A41" s="10" t="inlineStr">
        <is>
          <t>602180</t>
        </is>
      </c>
      <c r="B41" s="11" t="inlineStr">
        <is>
          <t>Pension/Profit-Sharing</t>
        </is>
      </c>
      <c r="C41" s="12">
        <f>-EPM($B$3,$B$4,1,$A41,"period_net_amount")</f>
        <v/>
      </c>
      <c r="D41" s="12">
        <f>-EPM($B$3,$B$4,2,$A41,"period_net_amount")</f>
        <v/>
      </c>
      <c r="E41" s="12">
        <f>-EPM($B$3,$B$4,3,$A41,"period_net_amount")</f>
        <v/>
      </c>
      <c r="F41" s="12">
        <f>-EPM($B$3,$B$4,"Q1",$A41,"period_net_amount")</f>
        <v/>
      </c>
      <c r="G41" s="12">
        <f>-EPM($B$3,$B$4,4,$A41,"period_net_amount")</f>
        <v/>
      </c>
      <c r="H41" s="12">
        <f>-EPM($B$3,$B$4,5,$A41,"period_net_amount")</f>
        <v/>
      </c>
      <c r="I41" s="12">
        <f>-EPM($B$3,$B$4,6,$A41,"period_net_amount")</f>
        <v/>
      </c>
      <c r="J41" s="12">
        <f>-EPM($B$3,$B$4,"Q2",$A41,"period_net_amount")</f>
        <v/>
      </c>
      <c r="K41" s="12">
        <f>-EPM($B$3,$B$4,7,$A41,"period_net_amount")</f>
        <v/>
      </c>
      <c r="L41" s="12">
        <f>-EPM($B$3,$B$4,8,$A41,"period_net_amount")</f>
        <v/>
      </c>
      <c r="M41" s="12">
        <f>-EPM($B$3,$B$4,9,$A41,"period_net_amount")</f>
        <v/>
      </c>
      <c r="N41" s="12">
        <f>-EPM($B$3,$B$4,"Q3",$A41,"period_net_amount")</f>
        <v/>
      </c>
      <c r="O41" s="12">
        <f>-EPM($B$3,$B$4,10,$A41,"period_net_amount")</f>
        <v/>
      </c>
      <c r="P41" s="12">
        <f>-EPM($B$3,$B$4,11,$A41,"period_net_amount")</f>
        <v/>
      </c>
      <c r="Q41" s="12">
        <f>-EPM($B$3,$B$4,12,$A41,"period_net_amount")</f>
        <v/>
      </c>
      <c r="R41" s="12">
        <f>-EPM($B$3,$B$4,"Q4",$A41,"period_net_amount")</f>
        <v/>
      </c>
      <c r="S41" s="12">
        <f>-EPM($B$3,$B$4,"H1",$A41,"period_net_amount")</f>
        <v/>
      </c>
      <c r="T41" s="12">
        <f>-EPM($B$3,$B$4,"H2",$A41,"period_net_amount")</f>
        <v/>
      </c>
      <c r="U41" s="12">
        <f>-EPM($B$3,$B$4,"FY",$A41,"period_net_amount")</f>
        <v/>
      </c>
    </row>
    <row r="42">
      <c r="A42" s="7" t="inlineStr">
        <is>
          <t>604500</t>
        </is>
      </c>
      <c r="B42" s="8" t="inlineStr">
        <is>
          <t>Lease Expense</t>
        </is>
      </c>
      <c r="C42" s="9">
        <f>-EPM($B$3,$B$4,1,$A42,"period_net_amount")</f>
        <v/>
      </c>
      <c r="D42" s="9">
        <f>-EPM($B$3,$B$4,2,$A42,"period_net_amount")</f>
        <v/>
      </c>
      <c r="E42" s="9">
        <f>-EPM($B$3,$B$4,3,$A42,"period_net_amount")</f>
        <v/>
      </c>
      <c r="F42" s="9">
        <f>-EPM($B$3,$B$4,"Q1",$A42,"period_net_amount")</f>
        <v/>
      </c>
      <c r="G42" s="9">
        <f>-EPM($B$3,$B$4,4,$A42,"period_net_amount")</f>
        <v/>
      </c>
      <c r="H42" s="9">
        <f>-EPM($B$3,$B$4,5,$A42,"period_net_amount")</f>
        <v/>
      </c>
      <c r="I42" s="9">
        <f>-EPM($B$3,$B$4,6,$A42,"period_net_amount")</f>
        <v/>
      </c>
      <c r="J42" s="9">
        <f>-EPM($B$3,$B$4,"Q2",$A42,"period_net_amount")</f>
        <v/>
      </c>
      <c r="K42" s="9">
        <f>-EPM($B$3,$B$4,7,$A42,"period_net_amount")</f>
        <v/>
      </c>
      <c r="L42" s="9">
        <f>-EPM($B$3,$B$4,8,$A42,"period_net_amount")</f>
        <v/>
      </c>
      <c r="M42" s="9">
        <f>-EPM($B$3,$B$4,9,$A42,"period_net_amount")</f>
        <v/>
      </c>
      <c r="N42" s="9">
        <f>-EPM($B$3,$B$4,"Q3",$A42,"period_net_amount")</f>
        <v/>
      </c>
      <c r="O42" s="9">
        <f>-EPM($B$3,$B$4,10,$A42,"period_net_amount")</f>
        <v/>
      </c>
      <c r="P42" s="9">
        <f>-EPM($B$3,$B$4,11,$A42,"period_net_amount")</f>
        <v/>
      </c>
      <c r="Q42" s="9">
        <f>-EPM($B$3,$B$4,12,$A42,"period_net_amount")</f>
        <v/>
      </c>
      <c r="R42" s="9">
        <f>-EPM($B$3,$B$4,"Q4",$A42,"period_net_amount")</f>
        <v/>
      </c>
      <c r="S42" s="9">
        <f>-EPM($B$3,$B$4,"H1",$A42,"period_net_amount")</f>
        <v/>
      </c>
      <c r="T42" s="9">
        <f>-EPM($B$3,$B$4,"H2",$A42,"period_net_amount")</f>
        <v/>
      </c>
      <c r="U42" s="9">
        <f>-EPM($B$3,$B$4,"FY",$A42,"period_net_amount")</f>
        <v/>
      </c>
    </row>
    <row r="43">
      <c r="A43" s="10" t="inlineStr">
        <is>
          <t>605150</t>
        </is>
      </c>
      <c r="B43" s="11" t="inlineStr">
        <is>
          <t>Rent Expense</t>
        </is>
      </c>
      <c r="C43" s="12">
        <f>-EPM($B$3,$B$4,1,$A43,"period_net_amount")</f>
        <v/>
      </c>
      <c r="D43" s="12">
        <f>-EPM($B$3,$B$4,2,$A43,"period_net_amount")</f>
        <v/>
      </c>
      <c r="E43" s="12">
        <f>-EPM($B$3,$B$4,3,$A43,"period_net_amount")</f>
        <v/>
      </c>
      <c r="F43" s="12">
        <f>-EPM($B$3,$B$4,"Q1",$A43,"period_net_amount")</f>
        <v/>
      </c>
      <c r="G43" s="12">
        <f>-EPM($B$3,$B$4,4,$A43,"period_net_amount")</f>
        <v/>
      </c>
      <c r="H43" s="12">
        <f>-EPM($B$3,$B$4,5,$A43,"period_net_amount")</f>
        <v/>
      </c>
      <c r="I43" s="12">
        <f>-EPM($B$3,$B$4,6,$A43,"period_net_amount")</f>
        <v/>
      </c>
      <c r="J43" s="12">
        <f>-EPM($B$3,$B$4,"Q2",$A43,"period_net_amount")</f>
        <v/>
      </c>
      <c r="K43" s="12">
        <f>-EPM($B$3,$B$4,7,$A43,"period_net_amount")</f>
        <v/>
      </c>
      <c r="L43" s="12">
        <f>-EPM($B$3,$B$4,8,$A43,"period_net_amount")</f>
        <v/>
      </c>
      <c r="M43" s="12">
        <f>-EPM($B$3,$B$4,9,$A43,"period_net_amount")</f>
        <v/>
      </c>
      <c r="N43" s="12">
        <f>-EPM($B$3,$B$4,"Q3",$A43,"period_net_amount")</f>
        <v/>
      </c>
      <c r="O43" s="12">
        <f>-EPM($B$3,$B$4,10,$A43,"period_net_amount")</f>
        <v/>
      </c>
      <c r="P43" s="12">
        <f>-EPM($B$3,$B$4,11,$A43,"period_net_amount")</f>
        <v/>
      </c>
      <c r="Q43" s="12">
        <f>-EPM($B$3,$B$4,12,$A43,"period_net_amount")</f>
        <v/>
      </c>
      <c r="R43" s="12">
        <f>-EPM($B$3,$B$4,"Q4",$A43,"period_net_amount")</f>
        <v/>
      </c>
      <c r="S43" s="12">
        <f>-EPM($B$3,$B$4,"H1",$A43,"period_net_amount")</f>
        <v/>
      </c>
      <c r="T43" s="12">
        <f>-EPM($B$3,$B$4,"H2",$A43,"period_net_amount")</f>
        <v/>
      </c>
      <c r="U43" s="12">
        <f>-EPM($B$3,$B$4,"FY",$A43,"period_net_amount")</f>
        <v/>
      </c>
    </row>
    <row r="44">
      <c r="A44" s="7" t="inlineStr">
        <is>
          <t>605160</t>
        </is>
      </c>
      <c r="B44" s="8" t="inlineStr">
        <is>
          <t>Utilities</t>
        </is>
      </c>
      <c r="C44" s="9">
        <f>-EPM($B$3,$B$4,1,$A44,"period_net_amount")</f>
        <v/>
      </c>
      <c r="D44" s="9">
        <f>-EPM($B$3,$B$4,2,$A44,"period_net_amount")</f>
        <v/>
      </c>
      <c r="E44" s="9">
        <f>-EPM($B$3,$B$4,3,$A44,"period_net_amount")</f>
        <v/>
      </c>
      <c r="F44" s="9">
        <f>-EPM($B$3,$B$4,"Q1",$A44,"period_net_amount")</f>
        <v/>
      </c>
      <c r="G44" s="9">
        <f>-EPM($B$3,$B$4,4,$A44,"period_net_amount")</f>
        <v/>
      </c>
      <c r="H44" s="9">
        <f>-EPM($B$3,$B$4,5,$A44,"period_net_amount")</f>
        <v/>
      </c>
      <c r="I44" s="9">
        <f>-EPM($B$3,$B$4,6,$A44,"period_net_amount")</f>
        <v/>
      </c>
      <c r="J44" s="9">
        <f>-EPM($B$3,$B$4,"Q2",$A44,"period_net_amount")</f>
        <v/>
      </c>
      <c r="K44" s="9">
        <f>-EPM($B$3,$B$4,7,$A44,"period_net_amount")</f>
        <v/>
      </c>
      <c r="L44" s="9">
        <f>-EPM($B$3,$B$4,8,$A44,"period_net_amount")</f>
        <v/>
      </c>
      <c r="M44" s="9">
        <f>-EPM($B$3,$B$4,9,$A44,"period_net_amount")</f>
        <v/>
      </c>
      <c r="N44" s="9">
        <f>-EPM($B$3,$B$4,"Q3",$A44,"period_net_amount")</f>
        <v/>
      </c>
      <c r="O44" s="9">
        <f>-EPM($B$3,$B$4,10,$A44,"period_net_amount")</f>
        <v/>
      </c>
      <c r="P44" s="9">
        <f>-EPM($B$3,$B$4,11,$A44,"period_net_amount")</f>
        <v/>
      </c>
      <c r="Q44" s="9">
        <f>-EPM($B$3,$B$4,12,$A44,"period_net_amount")</f>
        <v/>
      </c>
      <c r="R44" s="9">
        <f>-EPM($B$3,$B$4,"Q4",$A44,"period_net_amount")</f>
        <v/>
      </c>
      <c r="S44" s="9">
        <f>-EPM($B$3,$B$4,"H1",$A44,"period_net_amount")</f>
        <v/>
      </c>
      <c r="T44" s="9">
        <f>-EPM($B$3,$B$4,"H2",$A44,"period_net_amount")</f>
        <v/>
      </c>
      <c r="U44" s="9">
        <f>-EPM($B$3,$B$4,"FY",$A44,"period_net_amount")</f>
        <v/>
      </c>
    </row>
    <row r="45">
      <c r="A45" s="10" t="inlineStr">
        <is>
          <t>606200</t>
        </is>
      </c>
      <c r="B45" s="11" t="inlineStr">
        <is>
          <t>Insurance Expense</t>
        </is>
      </c>
      <c r="C45" s="12">
        <f>-EPM($B$3,$B$4,1,$A45,"period_net_amount")</f>
        <v/>
      </c>
      <c r="D45" s="12">
        <f>-EPM($B$3,$B$4,2,$A45,"period_net_amount")</f>
        <v/>
      </c>
      <c r="E45" s="12">
        <f>-EPM($B$3,$B$4,3,$A45,"period_net_amount")</f>
        <v/>
      </c>
      <c r="F45" s="12">
        <f>-EPM($B$3,$B$4,"Q1",$A45,"period_net_amount")</f>
        <v/>
      </c>
      <c r="G45" s="12">
        <f>-EPM($B$3,$B$4,4,$A45,"period_net_amount")</f>
        <v/>
      </c>
      <c r="H45" s="12">
        <f>-EPM($B$3,$B$4,5,$A45,"period_net_amount")</f>
        <v/>
      </c>
      <c r="I45" s="12">
        <f>-EPM($B$3,$B$4,6,$A45,"period_net_amount")</f>
        <v/>
      </c>
      <c r="J45" s="12">
        <f>-EPM($B$3,$B$4,"Q2",$A45,"period_net_amount")</f>
        <v/>
      </c>
      <c r="K45" s="12">
        <f>-EPM($B$3,$B$4,7,$A45,"period_net_amount")</f>
        <v/>
      </c>
      <c r="L45" s="12">
        <f>-EPM($B$3,$B$4,8,$A45,"period_net_amount")</f>
        <v/>
      </c>
      <c r="M45" s="12">
        <f>-EPM($B$3,$B$4,9,$A45,"period_net_amount")</f>
        <v/>
      </c>
      <c r="N45" s="12">
        <f>-EPM($B$3,$B$4,"Q3",$A45,"period_net_amount")</f>
        <v/>
      </c>
      <c r="O45" s="12">
        <f>-EPM($B$3,$B$4,10,$A45,"period_net_amount")</f>
        <v/>
      </c>
      <c r="P45" s="12">
        <f>-EPM($B$3,$B$4,11,$A45,"period_net_amount")</f>
        <v/>
      </c>
      <c r="Q45" s="12">
        <f>-EPM($B$3,$B$4,12,$A45,"period_net_amount")</f>
        <v/>
      </c>
      <c r="R45" s="12">
        <f>-EPM($B$3,$B$4,"Q4",$A45,"period_net_amount")</f>
        <v/>
      </c>
      <c r="S45" s="12">
        <f>-EPM($B$3,$B$4,"H1",$A45,"period_net_amount")</f>
        <v/>
      </c>
      <c r="T45" s="12">
        <f>-EPM($B$3,$B$4,"H2",$A45,"period_net_amount")</f>
        <v/>
      </c>
      <c r="U45" s="12">
        <f>-EPM($B$3,$B$4,"FY",$A45,"period_net_amount")</f>
        <v/>
      </c>
    </row>
    <row r="46">
      <c r="A46" s="7" t="inlineStr">
        <is>
          <t>606300</t>
        </is>
      </c>
      <c r="B46" s="8" t="inlineStr">
        <is>
          <t>Office Expense</t>
        </is>
      </c>
      <c r="C46" s="9">
        <f>-EPM($B$3,$B$4,1,$A46,"period_net_amount")</f>
        <v/>
      </c>
      <c r="D46" s="9">
        <f>-EPM($B$3,$B$4,2,$A46,"period_net_amount")</f>
        <v/>
      </c>
      <c r="E46" s="9">
        <f>-EPM($B$3,$B$4,3,$A46,"period_net_amount")</f>
        <v/>
      </c>
      <c r="F46" s="9">
        <f>-EPM($B$3,$B$4,"Q1",$A46,"period_net_amount")</f>
        <v/>
      </c>
      <c r="G46" s="9">
        <f>-EPM($B$3,$B$4,4,$A46,"period_net_amount")</f>
        <v/>
      </c>
      <c r="H46" s="9">
        <f>-EPM($B$3,$B$4,5,$A46,"period_net_amount")</f>
        <v/>
      </c>
      <c r="I46" s="9">
        <f>-EPM($B$3,$B$4,6,$A46,"period_net_amount")</f>
        <v/>
      </c>
      <c r="J46" s="9">
        <f>-EPM($B$3,$B$4,"Q2",$A46,"period_net_amount")</f>
        <v/>
      </c>
      <c r="K46" s="9">
        <f>-EPM($B$3,$B$4,7,$A46,"period_net_amount")</f>
        <v/>
      </c>
      <c r="L46" s="9">
        <f>-EPM($B$3,$B$4,8,$A46,"period_net_amount")</f>
        <v/>
      </c>
      <c r="M46" s="9">
        <f>-EPM($B$3,$B$4,9,$A46,"period_net_amount")</f>
        <v/>
      </c>
      <c r="N46" s="9">
        <f>-EPM($B$3,$B$4,"Q3",$A46,"period_net_amount")</f>
        <v/>
      </c>
      <c r="O46" s="9">
        <f>-EPM($B$3,$B$4,10,$A46,"period_net_amount")</f>
        <v/>
      </c>
      <c r="P46" s="9">
        <f>-EPM($B$3,$B$4,11,$A46,"period_net_amount")</f>
        <v/>
      </c>
      <c r="Q46" s="9">
        <f>-EPM($B$3,$B$4,12,$A46,"period_net_amount")</f>
        <v/>
      </c>
      <c r="R46" s="9">
        <f>-EPM($B$3,$B$4,"Q4",$A46,"period_net_amount")</f>
        <v/>
      </c>
      <c r="S46" s="9">
        <f>-EPM($B$3,$B$4,"H1",$A46,"period_net_amount")</f>
        <v/>
      </c>
      <c r="T46" s="9">
        <f>-EPM($B$3,$B$4,"H2",$A46,"period_net_amount")</f>
        <v/>
      </c>
      <c r="U46" s="9">
        <f>-EPM($B$3,$B$4,"FY",$A46,"period_net_amount")</f>
        <v/>
      </c>
    </row>
    <row r="47">
      <c r="A47" s="10" t="inlineStr">
        <is>
          <t>607200</t>
        </is>
      </c>
      <c r="B47" s="11" t="inlineStr">
        <is>
          <t>Depreciation - Tangible</t>
        </is>
      </c>
      <c r="C47" s="12">
        <f>-EPM($B$3,$B$4,1,$A47,"period_net_amount")</f>
        <v/>
      </c>
      <c r="D47" s="12">
        <f>-EPM($B$3,$B$4,2,$A47,"period_net_amount")</f>
        <v/>
      </c>
      <c r="E47" s="12">
        <f>-EPM($B$3,$B$4,3,$A47,"period_net_amount")</f>
        <v/>
      </c>
      <c r="F47" s="12">
        <f>-EPM($B$3,$B$4,"Q1",$A47,"period_net_amount")</f>
        <v/>
      </c>
      <c r="G47" s="12">
        <f>-EPM($B$3,$B$4,4,$A47,"period_net_amount")</f>
        <v/>
      </c>
      <c r="H47" s="12">
        <f>-EPM($B$3,$B$4,5,$A47,"period_net_amount")</f>
        <v/>
      </c>
      <c r="I47" s="12">
        <f>-EPM($B$3,$B$4,6,$A47,"period_net_amount")</f>
        <v/>
      </c>
      <c r="J47" s="12">
        <f>-EPM($B$3,$B$4,"Q2",$A47,"period_net_amount")</f>
        <v/>
      </c>
      <c r="K47" s="12">
        <f>-EPM($B$3,$B$4,7,$A47,"period_net_amount")</f>
        <v/>
      </c>
      <c r="L47" s="12">
        <f>-EPM($B$3,$B$4,8,$A47,"period_net_amount")</f>
        <v/>
      </c>
      <c r="M47" s="12">
        <f>-EPM($B$3,$B$4,9,$A47,"period_net_amount")</f>
        <v/>
      </c>
      <c r="N47" s="12">
        <f>-EPM($B$3,$B$4,"Q3",$A47,"period_net_amount")</f>
        <v/>
      </c>
      <c r="O47" s="12">
        <f>-EPM($B$3,$B$4,10,$A47,"period_net_amount")</f>
        <v/>
      </c>
      <c r="P47" s="12">
        <f>-EPM($B$3,$B$4,11,$A47,"period_net_amount")</f>
        <v/>
      </c>
      <c r="Q47" s="12">
        <f>-EPM($B$3,$B$4,12,$A47,"period_net_amount")</f>
        <v/>
      </c>
      <c r="R47" s="12">
        <f>-EPM($B$3,$B$4,"Q4",$A47,"period_net_amount")</f>
        <v/>
      </c>
      <c r="S47" s="12">
        <f>-EPM($B$3,$B$4,"H1",$A47,"period_net_amount")</f>
        <v/>
      </c>
      <c r="T47" s="12">
        <f>-EPM($B$3,$B$4,"H2",$A47,"period_net_amount")</f>
        <v/>
      </c>
      <c r="U47" s="12">
        <f>-EPM($B$3,$B$4,"FY",$A47,"period_net_amount")</f>
        <v/>
      </c>
    </row>
    <row r="48">
      <c r="A48" s="7" t="inlineStr">
        <is>
          <t>618900</t>
        </is>
      </c>
      <c r="B48" s="8" t="inlineStr">
        <is>
          <t>Miscellaneous Expense</t>
        </is>
      </c>
      <c r="C48" s="9">
        <f>-EPM($B$3,$B$4,1,$A48,"period_net_amount")</f>
        <v/>
      </c>
      <c r="D48" s="9">
        <f>-EPM($B$3,$B$4,2,$A48,"period_net_amount")</f>
        <v/>
      </c>
      <c r="E48" s="9">
        <f>-EPM($B$3,$B$4,3,$A48,"period_net_amount")</f>
        <v/>
      </c>
      <c r="F48" s="9">
        <f>-EPM($B$3,$B$4,"Q1",$A48,"period_net_amount")</f>
        <v/>
      </c>
      <c r="G48" s="9">
        <f>-EPM($B$3,$B$4,4,$A48,"period_net_amount")</f>
        <v/>
      </c>
      <c r="H48" s="9">
        <f>-EPM($B$3,$B$4,5,$A48,"period_net_amount")</f>
        <v/>
      </c>
      <c r="I48" s="9">
        <f>-EPM($B$3,$B$4,6,$A48,"period_net_amount")</f>
        <v/>
      </c>
      <c r="J48" s="9">
        <f>-EPM($B$3,$B$4,"Q2",$A48,"period_net_amount")</f>
        <v/>
      </c>
      <c r="K48" s="9">
        <f>-EPM($B$3,$B$4,7,$A48,"period_net_amount")</f>
        <v/>
      </c>
      <c r="L48" s="9">
        <f>-EPM($B$3,$B$4,8,$A48,"period_net_amount")</f>
        <v/>
      </c>
      <c r="M48" s="9">
        <f>-EPM($B$3,$B$4,9,$A48,"period_net_amount")</f>
        <v/>
      </c>
      <c r="N48" s="9">
        <f>-EPM($B$3,$B$4,"Q3",$A48,"period_net_amount")</f>
        <v/>
      </c>
      <c r="O48" s="9">
        <f>-EPM($B$3,$B$4,10,$A48,"period_net_amount")</f>
        <v/>
      </c>
      <c r="P48" s="9">
        <f>-EPM($B$3,$B$4,11,$A48,"period_net_amount")</f>
        <v/>
      </c>
      <c r="Q48" s="9">
        <f>-EPM($B$3,$B$4,12,$A48,"period_net_amount")</f>
        <v/>
      </c>
      <c r="R48" s="9">
        <f>-EPM($B$3,$B$4,"Q4",$A48,"period_net_amount")</f>
        <v/>
      </c>
      <c r="S48" s="9">
        <f>-EPM($B$3,$B$4,"H1",$A48,"period_net_amount")</f>
        <v/>
      </c>
      <c r="T48" s="9">
        <f>-EPM($B$3,$B$4,"H2",$A48,"period_net_amount")</f>
        <v/>
      </c>
      <c r="U48" s="9">
        <f>-EPM($B$3,$B$4,"FY",$A48,"period_net_amount")</f>
        <v/>
      </c>
    </row>
    <row r="49">
      <c r="A49" s="13" t="n"/>
      <c r="B49" s="14" t="inlineStr">
        <is>
          <t>Total Operating Expenses</t>
        </is>
      </c>
      <c r="C49" s="15">
        <f>C34+C35+C36+C37+C38+C39+C40+C41+C42+C43+C44+C45+C46+C47+C48</f>
        <v/>
      </c>
      <c r="D49" s="15">
        <f>D34+D35+D36+D37+D38+D39+D40+D41+D42+D43+D44+D45+D46+D47+D48</f>
        <v/>
      </c>
      <c r="E49" s="15">
        <f>E34+E35+E36+E37+E38+E39+E40+E41+E42+E43+E44+E45+E46+E47+E48</f>
        <v/>
      </c>
      <c r="F49" s="15">
        <f>F34+F35+F36+F37+F38+F39+F40+F41+F42+F43+F44+F45+F46+F47+F48</f>
        <v/>
      </c>
      <c r="G49" s="15">
        <f>G34+G35+G36+G37+G38+G39+G40+G41+G42+G43+G44+G45+G46+G47+G48</f>
        <v/>
      </c>
      <c r="H49" s="15">
        <f>H34+H35+H36+H37+H38+H39+H40+H41+H42+H43+H44+H45+H46+H47+H48</f>
        <v/>
      </c>
      <c r="I49" s="15">
        <f>I34+I35+I36+I37+I38+I39+I40+I41+I42+I43+I44+I45+I46+I47+I48</f>
        <v/>
      </c>
      <c r="J49" s="15">
        <f>J34+J35+J36+J37+J38+J39+J40+J41+J42+J43+J44+J45+J46+J47+J48</f>
        <v/>
      </c>
      <c r="K49" s="15">
        <f>K34+K35+K36+K37+K38+K39+K40+K41+K42+K43+K44+K45+K46+K47+K48</f>
        <v/>
      </c>
      <c r="L49" s="15">
        <f>L34+L35+L36+L37+L38+L39+L40+L41+L42+L43+L44+L45+L46+L47+L48</f>
        <v/>
      </c>
      <c r="M49" s="15">
        <f>M34+M35+M36+M37+M38+M39+M40+M41+M42+M43+M44+M45+M46+M47+M48</f>
        <v/>
      </c>
      <c r="N49" s="15">
        <f>N34+N35+N36+N37+N38+N39+N40+N41+N42+N43+N44+N45+N46+N47+N48</f>
        <v/>
      </c>
      <c r="O49" s="15">
        <f>O34+O35+O36+O37+O38+O39+O40+O41+O42+O43+O44+O45+O46+O47+O48</f>
        <v/>
      </c>
      <c r="P49" s="15">
        <f>P34+P35+P36+P37+P38+P39+P40+P41+P42+P43+P44+P45+P46+P47+P48</f>
        <v/>
      </c>
      <c r="Q49" s="15">
        <f>Q34+Q35+Q36+Q37+Q38+Q39+Q40+Q41+Q42+Q43+Q44+Q45+Q46+Q47+Q48</f>
        <v/>
      </c>
      <c r="R49" s="15">
        <f>R34+R35+R36+R37+R38+R39+R40+R41+R42+R43+R44+R45+R46+R47+R48</f>
        <v/>
      </c>
      <c r="S49" s="15">
        <f>S34+S35+S36+S37+S38+S39+S40+S41+S42+S43+S44+S45+S46+S47+S48</f>
        <v/>
      </c>
      <c r="T49" s="15">
        <f>T34+T35+T36+T37+T38+T39+T40+T41+T42+T43+T44+T45+T46+T47+T48</f>
        <v/>
      </c>
      <c r="U49" s="15">
        <f>U34+U35+U36+U37+U38+U39+U40+U41+U42+U43+U44+U45+U46+U47+U48</f>
        <v/>
      </c>
    </row>
    <row r="51">
      <c r="A51" s="13" t="n"/>
      <c r="B51" s="16" t="inlineStr">
        <is>
          <t>Operating Income</t>
        </is>
      </c>
      <c r="C51" s="17">
        <f>C31-C49</f>
        <v/>
      </c>
      <c r="D51" s="17">
        <f>D31-D49</f>
        <v/>
      </c>
      <c r="E51" s="17">
        <f>E31-E49</f>
        <v/>
      </c>
      <c r="F51" s="17">
        <f>F31-F49</f>
        <v/>
      </c>
      <c r="G51" s="17">
        <f>G31-G49</f>
        <v/>
      </c>
      <c r="H51" s="17">
        <f>H31-H49</f>
        <v/>
      </c>
      <c r="I51" s="17">
        <f>I31-I49</f>
        <v/>
      </c>
      <c r="J51" s="17">
        <f>J31-J49</f>
        <v/>
      </c>
      <c r="K51" s="17">
        <f>K31-K49</f>
        <v/>
      </c>
      <c r="L51" s="17">
        <f>L31-L49</f>
        <v/>
      </c>
      <c r="M51" s="17">
        <f>M31-M49</f>
        <v/>
      </c>
      <c r="N51" s="17">
        <f>N31-N49</f>
        <v/>
      </c>
      <c r="O51" s="17">
        <f>O31-O49</f>
        <v/>
      </c>
      <c r="P51" s="17">
        <f>P31-P49</f>
        <v/>
      </c>
      <c r="Q51" s="17">
        <f>Q31-Q49</f>
        <v/>
      </c>
      <c r="R51" s="17">
        <f>R31-R49</f>
        <v/>
      </c>
      <c r="S51" s="17">
        <f>S31-S49</f>
        <v/>
      </c>
      <c r="T51" s="17">
        <f>T31-T49</f>
        <v/>
      </c>
      <c r="U51" s="17">
        <f>U31-U49</f>
        <v/>
      </c>
    </row>
    <row r="53">
      <c r="B53" s="3" t="inlineStr">
        <is>
          <t>Other Income / Expense</t>
        </is>
      </c>
    </row>
    <row r="54">
      <c r="A54" s="7" t="inlineStr">
        <is>
          <t>700200</t>
        </is>
      </c>
      <c r="B54" s="8" t="inlineStr">
        <is>
          <t>Interest Income - Customers</t>
        </is>
      </c>
      <c r="C54" s="9">
        <f>-EPM($B$3,$B$4,1,$A54,"period_net_amount")</f>
        <v/>
      </c>
      <c r="D54" s="9">
        <f>-EPM($B$3,$B$4,2,$A54,"period_net_amount")</f>
        <v/>
      </c>
      <c r="E54" s="9">
        <f>-EPM($B$3,$B$4,3,$A54,"period_net_amount")</f>
        <v/>
      </c>
      <c r="F54" s="9">
        <f>-EPM($B$3,$B$4,"Q1",$A54,"period_net_amount")</f>
        <v/>
      </c>
      <c r="G54" s="9">
        <f>-EPM($B$3,$B$4,4,$A54,"period_net_amount")</f>
        <v/>
      </c>
      <c r="H54" s="9">
        <f>-EPM($B$3,$B$4,5,$A54,"period_net_amount")</f>
        <v/>
      </c>
      <c r="I54" s="9">
        <f>-EPM($B$3,$B$4,6,$A54,"period_net_amount")</f>
        <v/>
      </c>
      <c r="J54" s="9">
        <f>-EPM($B$3,$B$4,"Q2",$A54,"period_net_amount")</f>
        <v/>
      </c>
      <c r="K54" s="9">
        <f>-EPM($B$3,$B$4,7,$A54,"period_net_amount")</f>
        <v/>
      </c>
      <c r="L54" s="9">
        <f>-EPM($B$3,$B$4,8,$A54,"period_net_amount")</f>
        <v/>
      </c>
      <c r="M54" s="9">
        <f>-EPM($B$3,$B$4,9,$A54,"period_net_amount")</f>
        <v/>
      </c>
      <c r="N54" s="9">
        <f>-EPM($B$3,$B$4,"Q3",$A54,"period_net_amount")</f>
        <v/>
      </c>
      <c r="O54" s="9">
        <f>-EPM($B$3,$B$4,10,$A54,"period_net_amount")</f>
        <v/>
      </c>
      <c r="P54" s="9">
        <f>-EPM($B$3,$B$4,11,$A54,"period_net_amount")</f>
        <v/>
      </c>
      <c r="Q54" s="9">
        <f>-EPM($B$3,$B$4,12,$A54,"period_net_amount")</f>
        <v/>
      </c>
      <c r="R54" s="9">
        <f>-EPM($B$3,$B$4,"Q4",$A54,"period_net_amount")</f>
        <v/>
      </c>
      <c r="S54" s="9">
        <f>-EPM($B$3,$B$4,"H1",$A54,"period_net_amount")</f>
        <v/>
      </c>
      <c r="T54" s="9">
        <f>-EPM($B$3,$B$4,"H2",$A54,"period_net_amount")</f>
        <v/>
      </c>
      <c r="U54" s="9">
        <f>-EPM($B$3,$B$4,"FY",$A54,"period_net_amount")</f>
        <v/>
      </c>
    </row>
    <row r="55">
      <c r="A55" s="10" t="inlineStr">
        <is>
          <t>800200</t>
        </is>
      </c>
      <c r="B55" s="11" t="inlineStr">
        <is>
          <t>Partners - Interest</t>
        </is>
      </c>
      <c r="C55" s="12">
        <f>-EPM($B$3,$B$4,1,$A55,"period_net_amount")</f>
        <v/>
      </c>
      <c r="D55" s="12">
        <f>-EPM($B$3,$B$4,2,$A55,"period_net_amount")</f>
        <v/>
      </c>
      <c r="E55" s="12">
        <f>-EPM($B$3,$B$4,3,$A55,"period_net_amount")</f>
        <v/>
      </c>
      <c r="F55" s="12">
        <f>-EPM($B$3,$B$4,"Q1",$A55,"period_net_amount")</f>
        <v/>
      </c>
      <c r="G55" s="12">
        <f>-EPM($B$3,$B$4,4,$A55,"period_net_amount")</f>
        <v/>
      </c>
      <c r="H55" s="12">
        <f>-EPM($B$3,$B$4,5,$A55,"period_net_amount")</f>
        <v/>
      </c>
      <c r="I55" s="12">
        <f>-EPM($B$3,$B$4,6,$A55,"period_net_amount")</f>
        <v/>
      </c>
      <c r="J55" s="12">
        <f>-EPM($B$3,$B$4,"Q2",$A55,"period_net_amount")</f>
        <v/>
      </c>
      <c r="K55" s="12">
        <f>-EPM($B$3,$B$4,7,$A55,"period_net_amount")</f>
        <v/>
      </c>
      <c r="L55" s="12">
        <f>-EPM($B$3,$B$4,8,$A55,"period_net_amount")</f>
        <v/>
      </c>
      <c r="M55" s="12">
        <f>-EPM($B$3,$B$4,9,$A55,"period_net_amount")</f>
        <v/>
      </c>
      <c r="N55" s="12">
        <f>-EPM($B$3,$B$4,"Q3",$A55,"period_net_amount")</f>
        <v/>
      </c>
      <c r="O55" s="12">
        <f>-EPM($B$3,$B$4,10,$A55,"period_net_amount")</f>
        <v/>
      </c>
      <c r="P55" s="12">
        <f>-EPM($B$3,$B$4,11,$A55,"period_net_amount")</f>
        <v/>
      </c>
      <c r="Q55" s="12">
        <f>-EPM($B$3,$B$4,12,$A55,"period_net_amount")</f>
        <v/>
      </c>
      <c r="R55" s="12">
        <f>-EPM($B$3,$B$4,"Q4",$A55,"period_net_amount")</f>
        <v/>
      </c>
      <c r="S55" s="12">
        <f>-EPM($B$3,$B$4,"H1",$A55,"period_net_amount")</f>
        <v/>
      </c>
      <c r="T55" s="12">
        <f>-EPM($B$3,$B$4,"H2",$A55,"period_net_amount")</f>
        <v/>
      </c>
      <c r="U55" s="12">
        <f>-EPM($B$3,$B$4,"FY",$A55,"period_net_amount")</f>
        <v/>
      </c>
    </row>
    <row r="56">
      <c r="A56" s="7" t="inlineStr">
        <is>
          <t>801100</t>
        </is>
      </c>
      <c r="B56" s="8" t="inlineStr">
        <is>
          <t>Gain/Loss - Disposal of Assets</t>
        </is>
      </c>
      <c r="C56" s="9">
        <f>-EPM($B$3,$B$4,1,$A56,"period_net_amount")</f>
        <v/>
      </c>
      <c r="D56" s="9">
        <f>-EPM($B$3,$B$4,2,$A56,"period_net_amount")</f>
        <v/>
      </c>
      <c r="E56" s="9">
        <f>-EPM($B$3,$B$4,3,$A56,"period_net_amount")</f>
        <v/>
      </c>
      <c r="F56" s="9">
        <f>-EPM($B$3,$B$4,"Q1",$A56,"period_net_amount")</f>
        <v/>
      </c>
      <c r="G56" s="9">
        <f>-EPM($B$3,$B$4,4,$A56,"period_net_amount")</f>
        <v/>
      </c>
      <c r="H56" s="9">
        <f>-EPM($B$3,$B$4,5,$A56,"period_net_amount")</f>
        <v/>
      </c>
      <c r="I56" s="9">
        <f>-EPM($B$3,$B$4,6,$A56,"period_net_amount")</f>
        <v/>
      </c>
      <c r="J56" s="9">
        <f>-EPM($B$3,$B$4,"Q2",$A56,"period_net_amount")</f>
        <v/>
      </c>
      <c r="K56" s="9">
        <f>-EPM($B$3,$B$4,7,$A56,"period_net_amount")</f>
        <v/>
      </c>
      <c r="L56" s="9">
        <f>-EPM($B$3,$B$4,8,$A56,"period_net_amount")</f>
        <v/>
      </c>
      <c r="M56" s="9">
        <f>-EPM($B$3,$B$4,9,$A56,"period_net_amount")</f>
        <v/>
      </c>
      <c r="N56" s="9">
        <f>-EPM($B$3,$B$4,"Q3",$A56,"period_net_amount")</f>
        <v/>
      </c>
      <c r="O56" s="9">
        <f>-EPM($B$3,$B$4,10,$A56,"period_net_amount")</f>
        <v/>
      </c>
      <c r="P56" s="9">
        <f>-EPM($B$3,$B$4,11,$A56,"period_net_amount")</f>
        <v/>
      </c>
      <c r="Q56" s="9">
        <f>-EPM($B$3,$B$4,12,$A56,"period_net_amount")</f>
        <v/>
      </c>
      <c r="R56" s="9">
        <f>-EPM($B$3,$B$4,"Q4",$A56,"period_net_amount")</f>
        <v/>
      </c>
      <c r="S56" s="9">
        <f>-EPM($B$3,$B$4,"H1",$A56,"period_net_amount")</f>
        <v/>
      </c>
      <c r="T56" s="9">
        <f>-EPM($B$3,$B$4,"H2",$A56,"period_net_amount")</f>
        <v/>
      </c>
      <c r="U56" s="9">
        <f>-EPM($B$3,$B$4,"FY",$A56,"period_net_amount")</f>
        <v/>
      </c>
    </row>
    <row r="57">
      <c r="A57" s="10" t="inlineStr">
        <is>
          <t>801200</t>
        </is>
      </c>
      <c r="B57" s="11" t="inlineStr">
        <is>
          <t>Gain/Loss - Revaluation</t>
        </is>
      </c>
      <c r="C57" s="12">
        <f>-EPM($B$3,$B$4,1,$A57,"period_net_amount")</f>
        <v/>
      </c>
      <c r="D57" s="12">
        <f>-EPM($B$3,$B$4,2,$A57,"period_net_amount")</f>
        <v/>
      </c>
      <c r="E57" s="12">
        <f>-EPM($B$3,$B$4,3,$A57,"period_net_amount")</f>
        <v/>
      </c>
      <c r="F57" s="12">
        <f>-EPM($B$3,$B$4,"Q1",$A57,"period_net_amount")</f>
        <v/>
      </c>
      <c r="G57" s="12">
        <f>-EPM($B$3,$B$4,4,$A57,"period_net_amount")</f>
        <v/>
      </c>
      <c r="H57" s="12">
        <f>-EPM($B$3,$B$4,5,$A57,"period_net_amount")</f>
        <v/>
      </c>
      <c r="I57" s="12">
        <f>-EPM($B$3,$B$4,6,$A57,"period_net_amount")</f>
        <v/>
      </c>
      <c r="J57" s="12">
        <f>-EPM($B$3,$B$4,"Q2",$A57,"period_net_amount")</f>
        <v/>
      </c>
      <c r="K57" s="12">
        <f>-EPM($B$3,$B$4,7,$A57,"period_net_amount")</f>
        <v/>
      </c>
      <c r="L57" s="12">
        <f>-EPM($B$3,$B$4,8,$A57,"period_net_amount")</f>
        <v/>
      </c>
      <c r="M57" s="12">
        <f>-EPM($B$3,$B$4,9,$A57,"period_net_amount")</f>
        <v/>
      </c>
      <c r="N57" s="12">
        <f>-EPM($B$3,$B$4,"Q3",$A57,"period_net_amount")</f>
        <v/>
      </c>
      <c r="O57" s="12">
        <f>-EPM($B$3,$B$4,10,$A57,"period_net_amount")</f>
        <v/>
      </c>
      <c r="P57" s="12">
        <f>-EPM($B$3,$B$4,11,$A57,"period_net_amount")</f>
        <v/>
      </c>
      <c r="Q57" s="12">
        <f>-EPM($B$3,$B$4,12,$A57,"period_net_amount")</f>
        <v/>
      </c>
      <c r="R57" s="12">
        <f>-EPM($B$3,$B$4,"Q4",$A57,"period_net_amount")</f>
        <v/>
      </c>
      <c r="S57" s="12">
        <f>-EPM($B$3,$B$4,"H1",$A57,"period_net_amount")</f>
        <v/>
      </c>
      <c r="T57" s="12">
        <f>-EPM($B$3,$B$4,"H2",$A57,"period_net_amount")</f>
        <v/>
      </c>
      <c r="U57" s="12">
        <f>-EPM($B$3,$B$4,"FY",$A57,"period_net_amount")</f>
        <v/>
      </c>
    </row>
    <row r="58">
      <c r="A58" s="7" t="inlineStr">
        <is>
          <t>801400</t>
        </is>
      </c>
      <c r="B58" s="8" t="inlineStr">
        <is>
          <t>Currency Loss - Realized</t>
        </is>
      </c>
      <c r="C58" s="9">
        <f>-EPM($B$3,$B$4,1,$A58,"period_net_amount")</f>
        <v/>
      </c>
      <c r="D58" s="9">
        <f>-EPM($B$3,$B$4,2,$A58,"period_net_amount")</f>
        <v/>
      </c>
      <c r="E58" s="9">
        <f>-EPM($B$3,$B$4,3,$A58,"period_net_amount")</f>
        <v/>
      </c>
      <c r="F58" s="9">
        <f>-EPM($B$3,$B$4,"Q1",$A58,"period_net_amount")</f>
        <v/>
      </c>
      <c r="G58" s="9">
        <f>-EPM($B$3,$B$4,4,$A58,"period_net_amount")</f>
        <v/>
      </c>
      <c r="H58" s="9">
        <f>-EPM($B$3,$B$4,5,$A58,"period_net_amount")</f>
        <v/>
      </c>
      <c r="I58" s="9">
        <f>-EPM($B$3,$B$4,6,$A58,"period_net_amount")</f>
        <v/>
      </c>
      <c r="J58" s="9">
        <f>-EPM($B$3,$B$4,"Q2",$A58,"period_net_amount")</f>
        <v/>
      </c>
      <c r="K58" s="9">
        <f>-EPM($B$3,$B$4,7,$A58,"period_net_amount")</f>
        <v/>
      </c>
      <c r="L58" s="9">
        <f>-EPM($B$3,$B$4,8,$A58,"period_net_amount")</f>
        <v/>
      </c>
      <c r="M58" s="9">
        <f>-EPM($B$3,$B$4,9,$A58,"period_net_amount")</f>
        <v/>
      </c>
      <c r="N58" s="9">
        <f>-EPM($B$3,$B$4,"Q3",$A58,"period_net_amount")</f>
        <v/>
      </c>
      <c r="O58" s="9">
        <f>-EPM($B$3,$B$4,10,$A58,"period_net_amount")</f>
        <v/>
      </c>
      <c r="P58" s="9">
        <f>-EPM($B$3,$B$4,11,$A58,"period_net_amount")</f>
        <v/>
      </c>
      <c r="Q58" s="9">
        <f>-EPM($B$3,$B$4,12,$A58,"period_net_amount")</f>
        <v/>
      </c>
      <c r="R58" s="9">
        <f>-EPM($B$3,$B$4,"Q4",$A58,"period_net_amount")</f>
        <v/>
      </c>
      <c r="S58" s="9">
        <f>-EPM($B$3,$B$4,"H1",$A58,"period_net_amount")</f>
        <v/>
      </c>
      <c r="T58" s="9">
        <f>-EPM($B$3,$B$4,"H2",$A58,"period_net_amount")</f>
        <v/>
      </c>
      <c r="U58" s="9">
        <f>-EPM($B$3,$B$4,"FY",$A58,"period_net_amount")</f>
        <v/>
      </c>
    </row>
    <row r="59">
      <c r="A59" s="10" t="inlineStr">
        <is>
          <t>801500</t>
        </is>
      </c>
      <c r="B59" s="11" t="inlineStr">
        <is>
          <t>Currency Gain - Realized</t>
        </is>
      </c>
      <c r="C59" s="12">
        <f>-EPM($B$3,$B$4,1,$A59,"period_net_amount")</f>
        <v/>
      </c>
      <c r="D59" s="12">
        <f>-EPM($B$3,$B$4,2,$A59,"period_net_amount")</f>
        <v/>
      </c>
      <c r="E59" s="12">
        <f>-EPM($B$3,$B$4,3,$A59,"period_net_amount")</f>
        <v/>
      </c>
      <c r="F59" s="12">
        <f>-EPM($B$3,$B$4,"Q1",$A59,"period_net_amount")</f>
        <v/>
      </c>
      <c r="G59" s="12">
        <f>-EPM($B$3,$B$4,4,$A59,"period_net_amount")</f>
        <v/>
      </c>
      <c r="H59" s="12">
        <f>-EPM($B$3,$B$4,5,$A59,"period_net_amount")</f>
        <v/>
      </c>
      <c r="I59" s="12">
        <f>-EPM($B$3,$B$4,6,$A59,"period_net_amount")</f>
        <v/>
      </c>
      <c r="J59" s="12">
        <f>-EPM($B$3,$B$4,"Q2",$A59,"period_net_amount")</f>
        <v/>
      </c>
      <c r="K59" s="12">
        <f>-EPM($B$3,$B$4,7,$A59,"period_net_amount")</f>
        <v/>
      </c>
      <c r="L59" s="12">
        <f>-EPM($B$3,$B$4,8,$A59,"period_net_amount")</f>
        <v/>
      </c>
      <c r="M59" s="12">
        <f>-EPM($B$3,$B$4,9,$A59,"period_net_amount")</f>
        <v/>
      </c>
      <c r="N59" s="12">
        <f>-EPM($B$3,$B$4,"Q3",$A59,"period_net_amount")</f>
        <v/>
      </c>
      <c r="O59" s="12">
        <f>-EPM($B$3,$B$4,10,$A59,"period_net_amount")</f>
        <v/>
      </c>
      <c r="P59" s="12">
        <f>-EPM($B$3,$B$4,11,$A59,"period_net_amount")</f>
        <v/>
      </c>
      <c r="Q59" s="12">
        <f>-EPM($B$3,$B$4,12,$A59,"period_net_amount")</f>
        <v/>
      </c>
      <c r="R59" s="12">
        <f>-EPM($B$3,$B$4,"Q4",$A59,"period_net_amount")</f>
        <v/>
      </c>
      <c r="S59" s="12">
        <f>-EPM($B$3,$B$4,"H1",$A59,"period_net_amount")</f>
        <v/>
      </c>
      <c r="T59" s="12">
        <f>-EPM($B$3,$B$4,"H2",$A59,"period_net_amount")</f>
        <v/>
      </c>
      <c r="U59" s="12">
        <f>-EPM($B$3,$B$4,"FY",$A59,"period_net_amount")</f>
        <v/>
      </c>
    </row>
    <row r="60">
      <c r="A60" s="13" t="n"/>
      <c r="B60" s="14" t="inlineStr">
        <is>
          <t>Total Other Income/Expense</t>
        </is>
      </c>
      <c r="C60" s="15">
        <f>C54+C55+C56+C57+C58+C59</f>
        <v/>
      </c>
      <c r="D60" s="15">
        <f>D54+D55+D56+D57+D58+D59</f>
        <v/>
      </c>
      <c r="E60" s="15">
        <f>E54+E55+E56+E57+E58+E59</f>
        <v/>
      </c>
      <c r="F60" s="15">
        <f>F54+F55+F56+F57+F58+F59</f>
        <v/>
      </c>
      <c r="G60" s="15">
        <f>G54+G55+G56+G57+G58+G59</f>
        <v/>
      </c>
      <c r="H60" s="15">
        <f>H54+H55+H56+H57+H58+H59</f>
        <v/>
      </c>
      <c r="I60" s="15">
        <f>I54+I55+I56+I57+I58+I59</f>
        <v/>
      </c>
      <c r="J60" s="15">
        <f>J54+J55+J56+J57+J58+J59</f>
        <v/>
      </c>
      <c r="K60" s="15">
        <f>K54+K55+K56+K57+K58+K59</f>
        <v/>
      </c>
      <c r="L60" s="15">
        <f>L54+L55+L56+L57+L58+L59</f>
        <v/>
      </c>
      <c r="M60" s="15">
        <f>M54+M55+M56+M57+M58+M59</f>
        <v/>
      </c>
      <c r="N60" s="15">
        <f>N54+N55+N56+N57+N58+N59</f>
        <v/>
      </c>
      <c r="O60" s="15">
        <f>O54+O55+O56+O57+O58+O59</f>
        <v/>
      </c>
      <c r="P60" s="15">
        <f>P54+P55+P56+P57+P58+P59</f>
        <v/>
      </c>
      <c r="Q60" s="15">
        <f>Q54+Q55+Q56+Q57+Q58+Q59</f>
        <v/>
      </c>
      <c r="R60" s="15">
        <f>R54+R55+R56+R57+R58+R59</f>
        <v/>
      </c>
      <c r="S60" s="15">
        <f>S54+S55+S56+S57+S58+S59</f>
        <v/>
      </c>
      <c r="T60" s="15">
        <f>T54+T55+T56+T57+T58+T59</f>
        <v/>
      </c>
      <c r="U60" s="15">
        <f>U54+U55+U56+U57+U58+U59</f>
        <v/>
      </c>
    </row>
    <row r="62">
      <c r="A62" s="13" t="n"/>
      <c r="B62" s="16" t="inlineStr">
        <is>
          <t>Net Income Before Tax</t>
        </is>
      </c>
      <c r="C62" s="17">
        <f>C51+C60</f>
        <v/>
      </c>
      <c r="D62" s="17">
        <f>D51+D60</f>
        <v/>
      </c>
      <c r="E62" s="17">
        <f>E51+E60</f>
        <v/>
      </c>
      <c r="F62" s="17">
        <f>F51+F60</f>
        <v/>
      </c>
      <c r="G62" s="17">
        <f>G51+G60</f>
        <v/>
      </c>
      <c r="H62" s="17">
        <f>H51+H60</f>
        <v/>
      </c>
      <c r="I62" s="17">
        <f>I51+I60</f>
        <v/>
      </c>
      <c r="J62" s="17">
        <f>J51+J60</f>
        <v/>
      </c>
      <c r="K62" s="17">
        <f>K51+K60</f>
        <v/>
      </c>
      <c r="L62" s="17">
        <f>L51+L60</f>
        <v/>
      </c>
      <c r="M62" s="17">
        <f>M51+M60</f>
        <v/>
      </c>
      <c r="N62" s="17">
        <f>N51+N60</f>
        <v/>
      </c>
      <c r="O62" s="17">
        <f>O51+O60</f>
        <v/>
      </c>
      <c r="P62" s="17">
        <f>P51+P60</f>
        <v/>
      </c>
      <c r="Q62" s="17">
        <f>Q51+Q60</f>
        <v/>
      </c>
      <c r="R62" s="17">
        <f>R51+R60</f>
        <v/>
      </c>
      <c r="S62" s="17">
        <f>S51+S60</f>
        <v/>
      </c>
      <c r="T62" s="17">
        <f>T51+T60</f>
        <v/>
      </c>
      <c r="U62" s="17">
        <f>U51+U60</f>
        <v/>
      </c>
    </row>
    <row r="64">
      <c r="B64" s="3" t="inlineStr">
        <is>
          <t>Income Tax</t>
        </is>
      </c>
    </row>
    <row r="65">
      <c r="A65" s="7" t="inlineStr">
        <is>
          <t>802100</t>
        </is>
      </c>
      <c r="B65" s="8" t="inlineStr">
        <is>
          <t>Federal Income Tax</t>
        </is>
      </c>
      <c r="C65" s="9">
        <f>-EPM($B$3,$B$4,1,$A65,"period_net_amount")</f>
        <v/>
      </c>
      <c r="D65" s="9">
        <f>-EPM($B$3,$B$4,2,$A65,"period_net_amount")</f>
        <v/>
      </c>
      <c r="E65" s="9">
        <f>-EPM($B$3,$B$4,3,$A65,"period_net_amount")</f>
        <v/>
      </c>
      <c r="F65" s="9">
        <f>-EPM($B$3,$B$4,"Q1",$A65,"period_net_amount")</f>
        <v/>
      </c>
      <c r="G65" s="9">
        <f>-EPM($B$3,$B$4,4,$A65,"period_net_amount")</f>
        <v/>
      </c>
      <c r="H65" s="9">
        <f>-EPM($B$3,$B$4,5,$A65,"period_net_amount")</f>
        <v/>
      </c>
      <c r="I65" s="9">
        <f>-EPM($B$3,$B$4,6,$A65,"period_net_amount")</f>
        <v/>
      </c>
      <c r="J65" s="9">
        <f>-EPM($B$3,$B$4,"Q2",$A65,"period_net_amount")</f>
        <v/>
      </c>
      <c r="K65" s="9">
        <f>-EPM($B$3,$B$4,7,$A65,"period_net_amount")</f>
        <v/>
      </c>
      <c r="L65" s="9">
        <f>-EPM($B$3,$B$4,8,$A65,"period_net_amount")</f>
        <v/>
      </c>
      <c r="M65" s="9">
        <f>-EPM($B$3,$B$4,9,$A65,"period_net_amount")</f>
        <v/>
      </c>
      <c r="N65" s="9">
        <f>-EPM($B$3,$B$4,"Q3",$A65,"period_net_amount")</f>
        <v/>
      </c>
      <c r="O65" s="9">
        <f>-EPM($B$3,$B$4,10,$A65,"period_net_amount")</f>
        <v/>
      </c>
      <c r="P65" s="9">
        <f>-EPM($B$3,$B$4,11,$A65,"period_net_amount")</f>
        <v/>
      </c>
      <c r="Q65" s="9">
        <f>-EPM($B$3,$B$4,12,$A65,"period_net_amount")</f>
        <v/>
      </c>
      <c r="R65" s="9">
        <f>-EPM($B$3,$B$4,"Q4",$A65,"period_net_amount")</f>
        <v/>
      </c>
      <c r="S65" s="9">
        <f>-EPM($B$3,$B$4,"H1",$A65,"period_net_amount")</f>
        <v/>
      </c>
      <c r="T65" s="9">
        <f>-EPM($B$3,$B$4,"H2",$A65,"period_net_amount")</f>
        <v/>
      </c>
      <c r="U65" s="9">
        <f>-EPM($B$3,$B$4,"FY",$A65,"period_net_amount")</f>
        <v/>
      </c>
    </row>
    <row r="66">
      <c r="A66" s="10" t="inlineStr">
        <is>
          <t>802200</t>
        </is>
      </c>
      <c r="B66" s="11" t="inlineStr">
        <is>
          <t>State Income Tax</t>
        </is>
      </c>
      <c r="C66" s="12">
        <f>-EPM($B$3,$B$4,1,$A66,"period_net_amount")</f>
        <v/>
      </c>
      <c r="D66" s="12">
        <f>-EPM($B$3,$B$4,2,$A66,"period_net_amount")</f>
        <v/>
      </c>
      <c r="E66" s="12">
        <f>-EPM($B$3,$B$4,3,$A66,"period_net_amount")</f>
        <v/>
      </c>
      <c r="F66" s="12">
        <f>-EPM($B$3,$B$4,"Q1",$A66,"period_net_amount")</f>
        <v/>
      </c>
      <c r="G66" s="12">
        <f>-EPM($B$3,$B$4,4,$A66,"period_net_amount")</f>
        <v/>
      </c>
      <c r="H66" s="12">
        <f>-EPM($B$3,$B$4,5,$A66,"period_net_amount")</f>
        <v/>
      </c>
      <c r="I66" s="12">
        <f>-EPM($B$3,$B$4,6,$A66,"period_net_amount")</f>
        <v/>
      </c>
      <c r="J66" s="12">
        <f>-EPM($B$3,$B$4,"Q2",$A66,"period_net_amount")</f>
        <v/>
      </c>
      <c r="K66" s="12">
        <f>-EPM($B$3,$B$4,7,$A66,"period_net_amount")</f>
        <v/>
      </c>
      <c r="L66" s="12">
        <f>-EPM($B$3,$B$4,8,$A66,"period_net_amount")</f>
        <v/>
      </c>
      <c r="M66" s="12">
        <f>-EPM($B$3,$B$4,9,$A66,"period_net_amount")</f>
        <v/>
      </c>
      <c r="N66" s="12">
        <f>-EPM($B$3,$B$4,"Q3",$A66,"period_net_amount")</f>
        <v/>
      </c>
      <c r="O66" s="12">
        <f>-EPM($B$3,$B$4,10,$A66,"period_net_amount")</f>
        <v/>
      </c>
      <c r="P66" s="12">
        <f>-EPM($B$3,$B$4,11,$A66,"period_net_amount")</f>
        <v/>
      </c>
      <c r="Q66" s="12">
        <f>-EPM($B$3,$B$4,12,$A66,"period_net_amount")</f>
        <v/>
      </c>
      <c r="R66" s="12">
        <f>-EPM($B$3,$B$4,"Q4",$A66,"period_net_amount")</f>
        <v/>
      </c>
      <c r="S66" s="12">
        <f>-EPM($B$3,$B$4,"H1",$A66,"period_net_amount")</f>
        <v/>
      </c>
      <c r="T66" s="12">
        <f>-EPM($B$3,$B$4,"H2",$A66,"period_net_amount")</f>
        <v/>
      </c>
      <c r="U66" s="12">
        <f>-EPM($B$3,$B$4,"FY",$A66,"period_net_amount")</f>
        <v/>
      </c>
    </row>
    <row r="67">
      <c r="A67" s="13" t="n"/>
      <c r="B67" s="14" t="inlineStr">
        <is>
          <t>Total Income Tax</t>
        </is>
      </c>
      <c r="C67" s="15">
        <f>C65+C66</f>
        <v/>
      </c>
      <c r="D67" s="15">
        <f>D65+D66</f>
        <v/>
      </c>
      <c r="E67" s="15">
        <f>E65+E66</f>
        <v/>
      </c>
      <c r="F67" s="15">
        <f>F65+F66</f>
        <v/>
      </c>
      <c r="G67" s="15">
        <f>G65+G66</f>
        <v/>
      </c>
      <c r="H67" s="15">
        <f>H65+H66</f>
        <v/>
      </c>
      <c r="I67" s="15">
        <f>I65+I66</f>
        <v/>
      </c>
      <c r="J67" s="15">
        <f>J65+J66</f>
        <v/>
      </c>
      <c r="K67" s="15">
        <f>K65+K66</f>
        <v/>
      </c>
      <c r="L67" s="15">
        <f>L65+L66</f>
        <v/>
      </c>
      <c r="M67" s="15">
        <f>M65+M66</f>
        <v/>
      </c>
      <c r="N67" s="15">
        <f>N65+N66</f>
        <v/>
      </c>
      <c r="O67" s="15">
        <f>O65+O66</f>
        <v/>
      </c>
      <c r="P67" s="15">
        <f>P65+P66</f>
        <v/>
      </c>
      <c r="Q67" s="15">
        <f>Q65+Q66</f>
        <v/>
      </c>
      <c r="R67" s="15">
        <f>R65+R66</f>
        <v/>
      </c>
      <c r="S67" s="15">
        <f>S65+S66</f>
        <v/>
      </c>
      <c r="T67" s="15">
        <f>T65+T66</f>
        <v/>
      </c>
      <c r="U67" s="15">
        <f>U65+U66</f>
        <v/>
      </c>
    </row>
    <row r="69">
      <c r="A69" s="13" t="n"/>
      <c r="B69" s="16" t="inlineStr">
        <is>
          <t>Net Income</t>
        </is>
      </c>
      <c r="C69" s="18">
        <f>C62-C67</f>
        <v/>
      </c>
      <c r="D69" s="18">
        <f>D62-D67</f>
        <v/>
      </c>
      <c r="E69" s="18">
        <f>E62-E67</f>
        <v/>
      </c>
      <c r="F69" s="18">
        <f>F62-F67</f>
        <v/>
      </c>
      <c r="G69" s="18">
        <f>G62-G67</f>
        <v/>
      </c>
      <c r="H69" s="18">
        <f>H62-H67</f>
        <v/>
      </c>
      <c r="I69" s="18">
        <f>I62-I67</f>
        <v/>
      </c>
      <c r="J69" s="18">
        <f>J62-J67</f>
        <v/>
      </c>
      <c r="K69" s="18">
        <f>K62-K67</f>
        <v/>
      </c>
      <c r="L69" s="18">
        <f>L62-L67</f>
        <v/>
      </c>
      <c r="M69" s="18">
        <f>M62-M67</f>
        <v/>
      </c>
      <c r="N69" s="18">
        <f>N62-N67</f>
        <v/>
      </c>
      <c r="O69" s="18">
        <f>O62-O67</f>
        <v/>
      </c>
      <c r="P69" s="18">
        <f>P62-P67</f>
        <v/>
      </c>
      <c r="Q69" s="18">
        <f>Q62-Q67</f>
        <v/>
      </c>
      <c r="R69" s="18">
        <f>R62-R67</f>
        <v/>
      </c>
      <c r="S69" s="18">
        <f>S62-S67</f>
        <v/>
      </c>
      <c r="T69" s="18">
        <f>T62-T67</f>
        <v/>
      </c>
      <c r="U69" s="18">
        <f>U62-U67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9" t="inlineStr">
        <is>
          <t>Balance Sheet</t>
        </is>
      </c>
      <c r="B1" s="20" t="n"/>
      <c r="C1" s="20" t="n"/>
      <c r="D1" s="20" t="n"/>
      <c r="E1" s="20" t="n"/>
      <c r="F1" s="20" t="n"/>
    </row>
    <row r="3">
      <c r="A3" s="21" t="inlineStr">
        <is>
          <t>Entity</t>
        </is>
      </c>
      <c r="B3" s="4" t="inlineStr">
        <is>
          <t>DEMF</t>
        </is>
      </c>
      <c r="D3" s="21" t="inlineStr">
        <is>
          <t>Measure</t>
        </is>
      </c>
      <c r="E3" s="4" t="inlineStr">
        <is>
          <t>ytd_net_amount</t>
        </is>
      </c>
    </row>
    <row r="4">
      <c r="A4" s="21" t="inlineStr">
        <is>
          <t>Year</t>
        </is>
      </c>
      <c r="B4" s="4" t="n">
        <v>2025</v>
      </c>
    </row>
    <row r="6">
      <c r="A6" s="22" t="inlineStr">
        <is>
          <t>Account</t>
        </is>
      </c>
      <c r="B6" s="22" t="inlineStr">
        <is>
          <t>Description</t>
        </is>
      </c>
      <c r="C6" s="23" t="inlineStr">
        <is>
          <t>Q1</t>
        </is>
      </c>
      <c r="D6" s="23" t="inlineStr">
        <is>
          <t>Q2</t>
        </is>
      </c>
      <c r="E6" s="23" t="inlineStr">
        <is>
          <t>Q3</t>
        </is>
      </c>
      <c r="F6" s="23" t="inlineStr">
        <is>
          <t>Q4</t>
        </is>
      </c>
    </row>
    <row r="7">
      <c r="B7" s="21" t="inlineStr">
        <is>
          <t>Current Assets</t>
        </is>
      </c>
    </row>
    <row r="8">
      <c r="A8" s="7" t="inlineStr">
        <is>
          <t>110110</t>
        </is>
      </c>
      <c r="B8" s="8" t="inlineStr">
        <is>
          <t>Bank Account - USD</t>
        </is>
      </c>
      <c r="C8" s="9">
        <f>-EPM($B$3,$B$4,3,$A8,"ytd_net_amount")</f>
        <v/>
      </c>
      <c r="D8" s="9">
        <f>-EPM($B$3,$B$4,6,$A8,"ytd_net_amount")</f>
        <v/>
      </c>
      <c r="E8" s="9">
        <f>-EPM($B$3,$B$4,9,$A8,"ytd_net_amount")</f>
        <v/>
      </c>
      <c r="F8" s="9">
        <f>-EPM($B$3,$B$4,12,$A8,"ytd_net_amount")</f>
        <v/>
      </c>
    </row>
    <row r="9">
      <c r="A9" s="10" t="inlineStr">
        <is>
          <t>110112</t>
        </is>
      </c>
      <c r="B9" s="11" t="inlineStr">
        <is>
          <t>Bank Account - JPY</t>
        </is>
      </c>
      <c r="C9" s="12">
        <f>-EPM($B$3,$B$4,3,$A9,"ytd_net_amount")</f>
        <v/>
      </c>
      <c r="D9" s="12">
        <f>-EPM($B$3,$B$4,6,$A9,"ytd_net_amount")</f>
        <v/>
      </c>
      <c r="E9" s="12">
        <f>-EPM($B$3,$B$4,9,$A9,"ytd_net_amount")</f>
        <v/>
      </c>
      <c r="F9" s="12">
        <f>-EPM($B$3,$B$4,12,$A9,"ytd_net_amount")</f>
        <v/>
      </c>
    </row>
    <row r="10">
      <c r="A10" s="7" t="inlineStr">
        <is>
          <t>110115</t>
        </is>
      </c>
      <c r="B10" s="8" t="inlineStr">
        <is>
          <t>Bank Account - CAD</t>
        </is>
      </c>
      <c r="C10" s="9">
        <f>-EPM($B$3,$B$4,3,$A10,"ytd_net_amount")</f>
        <v/>
      </c>
      <c r="D10" s="9">
        <f>-EPM($B$3,$B$4,6,$A10,"ytd_net_amount")</f>
        <v/>
      </c>
      <c r="E10" s="9">
        <f>-EPM($B$3,$B$4,9,$A10,"ytd_net_amount")</f>
        <v/>
      </c>
      <c r="F10" s="9">
        <f>-EPM($B$3,$B$4,12,$A10,"ytd_net_amount")</f>
        <v/>
      </c>
    </row>
    <row r="11">
      <c r="A11" s="10" t="inlineStr">
        <is>
          <t>110125</t>
        </is>
      </c>
      <c r="B11" s="11" t="inlineStr">
        <is>
          <t>Bank Account - AUD</t>
        </is>
      </c>
      <c r="C11" s="12">
        <f>-EPM($B$3,$B$4,3,$A11,"ytd_net_amount")</f>
        <v/>
      </c>
      <c r="D11" s="12">
        <f>-EPM($B$3,$B$4,6,$A11,"ytd_net_amount")</f>
        <v/>
      </c>
      <c r="E11" s="12">
        <f>-EPM($B$3,$B$4,9,$A11,"ytd_net_amount")</f>
        <v/>
      </c>
      <c r="F11" s="12">
        <f>-EPM($B$3,$B$4,12,$A11,"ytd_net_amount")</f>
        <v/>
      </c>
    </row>
    <row r="12">
      <c r="A12" s="7" t="inlineStr">
        <is>
          <t>110130</t>
        </is>
      </c>
      <c r="B12" s="8" t="inlineStr">
        <is>
          <t>Bank Account - EUR</t>
        </is>
      </c>
      <c r="C12" s="9">
        <f>-EPM($B$3,$B$4,3,$A12,"ytd_net_amount")</f>
        <v/>
      </c>
      <c r="D12" s="9">
        <f>-EPM($B$3,$B$4,6,$A12,"ytd_net_amount")</f>
        <v/>
      </c>
      <c r="E12" s="9">
        <f>-EPM($B$3,$B$4,9,$A12,"ytd_net_amount")</f>
        <v/>
      </c>
      <c r="F12" s="9">
        <f>-EPM($B$3,$B$4,12,$A12,"ytd_net_amount")</f>
        <v/>
      </c>
    </row>
    <row r="13">
      <c r="A13" s="10" t="inlineStr">
        <is>
          <t>110140</t>
        </is>
      </c>
      <c r="B13" s="11" t="inlineStr">
        <is>
          <t>Bank Account - CHF</t>
        </is>
      </c>
      <c r="C13" s="12">
        <f>-EPM($B$3,$B$4,3,$A13,"ytd_net_amount")</f>
        <v/>
      </c>
      <c r="D13" s="12">
        <f>-EPM($B$3,$B$4,6,$A13,"ytd_net_amount")</f>
        <v/>
      </c>
      <c r="E13" s="12">
        <f>-EPM($B$3,$B$4,9,$A13,"ytd_net_amount")</f>
        <v/>
      </c>
      <c r="F13" s="12">
        <f>-EPM($B$3,$B$4,12,$A13,"ytd_net_amount")</f>
        <v/>
      </c>
    </row>
    <row r="14">
      <c r="A14" s="7" t="inlineStr">
        <is>
          <t>110150</t>
        </is>
      </c>
      <c r="B14" s="8" t="inlineStr">
        <is>
          <t>Bank Account - GBP</t>
        </is>
      </c>
      <c r="C14" s="9">
        <f>-EPM($B$3,$B$4,3,$A14,"ytd_net_amount")</f>
        <v/>
      </c>
      <c r="D14" s="9">
        <f>-EPM($B$3,$B$4,6,$A14,"ytd_net_amount")</f>
        <v/>
      </c>
      <c r="E14" s="9">
        <f>-EPM($B$3,$B$4,9,$A14,"ytd_net_amount")</f>
        <v/>
      </c>
      <c r="F14" s="9">
        <f>-EPM($B$3,$B$4,12,$A14,"ytd_net_amount")</f>
        <v/>
      </c>
    </row>
    <row r="15">
      <c r="A15" s="10" t="inlineStr">
        <is>
          <t>110160</t>
        </is>
      </c>
      <c r="B15" s="11" t="inlineStr">
        <is>
          <t>Bank Account - Payroll</t>
        </is>
      </c>
      <c r="C15" s="12">
        <f>-EPM($B$3,$B$4,3,$A15,"ytd_net_amount")</f>
        <v/>
      </c>
      <c r="D15" s="12">
        <f>-EPM($B$3,$B$4,6,$A15,"ytd_net_amount")</f>
        <v/>
      </c>
      <c r="E15" s="12">
        <f>-EPM($B$3,$B$4,9,$A15,"ytd_net_amount")</f>
        <v/>
      </c>
      <c r="F15" s="12">
        <f>-EPM($B$3,$B$4,12,$A15,"ytd_net_amount")</f>
        <v/>
      </c>
    </row>
    <row r="16">
      <c r="A16" s="7" t="inlineStr">
        <is>
          <t>110180</t>
        </is>
      </c>
      <c r="B16" s="8" t="inlineStr">
        <is>
          <t>Petty Cash</t>
        </is>
      </c>
      <c r="C16" s="9">
        <f>-EPM($B$3,$B$4,3,$A16,"ytd_net_amount")</f>
        <v/>
      </c>
      <c r="D16" s="9">
        <f>-EPM($B$3,$B$4,6,$A16,"ytd_net_amount")</f>
        <v/>
      </c>
      <c r="E16" s="9">
        <f>-EPM($B$3,$B$4,9,$A16,"ytd_net_amount")</f>
        <v/>
      </c>
      <c r="F16" s="9">
        <f>-EPM($B$3,$B$4,12,$A16,"ytd_net_amount")</f>
        <v/>
      </c>
    </row>
    <row r="17">
      <c r="A17" s="10" t="inlineStr">
        <is>
          <t>130100</t>
        </is>
      </c>
      <c r="B17" s="11" t="inlineStr">
        <is>
          <t>Accounts Receivable - Domestic</t>
        </is>
      </c>
      <c r="C17" s="12">
        <f>-EPM($B$3,$B$4,3,$A17,"ytd_net_amount")</f>
        <v/>
      </c>
      <c r="D17" s="12">
        <f>-EPM($B$3,$B$4,6,$A17,"ytd_net_amount")</f>
        <v/>
      </c>
      <c r="E17" s="12">
        <f>-EPM($B$3,$B$4,9,$A17,"ytd_net_amount")</f>
        <v/>
      </c>
      <c r="F17" s="12">
        <f>-EPM($B$3,$B$4,12,$A17,"ytd_net_amount")</f>
        <v/>
      </c>
    </row>
    <row r="18">
      <c r="A18" s="7" t="inlineStr">
        <is>
          <t>130110</t>
        </is>
      </c>
      <c r="B18" s="8" t="inlineStr">
        <is>
          <t>Accounts Receivable - Foreign</t>
        </is>
      </c>
      <c r="C18" s="9">
        <f>-EPM($B$3,$B$4,3,$A18,"ytd_net_amount")</f>
        <v/>
      </c>
      <c r="D18" s="9">
        <f>-EPM($B$3,$B$4,6,$A18,"ytd_net_amount")</f>
        <v/>
      </c>
      <c r="E18" s="9">
        <f>-EPM($B$3,$B$4,9,$A18,"ytd_net_amount")</f>
        <v/>
      </c>
      <c r="F18" s="9">
        <f>-EPM($B$3,$B$4,12,$A18,"ytd_net_amount")</f>
        <v/>
      </c>
    </row>
    <row r="19">
      <c r="A19" s="10" t="inlineStr">
        <is>
          <t>130300</t>
        </is>
      </c>
      <c r="B19" s="11" t="inlineStr">
        <is>
          <t>Accounts Receivable - Not Invoiced</t>
        </is>
      </c>
      <c r="C19" s="12">
        <f>-EPM($B$3,$B$4,3,$A19,"ytd_net_amount")</f>
        <v/>
      </c>
      <c r="D19" s="12">
        <f>-EPM($B$3,$B$4,6,$A19,"ytd_net_amount")</f>
        <v/>
      </c>
      <c r="E19" s="12">
        <f>-EPM($B$3,$B$4,9,$A19,"ytd_net_amount")</f>
        <v/>
      </c>
      <c r="F19" s="12">
        <f>-EPM($B$3,$B$4,12,$A19,"ytd_net_amount")</f>
        <v/>
      </c>
    </row>
    <row r="20">
      <c r="A20" s="7" t="inlineStr">
        <is>
          <t>130700</t>
        </is>
      </c>
      <c r="B20" s="8" t="inlineStr">
        <is>
          <t>Other Receivables</t>
        </is>
      </c>
      <c r="C20" s="9">
        <f>-EPM($B$3,$B$4,3,$A20,"ytd_net_amount")</f>
        <v/>
      </c>
      <c r="D20" s="9">
        <f>-EPM($B$3,$B$4,6,$A20,"ytd_net_amount")</f>
        <v/>
      </c>
      <c r="E20" s="9">
        <f>-EPM($B$3,$B$4,9,$A20,"ytd_net_amount")</f>
        <v/>
      </c>
      <c r="F20" s="9">
        <f>-EPM($B$3,$B$4,12,$A20,"ytd_net_amount")</f>
        <v/>
      </c>
    </row>
    <row r="21">
      <c r="A21" s="10" t="inlineStr">
        <is>
          <t>132190</t>
        </is>
      </c>
      <c r="B21" s="11" t="inlineStr">
        <is>
          <t>Prepaid Expenses</t>
        </is>
      </c>
      <c r="C21" s="12">
        <f>-EPM($B$3,$B$4,3,$A21,"ytd_net_amount")</f>
        <v/>
      </c>
      <c r="D21" s="12">
        <f>-EPM($B$3,$B$4,6,$A21,"ytd_net_amount")</f>
        <v/>
      </c>
      <c r="E21" s="12">
        <f>-EPM($B$3,$B$4,9,$A21,"ytd_net_amount")</f>
        <v/>
      </c>
      <c r="F21" s="12">
        <f>-EPM($B$3,$B$4,12,$A21,"ytd_net_amount")</f>
        <v/>
      </c>
    </row>
    <row r="22">
      <c r="A22" s="7" t="inlineStr">
        <is>
          <t>133300</t>
        </is>
      </c>
      <c r="B22" s="8" t="inlineStr">
        <is>
          <t>Intercompany Receivable - USMF/DEMF</t>
        </is>
      </c>
      <c r="C22" s="9">
        <f>-EPM($B$3,$B$4,3,$A22,"ytd_net_amount")</f>
        <v/>
      </c>
      <c r="D22" s="9">
        <f>-EPM($B$3,$B$4,6,$A22,"ytd_net_amount")</f>
        <v/>
      </c>
      <c r="E22" s="9">
        <f>-EPM($B$3,$B$4,9,$A22,"ytd_net_amount")</f>
        <v/>
      </c>
      <c r="F22" s="9">
        <f>-EPM($B$3,$B$4,12,$A22,"ytd_net_amount")</f>
        <v/>
      </c>
    </row>
    <row r="23">
      <c r="A23" s="10" t="inlineStr">
        <is>
          <t>133500</t>
        </is>
      </c>
      <c r="B23" s="11" t="inlineStr">
        <is>
          <t>Interunit Receivable</t>
        </is>
      </c>
      <c r="C23" s="12">
        <f>-EPM($B$3,$B$4,3,$A23,"ytd_net_amount")</f>
        <v/>
      </c>
      <c r="D23" s="12">
        <f>-EPM($B$3,$B$4,6,$A23,"ytd_net_amount")</f>
        <v/>
      </c>
      <c r="E23" s="12">
        <f>-EPM($B$3,$B$4,9,$A23,"ytd_net_amount")</f>
        <v/>
      </c>
      <c r="F23" s="12">
        <f>-EPM($B$3,$B$4,12,$A23,"ytd_net_amount")</f>
        <v/>
      </c>
    </row>
    <row r="24">
      <c r="A24" s="7" t="inlineStr">
        <is>
          <t>140100</t>
        </is>
      </c>
      <c r="B24" s="8" t="inlineStr">
        <is>
          <t>Raw Materials Inventory</t>
        </is>
      </c>
      <c r="C24" s="9">
        <f>-EPM($B$3,$B$4,3,$A24,"ytd_net_amount")</f>
        <v/>
      </c>
      <c r="D24" s="9">
        <f>-EPM($B$3,$B$4,6,$A24,"ytd_net_amount")</f>
        <v/>
      </c>
      <c r="E24" s="9">
        <f>-EPM($B$3,$B$4,9,$A24,"ytd_net_amount")</f>
        <v/>
      </c>
      <c r="F24" s="9">
        <f>-EPM($B$3,$B$4,12,$A24,"ytd_net_amount")</f>
        <v/>
      </c>
    </row>
    <row r="25">
      <c r="A25" s="10" t="inlineStr">
        <is>
          <t>140200</t>
        </is>
      </c>
      <c r="B25" s="11" t="inlineStr">
        <is>
          <t>Finished Goods Inventory</t>
        </is>
      </c>
      <c r="C25" s="12">
        <f>-EPM($B$3,$B$4,3,$A25,"ytd_net_amount")</f>
        <v/>
      </c>
      <c r="D25" s="12">
        <f>-EPM($B$3,$B$4,6,$A25,"ytd_net_amount")</f>
        <v/>
      </c>
      <c r="E25" s="12">
        <f>-EPM($B$3,$B$4,9,$A25,"ytd_net_amount")</f>
        <v/>
      </c>
      <c r="F25" s="12">
        <f>-EPM($B$3,$B$4,12,$A25,"ytd_net_amount")</f>
        <v/>
      </c>
    </row>
    <row r="26">
      <c r="A26" s="24" t="n"/>
      <c r="B26" s="25" t="inlineStr">
        <is>
          <t>Total Current Assets</t>
        </is>
      </c>
      <c r="C26" s="26">
        <f>C8+C9+C10+C11+C12+C13+C14+C15+C16+C17+C18+C19+C20+C21+C22+C23+C24+C25</f>
        <v/>
      </c>
      <c r="D26" s="26">
        <f>D8+D9+D10+D11+D12+D13+D14+D15+D16+D17+D18+D19+D20+D21+D22+D23+D24+D25</f>
        <v/>
      </c>
      <c r="E26" s="26">
        <f>E8+E9+E10+E11+E12+E13+E14+E15+E16+E17+E18+E19+E20+E21+E22+E23+E24+E25</f>
        <v/>
      </c>
      <c r="F26" s="26">
        <f>F8+F9+F10+F11+F12+F13+F14+F15+F16+F17+F18+F19+F20+F21+F22+F23+F24+F25</f>
        <v/>
      </c>
    </row>
    <row r="28">
      <c r="B28" s="21" t="inlineStr">
        <is>
          <t>Non-Current Assets</t>
        </is>
      </c>
    </row>
    <row r="29">
      <c r="A29" s="7" t="inlineStr">
        <is>
          <t>120200</t>
        </is>
      </c>
      <c r="B29" s="8" t="inlineStr">
        <is>
          <t>Marketable Securities</t>
        </is>
      </c>
      <c r="C29" s="9">
        <f>-EPM($B$3,$B$4,3,$A29,"ytd_net_amount")</f>
        <v/>
      </c>
      <c r="D29" s="9">
        <f>-EPM($B$3,$B$4,6,$A29,"ytd_net_amount")</f>
        <v/>
      </c>
      <c r="E29" s="9">
        <f>-EPM($B$3,$B$4,9,$A29,"ytd_net_amount")</f>
        <v/>
      </c>
      <c r="F29" s="9">
        <f>-EPM($B$3,$B$4,12,$A29,"ytd_net_amount")</f>
        <v/>
      </c>
    </row>
    <row r="30">
      <c r="A30" s="10" t="inlineStr">
        <is>
          <t>134000</t>
        </is>
      </c>
      <c r="B30" s="11" t="inlineStr">
        <is>
          <t>Investment in Subsidiary</t>
        </is>
      </c>
      <c r="C30" s="12">
        <f>-EPM($B$3,$B$4,3,$A30,"ytd_net_amount")</f>
        <v/>
      </c>
      <c r="D30" s="12">
        <f>-EPM($B$3,$B$4,6,$A30,"ytd_net_amount")</f>
        <v/>
      </c>
      <c r="E30" s="12">
        <f>-EPM($B$3,$B$4,9,$A30,"ytd_net_amount")</f>
        <v/>
      </c>
      <c r="F30" s="12">
        <f>-EPM($B$3,$B$4,12,$A30,"ytd_net_amount")</f>
        <v/>
      </c>
    </row>
    <row r="31">
      <c r="A31" s="7" t="inlineStr">
        <is>
          <t>170150</t>
        </is>
      </c>
      <c r="B31" s="8" t="inlineStr">
        <is>
          <t>Goodwill</t>
        </is>
      </c>
      <c r="C31" s="9">
        <f>-EPM($B$3,$B$4,3,$A31,"ytd_net_amount")</f>
        <v/>
      </c>
      <c r="D31" s="9">
        <f>-EPM($B$3,$B$4,6,$A31,"ytd_net_amount")</f>
        <v/>
      </c>
      <c r="E31" s="9">
        <f>-EPM($B$3,$B$4,9,$A31,"ytd_net_amount")</f>
        <v/>
      </c>
      <c r="F31" s="9">
        <f>-EPM($B$3,$B$4,12,$A31,"ytd_net_amount")</f>
        <v/>
      </c>
    </row>
    <row r="32">
      <c r="A32" s="10" t="inlineStr">
        <is>
          <t>180100</t>
        </is>
      </c>
      <c r="B32" s="11" t="inlineStr">
        <is>
          <t>Tangible Fixed Assets</t>
        </is>
      </c>
      <c r="C32" s="12">
        <f>-EPM($B$3,$B$4,3,$A32,"ytd_net_amount")</f>
        <v/>
      </c>
      <c r="D32" s="12">
        <f>-EPM($B$3,$B$4,6,$A32,"ytd_net_amount")</f>
        <v/>
      </c>
      <c r="E32" s="12">
        <f>-EPM($B$3,$B$4,9,$A32,"ytd_net_amount")</f>
        <v/>
      </c>
      <c r="F32" s="12">
        <f>-EPM($B$3,$B$4,12,$A32,"ytd_net_amount")</f>
        <v/>
      </c>
    </row>
    <row r="33">
      <c r="A33" s="7" t="inlineStr">
        <is>
          <t>180140</t>
        </is>
      </c>
      <c r="B33" s="8" t="inlineStr">
        <is>
          <t>Intangible Fixed Assets</t>
        </is>
      </c>
      <c r="C33" s="9">
        <f>-EPM($B$3,$B$4,3,$A33,"ytd_net_amount")</f>
        <v/>
      </c>
      <c r="D33" s="9">
        <f>-EPM($B$3,$B$4,6,$A33,"ytd_net_amount")</f>
        <v/>
      </c>
      <c r="E33" s="9">
        <f>-EPM($B$3,$B$4,9,$A33,"ytd_net_amount")</f>
        <v/>
      </c>
      <c r="F33" s="9">
        <f>-EPM($B$3,$B$4,12,$A33,"ytd_net_amount")</f>
        <v/>
      </c>
    </row>
    <row r="34">
      <c r="A34" s="10" t="inlineStr">
        <is>
          <t>180141</t>
        </is>
      </c>
      <c r="B34" s="11" t="inlineStr">
        <is>
          <t>Assets Under Construction</t>
        </is>
      </c>
      <c r="C34" s="12">
        <f>-EPM($B$3,$B$4,3,$A34,"ytd_net_amount")</f>
        <v/>
      </c>
      <c r="D34" s="12">
        <f>-EPM($B$3,$B$4,6,$A34,"ytd_net_amount")</f>
        <v/>
      </c>
      <c r="E34" s="12">
        <f>-EPM($B$3,$B$4,9,$A34,"ytd_net_amount")</f>
        <v/>
      </c>
      <c r="F34" s="12">
        <f>-EPM($B$3,$B$4,12,$A34,"ytd_net_amount")</f>
        <v/>
      </c>
    </row>
    <row r="35">
      <c r="A35" s="7" t="inlineStr">
        <is>
          <t>180150</t>
        </is>
      </c>
      <c r="B35" s="8" t="inlineStr">
        <is>
          <t>Right-of-Use Asset - Finance Leases</t>
        </is>
      </c>
      <c r="C35" s="9">
        <f>-EPM($B$3,$B$4,3,$A35,"ytd_net_amount")</f>
        <v/>
      </c>
      <c r="D35" s="9">
        <f>-EPM($B$3,$B$4,6,$A35,"ytd_net_amount")</f>
        <v/>
      </c>
      <c r="E35" s="9">
        <f>-EPM($B$3,$B$4,9,$A35,"ytd_net_amount")</f>
        <v/>
      </c>
      <c r="F35" s="9">
        <f>-EPM($B$3,$B$4,12,$A35,"ytd_net_amount")</f>
        <v/>
      </c>
    </row>
    <row r="36">
      <c r="A36" s="10" t="inlineStr">
        <is>
          <t>180160</t>
        </is>
      </c>
      <c r="B36" s="11" t="inlineStr">
        <is>
          <t>Right-of-Use Asset - Operating Leases</t>
        </is>
      </c>
      <c r="C36" s="12">
        <f>-EPM($B$3,$B$4,3,$A36,"ytd_net_amount")</f>
        <v/>
      </c>
      <c r="D36" s="12">
        <f>-EPM($B$3,$B$4,6,$A36,"ytd_net_amount")</f>
        <v/>
      </c>
      <c r="E36" s="12">
        <f>-EPM($B$3,$B$4,9,$A36,"ytd_net_amount")</f>
        <v/>
      </c>
      <c r="F36" s="12">
        <f>-EPM($B$3,$B$4,12,$A36,"ytd_net_amount")</f>
        <v/>
      </c>
    </row>
    <row r="37">
      <c r="A37" s="7" t="inlineStr">
        <is>
          <t>180200</t>
        </is>
      </c>
      <c r="B37" s="8" t="inlineStr">
        <is>
          <t>Accumulated Depreciation - Tangible</t>
        </is>
      </c>
      <c r="C37" s="9">
        <f>-EPM($B$3,$B$4,3,$A37,"ytd_net_amount")</f>
        <v/>
      </c>
      <c r="D37" s="9">
        <f>-EPM($B$3,$B$4,6,$A37,"ytd_net_amount")</f>
        <v/>
      </c>
      <c r="E37" s="9">
        <f>-EPM($B$3,$B$4,9,$A37,"ytd_net_amount")</f>
        <v/>
      </c>
      <c r="F37" s="9">
        <f>-EPM($B$3,$B$4,12,$A37,"ytd_net_amount")</f>
        <v/>
      </c>
    </row>
    <row r="38">
      <c r="A38" s="10" t="inlineStr">
        <is>
          <t>180240</t>
        </is>
      </c>
      <c r="B38" s="11" t="inlineStr">
        <is>
          <t>Accumulated Amortization - Intangible</t>
        </is>
      </c>
      <c r="C38" s="12">
        <f>-EPM($B$3,$B$4,3,$A38,"ytd_net_amount")</f>
        <v/>
      </c>
      <c r="D38" s="12">
        <f>-EPM($B$3,$B$4,6,$A38,"ytd_net_amount")</f>
        <v/>
      </c>
      <c r="E38" s="12">
        <f>-EPM($B$3,$B$4,9,$A38,"ytd_net_amount")</f>
        <v/>
      </c>
      <c r="F38" s="12">
        <f>-EPM($B$3,$B$4,12,$A38,"ytd_net_amount")</f>
        <v/>
      </c>
    </row>
    <row r="39">
      <c r="A39" s="7" t="inlineStr">
        <is>
          <t>180295</t>
        </is>
      </c>
      <c r="B39" s="8" t="inlineStr">
        <is>
          <t>Other Assets</t>
        </is>
      </c>
      <c r="C39" s="9">
        <f>-EPM($B$3,$B$4,3,$A39,"ytd_net_amount")</f>
        <v/>
      </c>
      <c r="D39" s="9">
        <f>-EPM($B$3,$B$4,6,$A39,"ytd_net_amount")</f>
        <v/>
      </c>
      <c r="E39" s="9">
        <f>-EPM($B$3,$B$4,9,$A39,"ytd_net_amount")</f>
        <v/>
      </c>
      <c r="F39" s="9">
        <f>-EPM($B$3,$B$4,12,$A39,"ytd_net_amount")</f>
        <v/>
      </c>
    </row>
    <row r="40">
      <c r="A40" s="24" t="n"/>
      <c r="B40" s="25" t="inlineStr">
        <is>
          <t>Total Non-Current Assets</t>
        </is>
      </c>
      <c r="C40" s="26">
        <f>C29+C30+C31+C32+C33+C34+C35+C36+C37+C38+C39</f>
        <v/>
      </c>
      <c r="D40" s="26">
        <f>D29+D30+D31+D32+D33+D34+D35+D36+D37+D38+D39</f>
        <v/>
      </c>
      <c r="E40" s="26">
        <f>E29+E30+E31+E32+E33+E34+E35+E36+E37+E38+E39</f>
        <v/>
      </c>
      <c r="F40" s="26">
        <f>F29+F30+F31+F32+F33+F34+F35+F36+F37+F38+F39</f>
        <v/>
      </c>
    </row>
    <row r="42">
      <c r="A42" s="24" t="n"/>
      <c r="B42" s="27" t="inlineStr">
        <is>
          <t>Total Assets</t>
        </is>
      </c>
      <c r="C42" s="28">
        <f>C26+C40</f>
        <v/>
      </c>
      <c r="D42" s="28">
        <f>D26+D40</f>
        <v/>
      </c>
      <c r="E42" s="28">
        <f>E26+E40</f>
        <v/>
      </c>
      <c r="F42" s="28">
        <f>F26+F40</f>
        <v/>
      </c>
    </row>
    <row r="44">
      <c r="B44" s="21" t="inlineStr">
        <is>
          <t>Current Liabilities</t>
        </is>
      </c>
    </row>
    <row r="45">
      <c r="A45" s="7" t="inlineStr">
        <is>
          <t>200100</t>
        </is>
      </c>
      <c r="B45" s="8" t="inlineStr">
        <is>
          <t>Accounts Payable - Domestic</t>
        </is>
      </c>
      <c r="C45" s="9">
        <f>-EPM($B$3,$B$4,3,$A45,"ytd_net_amount")</f>
        <v/>
      </c>
      <c r="D45" s="9">
        <f>-EPM($B$3,$B$4,6,$A45,"ytd_net_amount")</f>
        <v/>
      </c>
      <c r="E45" s="9">
        <f>-EPM($B$3,$B$4,9,$A45,"ytd_net_amount")</f>
        <v/>
      </c>
      <c r="F45" s="9">
        <f>-EPM($B$3,$B$4,12,$A45,"ytd_net_amount")</f>
        <v/>
      </c>
    </row>
    <row r="46">
      <c r="A46" s="10" t="inlineStr">
        <is>
          <t>200110A</t>
        </is>
      </c>
      <c r="B46" s="11" t="inlineStr">
        <is>
          <t>Accounts Payable - Other</t>
        </is>
      </c>
      <c r="C46" s="12">
        <f>-EPM($B$3,$B$4,3,$A46,"ytd_net_amount")</f>
        <v/>
      </c>
      <c r="D46" s="12">
        <f>-EPM($B$3,$B$4,6,$A46,"ytd_net_amount")</f>
        <v/>
      </c>
      <c r="E46" s="12">
        <f>-EPM($B$3,$B$4,9,$A46,"ytd_net_amount")</f>
        <v/>
      </c>
      <c r="F46" s="12">
        <f>-EPM($B$3,$B$4,12,$A46,"ytd_net_amount")</f>
        <v/>
      </c>
    </row>
    <row r="47">
      <c r="A47" s="7" t="inlineStr">
        <is>
          <t>200130</t>
        </is>
      </c>
      <c r="B47" s="8" t="inlineStr">
        <is>
          <t>Invoice Pending Approval</t>
        </is>
      </c>
      <c r="C47" s="9">
        <f>-EPM($B$3,$B$4,3,$A47,"ytd_net_amount")</f>
        <v/>
      </c>
      <c r="D47" s="9">
        <f>-EPM($B$3,$B$4,6,$A47,"ytd_net_amount")</f>
        <v/>
      </c>
      <c r="E47" s="9">
        <f>-EPM($B$3,$B$4,9,$A47,"ytd_net_amount")</f>
        <v/>
      </c>
      <c r="F47" s="9">
        <f>-EPM($B$3,$B$4,12,$A47,"ytd_net_amount")</f>
        <v/>
      </c>
    </row>
    <row r="48">
      <c r="A48" s="10" t="inlineStr">
        <is>
          <t>200140</t>
        </is>
      </c>
      <c r="B48" s="11" t="inlineStr">
        <is>
          <t>Accrued Purchases - Received Not Invoiced</t>
        </is>
      </c>
      <c r="C48" s="12">
        <f>-EPM($B$3,$B$4,3,$A48,"ytd_net_amount")</f>
        <v/>
      </c>
      <c r="D48" s="12">
        <f>-EPM($B$3,$B$4,6,$A48,"ytd_net_amount")</f>
        <v/>
      </c>
      <c r="E48" s="12">
        <f>-EPM($B$3,$B$4,9,$A48,"ytd_net_amount")</f>
        <v/>
      </c>
      <c r="F48" s="12">
        <f>-EPM($B$3,$B$4,12,$A48,"ytd_net_amount")</f>
        <v/>
      </c>
    </row>
    <row r="49">
      <c r="A49" s="7" t="inlineStr">
        <is>
          <t>200190</t>
        </is>
      </c>
      <c r="B49" s="8" t="inlineStr">
        <is>
          <t>Accrued Purchases</t>
        </is>
      </c>
      <c r="C49" s="9">
        <f>-EPM($B$3,$B$4,3,$A49,"ytd_net_amount")</f>
        <v/>
      </c>
      <c r="D49" s="9">
        <f>-EPM($B$3,$B$4,6,$A49,"ytd_net_amount")</f>
        <v/>
      </c>
      <c r="E49" s="9">
        <f>-EPM($B$3,$B$4,9,$A49,"ytd_net_amount")</f>
        <v/>
      </c>
      <c r="F49" s="9">
        <f>-EPM($B$3,$B$4,12,$A49,"ytd_net_amount")</f>
        <v/>
      </c>
    </row>
    <row r="50">
      <c r="A50" s="10" t="inlineStr">
        <is>
          <t>201100</t>
        </is>
      </c>
      <c r="B50" s="11" t="inlineStr">
        <is>
          <t>Salaries &amp; Wages Payable</t>
        </is>
      </c>
      <c r="C50" s="12">
        <f>-EPM($B$3,$B$4,3,$A50,"ytd_net_amount")</f>
        <v/>
      </c>
      <c r="D50" s="12">
        <f>-EPM($B$3,$B$4,6,$A50,"ytd_net_amount")</f>
        <v/>
      </c>
      <c r="E50" s="12">
        <f>-EPM($B$3,$B$4,9,$A50,"ytd_net_amount")</f>
        <v/>
      </c>
      <c r="F50" s="12">
        <f>-EPM($B$3,$B$4,12,$A50,"ytd_net_amount")</f>
        <v/>
      </c>
    </row>
    <row r="51">
      <c r="A51" s="7" t="inlineStr">
        <is>
          <t>201110</t>
        </is>
      </c>
      <c r="B51" s="8" t="inlineStr">
        <is>
          <t>Commissions Payable</t>
        </is>
      </c>
      <c r="C51" s="9">
        <f>-EPM($B$3,$B$4,3,$A51,"ytd_net_amount")</f>
        <v/>
      </c>
      <c r="D51" s="9">
        <f>-EPM($B$3,$B$4,6,$A51,"ytd_net_amount")</f>
        <v/>
      </c>
      <c r="E51" s="9">
        <f>-EPM($B$3,$B$4,9,$A51,"ytd_net_amount")</f>
        <v/>
      </c>
      <c r="F51" s="9">
        <f>-EPM($B$3,$B$4,12,$A51,"ytd_net_amount")</f>
        <v/>
      </c>
    </row>
    <row r="52">
      <c r="A52" s="10" t="inlineStr">
        <is>
          <t>212160</t>
        </is>
      </c>
      <c r="B52" s="11" t="inlineStr">
        <is>
          <t>Customer Deposits</t>
        </is>
      </c>
      <c r="C52" s="12">
        <f>-EPM($B$3,$B$4,3,$A52,"ytd_net_amount")</f>
        <v/>
      </c>
      <c r="D52" s="12">
        <f>-EPM($B$3,$B$4,6,$A52,"ytd_net_amount")</f>
        <v/>
      </c>
      <c r="E52" s="12">
        <f>-EPM($B$3,$B$4,9,$A52,"ytd_net_amount")</f>
        <v/>
      </c>
      <c r="F52" s="12">
        <f>-EPM($B$3,$B$4,12,$A52,"ytd_net_amount")</f>
        <v/>
      </c>
    </row>
    <row r="53">
      <c r="A53" s="7" t="inlineStr">
        <is>
          <t>221240</t>
        </is>
      </c>
      <c r="B53" s="8" t="inlineStr">
        <is>
          <t>Income Taxes Payable</t>
        </is>
      </c>
      <c r="C53" s="9">
        <f>-EPM($B$3,$B$4,3,$A53,"ytd_net_amount")</f>
        <v/>
      </c>
      <c r="D53" s="9">
        <f>-EPM($B$3,$B$4,6,$A53,"ytd_net_amount")</f>
        <v/>
      </c>
      <c r="E53" s="9">
        <f>-EPM($B$3,$B$4,9,$A53,"ytd_net_amount")</f>
        <v/>
      </c>
      <c r="F53" s="9">
        <f>-EPM($B$3,$B$4,12,$A53,"ytd_net_amount")</f>
        <v/>
      </c>
    </row>
    <row r="54">
      <c r="A54" s="10" t="inlineStr">
        <is>
          <t>222200</t>
        </is>
      </c>
      <c r="B54" s="11" t="inlineStr">
        <is>
          <t>VAT Tax Payable</t>
        </is>
      </c>
      <c r="C54" s="12">
        <f>-EPM($B$3,$B$4,3,$A54,"ytd_net_amount")</f>
        <v/>
      </c>
      <c r="D54" s="12">
        <f>-EPM($B$3,$B$4,6,$A54,"ytd_net_amount")</f>
        <v/>
      </c>
      <c r="E54" s="12">
        <f>-EPM($B$3,$B$4,9,$A54,"ytd_net_amount")</f>
        <v/>
      </c>
      <c r="F54" s="12">
        <f>-EPM($B$3,$B$4,12,$A54,"ytd_net_amount")</f>
        <v/>
      </c>
    </row>
    <row r="55">
      <c r="A55" s="7" t="inlineStr">
        <is>
          <t>222300</t>
        </is>
      </c>
      <c r="B55" s="8" t="inlineStr">
        <is>
          <t>Short Term Obligation - Finance Leases</t>
        </is>
      </c>
      <c r="C55" s="9">
        <f>-EPM($B$3,$B$4,3,$A55,"ytd_net_amount")</f>
        <v/>
      </c>
      <c r="D55" s="9">
        <f>-EPM($B$3,$B$4,6,$A55,"ytd_net_amount")</f>
        <v/>
      </c>
      <c r="E55" s="9">
        <f>-EPM($B$3,$B$4,9,$A55,"ytd_net_amount")</f>
        <v/>
      </c>
      <c r="F55" s="9">
        <f>-EPM($B$3,$B$4,12,$A55,"ytd_net_amount")</f>
        <v/>
      </c>
    </row>
    <row r="56">
      <c r="A56" s="10" t="inlineStr">
        <is>
          <t>222310</t>
        </is>
      </c>
      <c r="B56" s="11" t="inlineStr">
        <is>
          <t>Short Term Obligation - Operating Leases</t>
        </is>
      </c>
      <c r="C56" s="12">
        <f>-EPM($B$3,$B$4,3,$A56,"ytd_net_amount")</f>
        <v/>
      </c>
      <c r="D56" s="12">
        <f>-EPM($B$3,$B$4,6,$A56,"ytd_net_amount")</f>
        <v/>
      </c>
      <c r="E56" s="12">
        <f>-EPM($B$3,$B$4,9,$A56,"ytd_net_amount")</f>
        <v/>
      </c>
      <c r="F56" s="12">
        <f>-EPM($B$3,$B$4,12,$A56,"ytd_net_amount")</f>
        <v/>
      </c>
    </row>
    <row r="57">
      <c r="A57" s="7" t="inlineStr">
        <is>
          <t>231300</t>
        </is>
      </c>
      <c r="B57" s="8" t="inlineStr">
        <is>
          <t>Intercompany Payable - USMF/DEMF</t>
        </is>
      </c>
      <c r="C57" s="9">
        <f>-EPM($B$3,$B$4,3,$A57,"ytd_net_amount")</f>
        <v/>
      </c>
      <c r="D57" s="9">
        <f>-EPM($B$3,$B$4,6,$A57,"ytd_net_amount")</f>
        <v/>
      </c>
      <c r="E57" s="9">
        <f>-EPM($B$3,$B$4,9,$A57,"ytd_net_amount")</f>
        <v/>
      </c>
      <c r="F57" s="9">
        <f>-EPM($B$3,$B$4,12,$A57,"ytd_net_amount")</f>
        <v/>
      </c>
    </row>
    <row r="58">
      <c r="A58" s="10" t="inlineStr">
        <is>
          <t>231500</t>
        </is>
      </c>
      <c r="B58" s="11" t="inlineStr">
        <is>
          <t>Interunit Payable</t>
        </is>
      </c>
      <c r="C58" s="12">
        <f>-EPM($B$3,$B$4,3,$A58,"ytd_net_amount")</f>
        <v/>
      </c>
      <c r="D58" s="12">
        <f>-EPM($B$3,$B$4,6,$A58,"ytd_net_amount")</f>
        <v/>
      </c>
      <c r="E58" s="12">
        <f>-EPM($B$3,$B$4,9,$A58,"ytd_net_amount")</f>
        <v/>
      </c>
      <c r="F58" s="12">
        <f>-EPM($B$3,$B$4,12,$A58,"ytd_net_amount")</f>
        <v/>
      </c>
    </row>
    <row r="59">
      <c r="A59" s="24" t="n"/>
      <c r="B59" s="25" t="inlineStr">
        <is>
          <t>Total Current Liabilities</t>
        </is>
      </c>
      <c r="C59" s="26">
        <f>C45+C46+C47+C48+C49+C50+C51+C52+C53+C54+C55+C56+C57+C58</f>
        <v/>
      </c>
      <c r="D59" s="26">
        <f>D45+D46+D47+D48+D49+D50+D51+D52+D53+D54+D55+D56+D57+D58</f>
        <v/>
      </c>
      <c r="E59" s="26">
        <f>E45+E46+E47+E48+E49+E50+E51+E52+E53+E54+E55+E56+E57+E58</f>
        <v/>
      </c>
      <c r="F59" s="26">
        <f>F45+F46+F47+F48+F49+F50+F51+F52+F53+F54+F55+F56+F57+F58</f>
        <v/>
      </c>
    </row>
    <row r="61">
      <c r="B61" s="21" t="inlineStr">
        <is>
          <t>Non-Current Liabilities</t>
        </is>
      </c>
    </row>
    <row r="62">
      <c r="A62" s="7" t="inlineStr">
        <is>
          <t>250100</t>
        </is>
      </c>
      <c r="B62" s="8" t="inlineStr">
        <is>
          <t>Long-term Bank Loans</t>
        </is>
      </c>
      <c r="C62" s="9">
        <f>-EPM($B$3,$B$4,3,$A62,"ytd_net_amount")</f>
        <v/>
      </c>
      <c r="D62" s="9">
        <f>-EPM($B$3,$B$4,6,$A62,"ytd_net_amount")</f>
        <v/>
      </c>
      <c r="E62" s="9">
        <f>-EPM($B$3,$B$4,9,$A62,"ytd_net_amount")</f>
        <v/>
      </c>
      <c r="F62" s="9">
        <f>-EPM($B$3,$B$4,12,$A62,"ytd_net_amount")</f>
        <v/>
      </c>
    </row>
    <row r="63">
      <c r="A63" s="10" t="inlineStr">
        <is>
          <t>250200</t>
        </is>
      </c>
      <c r="B63" s="11" t="inlineStr">
        <is>
          <t>Notes Payable</t>
        </is>
      </c>
      <c r="C63" s="12">
        <f>-EPM($B$3,$B$4,3,$A63,"ytd_net_amount")</f>
        <v/>
      </c>
      <c r="D63" s="12">
        <f>-EPM($B$3,$B$4,6,$A63,"ytd_net_amount")</f>
        <v/>
      </c>
      <c r="E63" s="12">
        <f>-EPM($B$3,$B$4,9,$A63,"ytd_net_amount")</f>
        <v/>
      </c>
      <c r="F63" s="12">
        <f>-EPM($B$3,$B$4,12,$A63,"ytd_net_amount")</f>
        <v/>
      </c>
    </row>
    <row r="64">
      <c r="A64" s="7" t="inlineStr">
        <is>
          <t>250300</t>
        </is>
      </c>
      <c r="B64" s="8" t="inlineStr">
        <is>
          <t>Mortgage Payable</t>
        </is>
      </c>
      <c r="C64" s="9">
        <f>-EPM($B$3,$B$4,3,$A64,"ytd_net_amount")</f>
        <v/>
      </c>
      <c r="D64" s="9">
        <f>-EPM($B$3,$B$4,6,$A64,"ytd_net_amount")</f>
        <v/>
      </c>
      <c r="E64" s="9">
        <f>-EPM($B$3,$B$4,9,$A64,"ytd_net_amount")</f>
        <v/>
      </c>
      <c r="F64" s="9">
        <f>-EPM($B$3,$B$4,12,$A64,"ytd_net_amount")</f>
        <v/>
      </c>
    </row>
    <row r="65">
      <c r="A65" s="10" t="inlineStr">
        <is>
          <t>250500</t>
        </is>
      </c>
      <c r="B65" s="11" t="inlineStr">
        <is>
          <t>Deferred Income Tax</t>
        </is>
      </c>
      <c r="C65" s="12">
        <f>-EPM($B$3,$B$4,3,$A65,"ytd_net_amount")</f>
        <v/>
      </c>
      <c r="D65" s="12">
        <f>-EPM($B$3,$B$4,6,$A65,"ytd_net_amount")</f>
        <v/>
      </c>
      <c r="E65" s="12">
        <f>-EPM($B$3,$B$4,9,$A65,"ytd_net_amount")</f>
        <v/>
      </c>
      <c r="F65" s="12">
        <f>-EPM($B$3,$B$4,12,$A65,"ytd_net_amount")</f>
        <v/>
      </c>
    </row>
    <row r="66">
      <c r="A66" s="7" t="inlineStr">
        <is>
          <t>250600</t>
        </is>
      </c>
      <c r="B66" s="8" t="inlineStr">
        <is>
          <t>Deferred Revenue</t>
        </is>
      </c>
      <c r="C66" s="9">
        <f>-EPM($B$3,$B$4,3,$A66,"ytd_net_amount")</f>
        <v/>
      </c>
      <c r="D66" s="9">
        <f>-EPM($B$3,$B$4,6,$A66,"ytd_net_amount")</f>
        <v/>
      </c>
      <c r="E66" s="9">
        <f>-EPM($B$3,$B$4,9,$A66,"ytd_net_amount")</f>
        <v/>
      </c>
      <c r="F66" s="9">
        <f>-EPM($B$3,$B$4,12,$A66,"ytd_net_amount")</f>
        <v/>
      </c>
    </row>
    <row r="67">
      <c r="A67" s="10" t="inlineStr">
        <is>
          <t>250601</t>
        </is>
      </c>
      <c r="B67" s="11" t="inlineStr">
        <is>
          <t>Long Term Obligation - Finance Leases</t>
        </is>
      </c>
      <c r="C67" s="12">
        <f>-EPM($B$3,$B$4,3,$A67,"ytd_net_amount")</f>
        <v/>
      </c>
      <c r="D67" s="12">
        <f>-EPM($B$3,$B$4,6,$A67,"ytd_net_amount")</f>
        <v/>
      </c>
      <c r="E67" s="12">
        <f>-EPM($B$3,$B$4,9,$A67,"ytd_net_amount")</f>
        <v/>
      </c>
      <c r="F67" s="12">
        <f>-EPM($B$3,$B$4,12,$A67,"ytd_net_amount")</f>
        <v/>
      </c>
    </row>
    <row r="68">
      <c r="A68" s="7" t="inlineStr">
        <is>
          <t>250602</t>
        </is>
      </c>
      <c r="B68" s="8" t="inlineStr">
        <is>
          <t>Long Term Obligation - Operating Leases</t>
        </is>
      </c>
      <c r="C68" s="9">
        <f>-EPM($B$3,$B$4,3,$A68,"ytd_net_amount")</f>
        <v/>
      </c>
      <c r="D68" s="9">
        <f>-EPM($B$3,$B$4,6,$A68,"ytd_net_amount")</f>
        <v/>
      </c>
      <c r="E68" s="9">
        <f>-EPM($B$3,$B$4,9,$A68,"ytd_net_amount")</f>
        <v/>
      </c>
      <c r="F68" s="9">
        <f>-EPM($B$3,$B$4,12,$A68,"ytd_net_amount")</f>
        <v/>
      </c>
    </row>
    <row r="69">
      <c r="A69" s="24" t="n"/>
      <c r="B69" s="25" t="inlineStr">
        <is>
          <t>Total Non-Current Liabilities</t>
        </is>
      </c>
      <c r="C69" s="26">
        <f>C62+C63+C64+C65+C66+C67+C68</f>
        <v/>
      </c>
      <c r="D69" s="26">
        <f>D62+D63+D64+D65+D66+D67+D68</f>
        <v/>
      </c>
      <c r="E69" s="26">
        <f>E62+E63+E64+E65+E66+E67+E68</f>
        <v/>
      </c>
      <c r="F69" s="26">
        <f>F62+F63+F64+F65+F66+F67+F68</f>
        <v/>
      </c>
    </row>
    <row r="71">
      <c r="A71" s="24" t="n"/>
      <c r="B71" s="27" t="inlineStr">
        <is>
          <t>Total Liabilities</t>
        </is>
      </c>
      <c r="C71" s="28">
        <f>C59+C69</f>
        <v/>
      </c>
      <c r="D71" s="28">
        <f>D59+D69</f>
        <v/>
      </c>
      <c r="E71" s="28">
        <f>E59+E69</f>
        <v/>
      </c>
      <c r="F71" s="28">
        <f>F59+F69</f>
        <v/>
      </c>
    </row>
    <row r="73">
      <c r="B73" s="21" t="inlineStr">
        <is>
          <t>Shareholders' Equity</t>
        </is>
      </c>
    </row>
    <row r="74">
      <c r="A74" s="7" t="inlineStr">
        <is>
          <t>300110</t>
        </is>
      </c>
      <c r="B74" s="8" t="inlineStr">
        <is>
          <t>Capital Stock</t>
        </is>
      </c>
      <c r="C74" s="9">
        <f>-EPM($B$3,$B$4,3,$A74,"ytd_net_amount")</f>
        <v/>
      </c>
      <c r="D74" s="9">
        <f>-EPM($B$3,$B$4,6,$A74,"ytd_net_amount")</f>
        <v/>
      </c>
      <c r="E74" s="9">
        <f>-EPM($B$3,$B$4,9,$A74,"ytd_net_amount")</f>
        <v/>
      </c>
      <c r="F74" s="9">
        <f>-EPM($B$3,$B$4,12,$A74,"ytd_net_amount")</f>
        <v/>
      </c>
    </row>
    <row r="75">
      <c r="A75" s="10" t="inlineStr">
        <is>
          <t>300120</t>
        </is>
      </c>
      <c r="B75" s="11" t="inlineStr">
        <is>
          <t>Paid-in Capital</t>
        </is>
      </c>
      <c r="C75" s="12">
        <f>-EPM($B$3,$B$4,3,$A75,"ytd_net_amount")</f>
        <v/>
      </c>
      <c r="D75" s="12">
        <f>-EPM($B$3,$B$4,6,$A75,"ytd_net_amount")</f>
        <v/>
      </c>
      <c r="E75" s="12">
        <f>-EPM($B$3,$B$4,9,$A75,"ytd_net_amount")</f>
        <v/>
      </c>
      <c r="F75" s="12">
        <f>-EPM($B$3,$B$4,12,$A75,"ytd_net_amount")</f>
        <v/>
      </c>
    </row>
    <row r="76">
      <c r="A76" s="7" t="inlineStr">
        <is>
          <t>300130</t>
        </is>
      </c>
      <c r="B76" s="8" t="inlineStr">
        <is>
          <t>Dividends Paid</t>
        </is>
      </c>
      <c r="C76" s="9">
        <f>-EPM($B$3,$B$4,3,$A76,"ytd_net_amount")</f>
        <v/>
      </c>
      <c r="D76" s="9">
        <f>-EPM($B$3,$B$4,6,$A76,"ytd_net_amount")</f>
        <v/>
      </c>
      <c r="E76" s="9">
        <f>-EPM($B$3,$B$4,9,$A76,"ytd_net_amount")</f>
        <v/>
      </c>
      <c r="F76" s="9">
        <f>-EPM($B$3,$B$4,12,$A76,"ytd_net_amount")</f>
        <v/>
      </c>
    </row>
    <row r="77">
      <c r="A77" s="10" t="inlineStr">
        <is>
          <t>300150</t>
        </is>
      </c>
      <c r="B77" s="11" t="inlineStr">
        <is>
          <t>Unrealized Currency Gain/Loss</t>
        </is>
      </c>
      <c r="C77" s="12">
        <f>-EPM($B$3,$B$4,3,$A77,"ytd_net_amount")</f>
        <v/>
      </c>
      <c r="D77" s="12">
        <f>-EPM($B$3,$B$4,6,$A77,"ytd_net_amount")</f>
        <v/>
      </c>
      <c r="E77" s="12">
        <f>-EPM($B$3,$B$4,9,$A77,"ytd_net_amount")</f>
        <v/>
      </c>
      <c r="F77" s="12">
        <f>-EPM($B$3,$B$4,12,$A77,"ytd_net_amount")</f>
        <v/>
      </c>
    </row>
    <row r="78">
      <c r="A78" s="7" t="inlineStr">
        <is>
          <t>300160</t>
        </is>
      </c>
      <c r="B78" s="8" t="inlineStr">
        <is>
          <t>Retained Earnings</t>
        </is>
      </c>
      <c r="C78" s="9">
        <f>-EPM($B$3,$B$4,3,$A78,"ytd_net_amount")</f>
        <v/>
      </c>
      <c r="D78" s="9">
        <f>-EPM($B$3,$B$4,6,$A78,"ytd_net_amount")</f>
        <v/>
      </c>
      <c r="E78" s="9">
        <f>-EPM($B$3,$B$4,9,$A78,"ytd_net_amount")</f>
        <v/>
      </c>
      <c r="F78" s="9">
        <f>-EPM($B$3,$B$4,12,$A78,"ytd_net_amount")</f>
        <v/>
      </c>
    </row>
    <row r="79">
      <c r="A79" s="10" t="inlineStr">
        <is>
          <t>300170</t>
        </is>
      </c>
      <c r="B79" s="11" t="inlineStr">
        <is>
          <t>Accumulated Other Comprehensive Income</t>
        </is>
      </c>
      <c r="C79" s="12">
        <f>-EPM($B$3,$B$4,3,$A79,"ytd_net_amount")</f>
        <v/>
      </c>
      <c r="D79" s="12">
        <f>-EPM($B$3,$B$4,6,$A79,"ytd_net_amount")</f>
        <v/>
      </c>
      <c r="E79" s="12">
        <f>-EPM($B$3,$B$4,9,$A79,"ytd_net_amount")</f>
        <v/>
      </c>
      <c r="F79" s="12">
        <f>-EPM($B$3,$B$4,12,$A79,"ytd_net_amount")</f>
        <v/>
      </c>
    </row>
    <row r="80">
      <c r="A80" s="24" t="n"/>
      <c r="B80" s="25" t="inlineStr">
        <is>
          <t>Total Equity</t>
        </is>
      </c>
      <c r="C80" s="26">
        <f>C74+C75+C76+C77+C78+C79</f>
        <v/>
      </c>
      <c r="D80" s="26">
        <f>D74+D75+D76+D77+D78+D79</f>
        <v/>
      </c>
      <c r="E80" s="26">
        <f>E74+E75+E76+E77+E78+E79</f>
        <v/>
      </c>
      <c r="F80" s="26">
        <f>F74+F75+F76+F77+F78+F79</f>
        <v/>
      </c>
    </row>
    <row r="82">
      <c r="A82" s="24" t="n"/>
      <c r="B82" s="27" t="inlineStr">
        <is>
          <t>Total Liabilities &amp; Equity</t>
        </is>
      </c>
      <c r="C82" s="28">
        <f>C71+C80</f>
        <v/>
      </c>
      <c r="D82" s="28">
        <f>D71+D80</f>
        <v/>
      </c>
      <c r="E82" s="28">
        <f>E71+E80</f>
        <v/>
      </c>
      <c r="F82" s="28">
        <f>F71+F80</f>
        <v/>
      </c>
    </row>
    <row r="84">
      <c r="A84" s="24" t="n"/>
      <c r="B84" s="27" t="inlineStr">
        <is>
          <t>Check (Assets - L&amp;E)</t>
        </is>
      </c>
      <c r="C84" s="29">
        <f>C42-C82</f>
        <v/>
      </c>
      <c r="D84" s="29">
        <f>D42-D82</f>
        <v/>
      </c>
      <c r="E84" s="29">
        <f>E42-E82</f>
        <v/>
      </c>
      <c r="F84" s="29">
        <f>F42-F82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0" t="inlineStr">
        <is>
          <t>Statement of Cash Flows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3">
      <c r="A3" s="32" t="inlineStr">
        <is>
          <t>Entity</t>
        </is>
      </c>
      <c r="B3" s="4" t="inlineStr">
        <is>
          <t>DEMF</t>
        </is>
      </c>
      <c r="D3" s="32" t="inlineStr">
        <is>
          <t>Measure</t>
        </is>
      </c>
      <c r="E3" s="4" t="inlineStr">
        <is>
          <t>period_net_amount</t>
        </is>
      </c>
    </row>
    <row r="4">
      <c r="A4" s="32" t="inlineStr">
        <is>
          <t>Year</t>
        </is>
      </c>
      <c r="B4" s="4" t="n">
        <v>2025</v>
      </c>
    </row>
    <row r="6">
      <c r="A6" s="33" t="inlineStr">
        <is>
          <t>Account</t>
        </is>
      </c>
      <c r="B6" s="33" t="inlineStr">
        <is>
          <t>Description</t>
        </is>
      </c>
      <c r="C6" s="34" t="inlineStr">
        <is>
          <t>Q1</t>
        </is>
      </c>
      <c r="D6" s="34" t="inlineStr">
        <is>
          <t>Q2</t>
        </is>
      </c>
      <c r="E6" s="34" t="inlineStr">
        <is>
          <t>Q3</t>
        </is>
      </c>
      <c r="F6" s="34" t="inlineStr">
        <is>
          <t>Q4</t>
        </is>
      </c>
      <c r="G6" s="34" t="inlineStr">
        <is>
          <t>H1</t>
        </is>
      </c>
      <c r="H6" s="34" t="inlineStr">
        <is>
          <t>H2</t>
        </is>
      </c>
      <c r="I6" s="34" t="inlineStr">
        <is>
          <t>Full Year</t>
        </is>
      </c>
    </row>
    <row r="7">
      <c r="B7" s="32" t="inlineStr">
        <is>
          <t>Operating Activities</t>
        </is>
      </c>
    </row>
    <row r="8">
      <c r="B8" s="11" t="inlineStr">
        <is>
          <t>Net Income</t>
        </is>
      </c>
      <c r="C8" s="12">
        <f>-EPM($B$3,$B$4,"Q1","300160","period_net_amount")</f>
        <v/>
      </c>
      <c r="D8" s="12">
        <f>-EPM($B$3,$B$4,"Q2","300160","period_net_amount")</f>
        <v/>
      </c>
      <c r="E8" s="12">
        <f>-EPM($B$3,$B$4,"Q3","300160","period_net_amount")</f>
        <v/>
      </c>
      <c r="F8" s="12">
        <f>-EPM($B$3,$B$4,"Q4","300160","period_net_amount")</f>
        <v/>
      </c>
      <c r="G8" s="12">
        <f>-EPM($B$3,$B$4,"H1","300160","period_net_amount")</f>
        <v/>
      </c>
      <c r="H8" s="12">
        <f>-EPM($B$3,$B$4,"H2","300160","period_net_amount")</f>
        <v/>
      </c>
      <c r="I8" s="12">
        <f>-EPM($B$3,$B$4,"FY","300160","period_net_amount")</f>
        <v/>
      </c>
    </row>
    <row r="9">
      <c r="B9" s="35" t="inlineStr">
        <is>
          <t>Adjustments for non-cash items:</t>
        </is>
      </c>
    </row>
    <row r="10">
      <c r="A10" s="10" t="inlineStr">
        <is>
          <t>607200</t>
        </is>
      </c>
      <c r="B10" s="11" t="inlineStr">
        <is>
          <t>Depreciation - Tangible Assets</t>
        </is>
      </c>
      <c r="C10" s="12">
        <f>EPM($B$3,$B$4,"Q1",$A10,"period_net_amount")</f>
        <v/>
      </c>
      <c r="D10" s="12">
        <f>EPM($B$3,$B$4,"Q2",$A10,"period_net_amount")</f>
        <v/>
      </c>
      <c r="E10" s="12">
        <f>EPM($B$3,$B$4,"Q3",$A10,"period_net_amount")</f>
        <v/>
      </c>
      <c r="F10" s="12">
        <f>EPM($B$3,$B$4,"Q4",$A10,"period_net_amount")</f>
        <v/>
      </c>
      <c r="G10" s="12">
        <f>EPM($B$3,$B$4,"H1",$A10,"period_net_amount")</f>
        <v/>
      </c>
      <c r="H10" s="12">
        <f>EPM($B$3,$B$4,"H2",$A10,"period_net_amount")</f>
        <v/>
      </c>
      <c r="I10" s="12">
        <f>EPM($B$3,$B$4,"FY",$A10,"period_net_amount")</f>
        <v/>
      </c>
    </row>
    <row r="11">
      <c r="A11" s="7" t="inlineStr">
        <is>
          <t>607100</t>
        </is>
      </c>
      <c r="B11" s="8" t="inlineStr">
        <is>
          <t>Depreciation - Intangible Assets</t>
        </is>
      </c>
      <c r="C11" s="9">
        <f>EPM($B$3,$B$4,"Q1",$A11,"period_net_amount")</f>
        <v/>
      </c>
      <c r="D11" s="9">
        <f>EPM($B$3,$B$4,"Q2",$A11,"period_net_amount")</f>
        <v/>
      </c>
      <c r="E11" s="9">
        <f>EPM($B$3,$B$4,"Q3",$A11,"period_net_amount")</f>
        <v/>
      </c>
      <c r="F11" s="9">
        <f>EPM($B$3,$B$4,"Q4",$A11,"period_net_amount")</f>
        <v/>
      </c>
      <c r="G11" s="9">
        <f>EPM($B$3,$B$4,"H1",$A11,"period_net_amount")</f>
        <v/>
      </c>
      <c r="H11" s="9">
        <f>EPM($B$3,$B$4,"H2",$A11,"period_net_amount")</f>
        <v/>
      </c>
      <c r="I11" s="9">
        <f>EPM($B$3,$B$4,"FY",$A11,"period_net_amount")</f>
        <v/>
      </c>
    </row>
    <row r="12">
      <c r="A12" s="10" t="inlineStr">
        <is>
          <t>801100</t>
        </is>
      </c>
      <c r="B12" s="11" t="inlineStr">
        <is>
          <t>Gain/Loss - Disposal of Assets</t>
        </is>
      </c>
      <c r="C12" s="12">
        <f>EPM($B$3,$B$4,"Q1",$A12,"period_net_amount")</f>
        <v/>
      </c>
      <c r="D12" s="12">
        <f>EPM($B$3,$B$4,"Q2",$A12,"period_net_amount")</f>
        <v/>
      </c>
      <c r="E12" s="12">
        <f>EPM($B$3,$B$4,"Q3",$A12,"period_net_amount")</f>
        <v/>
      </c>
      <c r="F12" s="12">
        <f>EPM($B$3,$B$4,"Q4",$A12,"period_net_amount")</f>
        <v/>
      </c>
      <c r="G12" s="12">
        <f>EPM($B$3,$B$4,"H1",$A12,"period_net_amount")</f>
        <v/>
      </c>
      <c r="H12" s="12">
        <f>EPM($B$3,$B$4,"H2",$A12,"period_net_amount")</f>
        <v/>
      </c>
      <c r="I12" s="12">
        <f>EPM($B$3,$B$4,"FY",$A12,"period_net_amount")</f>
        <v/>
      </c>
    </row>
    <row r="13">
      <c r="A13" s="7" t="inlineStr">
        <is>
          <t>801200</t>
        </is>
      </c>
      <c r="B13" s="8" t="inlineStr">
        <is>
          <t>Gain/Loss - Revaluation</t>
        </is>
      </c>
      <c r="C13" s="9">
        <f>EPM($B$3,$B$4,"Q1",$A13,"period_net_amount")</f>
        <v/>
      </c>
      <c r="D13" s="9">
        <f>EPM($B$3,$B$4,"Q2",$A13,"period_net_amount")</f>
        <v/>
      </c>
      <c r="E13" s="9">
        <f>EPM($B$3,$B$4,"Q3",$A13,"period_net_amount")</f>
        <v/>
      </c>
      <c r="F13" s="9">
        <f>EPM($B$3,$B$4,"Q4",$A13,"period_net_amount")</f>
        <v/>
      </c>
      <c r="G13" s="9">
        <f>EPM($B$3,$B$4,"H1",$A13,"period_net_amount")</f>
        <v/>
      </c>
      <c r="H13" s="9">
        <f>EPM($B$3,$B$4,"H2",$A13,"period_net_amount")</f>
        <v/>
      </c>
      <c r="I13" s="9">
        <f>EPM($B$3,$B$4,"FY",$A13,"period_net_amount")</f>
        <v/>
      </c>
    </row>
    <row r="14">
      <c r="B14" s="35" t="inlineStr">
        <is>
          <t>Changes in working capital:</t>
        </is>
      </c>
    </row>
    <row r="15">
      <c r="A15" s="10" t="inlineStr">
        <is>
          <t>130100</t>
        </is>
      </c>
      <c r="B15" s="11" t="inlineStr">
        <is>
          <t>Accounts Receivable</t>
        </is>
      </c>
      <c r="C15" s="12">
        <f>EPM($B$3,$B$4,"Q1",$A15,"period_net_amount")</f>
        <v/>
      </c>
      <c r="D15" s="12">
        <f>EPM($B$3,$B$4,"Q2",$A15,"period_net_amount")</f>
        <v/>
      </c>
      <c r="E15" s="12">
        <f>EPM($B$3,$B$4,"Q3",$A15,"period_net_amount")</f>
        <v/>
      </c>
      <c r="F15" s="12">
        <f>EPM($B$3,$B$4,"Q4",$A15,"period_net_amount")</f>
        <v/>
      </c>
      <c r="G15" s="12">
        <f>EPM($B$3,$B$4,"H1",$A15,"period_net_amount")</f>
        <v/>
      </c>
      <c r="H15" s="12">
        <f>EPM($B$3,$B$4,"H2",$A15,"period_net_amount")</f>
        <v/>
      </c>
      <c r="I15" s="12">
        <f>EPM($B$3,$B$4,"FY",$A15,"period_net_amount")</f>
        <v/>
      </c>
    </row>
    <row r="16">
      <c r="A16" s="7" t="inlineStr">
        <is>
          <t>130300</t>
        </is>
      </c>
      <c r="B16" s="8" t="inlineStr">
        <is>
          <t>Accounts Receivable - Not Invoiced</t>
        </is>
      </c>
      <c r="C16" s="9">
        <f>EPM($B$3,$B$4,"Q1",$A16,"period_net_amount")</f>
        <v/>
      </c>
      <c r="D16" s="9">
        <f>EPM($B$3,$B$4,"Q2",$A16,"period_net_amount")</f>
        <v/>
      </c>
      <c r="E16" s="9">
        <f>EPM($B$3,$B$4,"Q3",$A16,"period_net_amount")</f>
        <v/>
      </c>
      <c r="F16" s="9">
        <f>EPM($B$3,$B$4,"Q4",$A16,"period_net_amount")</f>
        <v/>
      </c>
      <c r="G16" s="9">
        <f>EPM($B$3,$B$4,"H1",$A16,"period_net_amount")</f>
        <v/>
      </c>
      <c r="H16" s="9">
        <f>EPM($B$3,$B$4,"H2",$A16,"period_net_amount")</f>
        <v/>
      </c>
      <c r="I16" s="9">
        <f>EPM($B$3,$B$4,"FY",$A16,"period_net_amount")</f>
        <v/>
      </c>
    </row>
    <row r="17">
      <c r="A17" s="10" t="inlineStr">
        <is>
          <t>140100</t>
        </is>
      </c>
      <c r="B17" s="11" t="inlineStr">
        <is>
          <t>Raw Materials Inventory</t>
        </is>
      </c>
      <c r="C17" s="12">
        <f>EPM($B$3,$B$4,"Q1",$A17,"period_net_amount")</f>
        <v/>
      </c>
      <c r="D17" s="12">
        <f>EPM($B$3,$B$4,"Q2",$A17,"period_net_amount")</f>
        <v/>
      </c>
      <c r="E17" s="12">
        <f>EPM($B$3,$B$4,"Q3",$A17,"period_net_amount")</f>
        <v/>
      </c>
      <c r="F17" s="12">
        <f>EPM($B$3,$B$4,"Q4",$A17,"period_net_amount")</f>
        <v/>
      </c>
      <c r="G17" s="12">
        <f>EPM($B$3,$B$4,"H1",$A17,"period_net_amount")</f>
        <v/>
      </c>
      <c r="H17" s="12">
        <f>EPM($B$3,$B$4,"H2",$A17,"period_net_amount")</f>
        <v/>
      </c>
      <c r="I17" s="12">
        <f>EPM($B$3,$B$4,"FY",$A17,"period_net_amount")</f>
        <v/>
      </c>
    </row>
    <row r="18">
      <c r="A18" s="7" t="inlineStr">
        <is>
          <t>140200</t>
        </is>
      </c>
      <c r="B18" s="8" t="inlineStr">
        <is>
          <t>Finished Goods Inventory</t>
        </is>
      </c>
      <c r="C18" s="9">
        <f>EPM($B$3,$B$4,"Q1",$A18,"period_net_amount")</f>
        <v/>
      </c>
      <c r="D18" s="9">
        <f>EPM($B$3,$B$4,"Q2",$A18,"period_net_amount")</f>
        <v/>
      </c>
      <c r="E18" s="9">
        <f>EPM($B$3,$B$4,"Q3",$A18,"period_net_amount")</f>
        <v/>
      </c>
      <c r="F18" s="9">
        <f>EPM($B$3,$B$4,"Q4",$A18,"period_net_amount")</f>
        <v/>
      </c>
      <c r="G18" s="9">
        <f>EPM($B$3,$B$4,"H1",$A18,"period_net_amount")</f>
        <v/>
      </c>
      <c r="H18" s="9">
        <f>EPM($B$3,$B$4,"H2",$A18,"period_net_amount")</f>
        <v/>
      </c>
      <c r="I18" s="9">
        <f>EPM($B$3,$B$4,"FY",$A18,"period_net_amount")</f>
        <v/>
      </c>
    </row>
    <row r="19">
      <c r="A19" s="10" t="inlineStr">
        <is>
          <t>132190</t>
        </is>
      </c>
      <c r="B19" s="11" t="inlineStr">
        <is>
          <t>Prepaid Expenses</t>
        </is>
      </c>
      <c r="C19" s="12">
        <f>EPM($B$3,$B$4,"Q1",$A19,"period_net_amount")</f>
        <v/>
      </c>
      <c r="D19" s="12">
        <f>EPM($B$3,$B$4,"Q2",$A19,"period_net_amount")</f>
        <v/>
      </c>
      <c r="E19" s="12">
        <f>EPM($B$3,$B$4,"Q3",$A19,"period_net_amount")</f>
        <v/>
      </c>
      <c r="F19" s="12">
        <f>EPM($B$3,$B$4,"Q4",$A19,"period_net_amount")</f>
        <v/>
      </c>
      <c r="G19" s="12">
        <f>EPM($B$3,$B$4,"H1",$A19,"period_net_amount")</f>
        <v/>
      </c>
      <c r="H19" s="12">
        <f>EPM($B$3,$B$4,"H2",$A19,"period_net_amount")</f>
        <v/>
      </c>
      <c r="I19" s="12">
        <f>EPM($B$3,$B$4,"FY",$A19,"period_net_amount")</f>
        <v/>
      </c>
    </row>
    <row r="20">
      <c r="A20" s="7" t="inlineStr">
        <is>
          <t>200100</t>
        </is>
      </c>
      <c r="B20" s="8" t="inlineStr">
        <is>
          <t>Accounts Payable</t>
        </is>
      </c>
      <c r="C20" s="9">
        <f>EPM($B$3,$B$4,"Q1",$A20,"period_net_amount")</f>
        <v/>
      </c>
      <c r="D20" s="9">
        <f>EPM($B$3,$B$4,"Q2",$A20,"period_net_amount")</f>
        <v/>
      </c>
      <c r="E20" s="9">
        <f>EPM($B$3,$B$4,"Q3",$A20,"period_net_amount")</f>
        <v/>
      </c>
      <c r="F20" s="9">
        <f>EPM($B$3,$B$4,"Q4",$A20,"period_net_amount")</f>
        <v/>
      </c>
      <c r="G20" s="9">
        <f>EPM($B$3,$B$4,"H1",$A20,"period_net_amount")</f>
        <v/>
      </c>
      <c r="H20" s="9">
        <f>EPM($B$3,$B$4,"H2",$A20,"period_net_amount")</f>
        <v/>
      </c>
      <c r="I20" s="9">
        <f>EPM($B$3,$B$4,"FY",$A20,"period_net_amount")</f>
        <v/>
      </c>
    </row>
    <row r="21">
      <c r="A21" s="10" t="inlineStr">
        <is>
          <t>200140</t>
        </is>
      </c>
      <c r="B21" s="11" t="inlineStr">
        <is>
          <t>Accrued Purchases</t>
        </is>
      </c>
      <c r="C21" s="12">
        <f>EPM($B$3,$B$4,"Q1",$A21,"period_net_amount")</f>
        <v/>
      </c>
      <c r="D21" s="12">
        <f>EPM($B$3,$B$4,"Q2",$A21,"period_net_amount")</f>
        <v/>
      </c>
      <c r="E21" s="12">
        <f>EPM($B$3,$B$4,"Q3",$A21,"period_net_amount")</f>
        <v/>
      </c>
      <c r="F21" s="12">
        <f>EPM($B$3,$B$4,"Q4",$A21,"period_net_amount")</f>
        <v/>
      </c>
      <c r="G21" s="12">
        <f>EPM($B$3,$B$4,"H1",$A21,"period_net_amount")</f>
        <v/>
      </c>
      <c r="H21" s="12">
        <f>EPM($B$3,$B$4,"H2",$A21,"period_net_amount")</f>
        <v/>
      </c>
      <c r="I21" s="12">
        <f>EPM($B$3,$B$4,"FY",$A21,"period_net_amount")</f>
        <v/>
      </c>
    </row>
    <row r="22">
      <c r="A22" s="7" t="inlineStr">
        <is>
          <t>200190</t>
        </is>
      </c>
      <c r="B22" s="8" t="inlineStr">
        <is>
          <t>Accrued Purchases - Other</t>
        </is>
      </c>
      <c r="C22" s="9">
        <f>EPM($B$3,$B$4,"Q1",$A22,"period_net_amount")</f>
        <v/>
      </c>
      <c r="D22" s="9">
        <f>EPM($B$3,$B$4,"Q2",$A22,"period_net_amount")</f>
        <v/>
      </c>
      <c r="E22" s="9">
        <f>EPM($B$3,$B$4,"Q3",$A22,"period_net_amount")</f>
        <v/>
      </c>
      <c r="F22" s="9">
        <f>EPM($B$3,$B$4,"Q4",$A22,"period_net_amount")</f>
        <v/>
      </c>
      <c r="G22" s="9">
        <f>EPM($B$3,$B$4,"H1",$A22,"period_net_amount")</f>
        <v/>
      </c>
      <c r="H22" s="9">
        <f>EPM($B$3,$B$4,"H2",$A22,"period_net_amount")</f>
        <v/>
      </c>
      <c r="I22" s="9">
        <f>EPM($B$3,$B$4,"FY",$A22,"period_net_amount")</f>
        <v/>
      </c>
    </row>
    <row r="23">
      <c r="A23" s="36" t="n"/>
      <c r="B23" s="37" t="inlineStr">
        <is>
          <t>Net Cash from Operating Activities</t>
        </is>
      </c>
      <c r="C23" s="38">
        <f>C8+C10+C11+C12+C13+C15+C16+C17+C18+C19+C20+C21+C22</f>
        <v/>
      </c>
      <c r="D23" s="38">
        <f>D8+D10+D11+D12+D13+D15+D16+D17+D18+D19+D20+D21+D22</f>
        <v/>
      </c>
      <c r="E23" s="38">
        <f>E8+E10+E11+E12+E13+E15+E16+E17+E18+E19+E20+E21+E22</f>
        <v/>
      </c>
      <c r="F23" s="38">
        <f>F8+F10+F11+F12+F13+F15+F16+F17+F18+F19+F20+F21+F22</f>
        <v/>
      </c>
      <c r="G23" s="38">
        <f>G8+G10+G11+G12+G13+G15+G16+G17+G18+G19+G20+G21+G22</f>
        <v/>
      </c>
      <c r="H23" s="38">
        <f>H8+H10+H11+H12+H13+H15+H16+H17+H18+H19+H20+H21+H22</f>
        <v/>
      </c>
      <c r="I23" s="38">
        <f>I8+I10+I11+I12+I13+I15+I16+I17+I18+I19+I20+I21+I22</f>
        <v/>
      </c>
    </row>
    <row r="25">
      <c r="B25" s="32" t="inlineStr">
        <is>
          <t>Investing Activities</t>
        </is>
      </c>
    </row>
    <row r="26">
      <c r="A26" s="7" t="inlineStr">
        <is>
          <t>180100</t>
        </is>
      </c>
      <c r="B26" s="8" t="inlineStr">
        <is>
          <t>Purchase of Fixed Assets</t>
        </is>
      </c>
      <c r="C26" s="9">
        <f>EPM($B$3,$B$4,"Q1",$A26,"period_net_amount")</f>
        <v/>
      </c>
      <c r="D26" s="9">
        <f>EPM($B$3,$B$4,"Q2",$A26,"period_net_amount")</f>
        <v/>
      </c>
      <c r="E26" s="9">
        <f>EPM($B$3,$B$4,"Q3",$A26,"period_net_amount")</f>
        <v/>
      </c>
      <c r="F26" s="9">
        <f>EPM($B$3,$B$4,"Q4",$A26,"period_net_amount")</f>
        <v/>
      </c>
      <c r="G26" s="9">
        <f>EPM($B$3,$B$4,"H1",$A26,"period_net_amount")</f>
        <v/>
      </c>
      <c r="H26" s="9">
        <f>EPM($B$3,$B$4,"H2",$A26,"period_net_amount")</f>
        <v/>
      </c>
      <c r="I26" s="9">
        <f>EPM($B$3,$B$4,"FY",$A26,"period_net_amount")</f>
        <v/>
      </c>
    </row>
    <row r="27">
      <c r="A27" s="10" t="inlineStr">
        <is>
          <t>180141</t>
        </is>
      </c>
      <c r="B27" s="11" t="inlineStr">
        <is>
          <t>Assets Under Construction</t>
        </is>
      </c>
      <c r="C27" s="12">
        <f>EPM($B$3,$B$4,"Q1",$A27,"period_net_amount")</f>
        <v/>
      </c>
      <c r="D27" s="12">
        <f>EPM($B$3,$B$4,"Q2",$A27,"period_net_amount")</f>
        <v/>
      </c>
      <c r="E27" s="12">
        <f>EPM($B$3,$B$4,"Q3",$A27,"period_net_amount")</f>
        <v/>
      </c>
      <c r="F27" s="12">
        <f>EPM($B$3,$B$4,"Q4",$A27,"period_net_amount")</f>
        <v/>
      </c>
      <c r="G27" s="12">
        <f>EPM($B$3,$B$4,"H1",$A27,"period_net_amount")</f>
        <v/>
      </c>
      <c r="H27" s="12">
        <f>EPM($B$3,$B$4,"H2",$A27,"period_net_amount")</f>
        <v/>
      </c>
      <c r="I27" s="12">
        <f>EPM($B$3,$B$4,"FY",$A27,"period_net_amount")</f>
        <v/>
      </c>
    </row>
    <row r="28">
      <c r="A28" s="7" t="inlineStr">
        <is>
          <t>180140</t>
        </is>
      </c>
      <c r="B28" s="8" t="inlineStr">
        <is>
          <t>Purchase of Intangible Assets</t>
        </is>
      </c>
      <c r="C28" s="9">
        <f>EPM($B$3,$B$4,"Q1",$A28,"period_net_amount")</f>
        <v/>
      </c>
      <c r="D28" s="9">
        <f>EPM($B$3,$B$4,"Q2",$A28,"period_net_amount")</f>
        <v/>
      </c>
      <c r="E28" s="9">
        <f>EPM($B$3,$B$4,"Q3",$A28,"period_net_amount")</f>
        <v/>
      </c>
      <c r="F28" s="9">
        <f>EPM($B$3,$B$4,"Q4",$A28,"period_net_amount")</f>
        <v/>
      </c>
      <c r="G28" s="9">
        <f>EPM($B$3,$B$4,"H1",$A28,"period_net_amount")</f>
        <v/>
      </c>
      <c r="H28" s="9">
        <f>EPM($B$3,$B$4,"H2",$A28,"period_net_amount")</f>
        <v/>
      </c>
      <c r="I28" s="9">
        <f>EPM($B$3,$B$4,"FY",$A28,"period_net_amount")</f>
        <v/>
      </c>
    </row>
    <row r="29">
      <c r="A29" s="10" t="inlineStr">
        <is>
          <t>120200</t>
        </is>
      </c>
      <c r="B29" s="11" t="inlineStr">
        <is>
          <t>Marketable Securities</t>
        </is>
      </c>
      <c r="C29" s="12">
        <f>EPM($B$3,$B$4,"Q1",$A29,"period_net_amount")</f>
        <v/>
      </c>
      <c r="D29" s="12">
        <f>EPM($B$3,$B$4,"Q2",$A29,"period_net_amount")</f>
        <v/>
      </c>
      <c r="E29" s="12">
        <f>EPM($B$3,$B$4,"Q3",$A29,"period_net_amount")</f>
        <v/>
      </c>
      <c r="F29" s="12">
        <f>EPM($B$3,$B$4,"Q4",$A29,"period_net_amount")</f>
        <v/>
      </c>
      <c r="G29" s="12">
        <f>EPM($B$3,$B$4,"H1",$A29,"period_net_amount")</f>
        <v/>
      </c>
      <c r="H29" s="12">
        <f>EPM($B$3,$B$4,"H2",$A29,"period_net_amount")</f>
        <v/>
      </c>
      <c r="I29" s="12">
        <f>EPM($B$3,$B$4,"FY",$A29,"period_net_amount")</f>
        <v/>
      </c>
    </row>
    <row r="30">
      <c r="A30" s="36" t="n"/>
      <c r="B30" s="37" t="inlineStr">
        <is>
          <t>Net Cash from Investing Activities</t>
        </is>
      </c>
      <c r="C30" s="38">
        <f>C26+C27+C28+C29</f>
        <v/>
      </c>
      <c r="D30" s="38">
        <f>D26+D27+D28+D29</f>
        <v/>
      </c>
      <c r="E30" s="38">
        <f>E26+E27+E28+E29</f>
        <v/>
      </c>
      <c r="F30" s="38">
        <f>F26+F27+F28+F29</f>
        <v/>
      </c>
      <c r="G30" s="38">
        <f>G26+G27+G28+G29</f>
        <v/>
      </c>
      <c r="H30" s="38">
        <f>H26+H27+H28+H29</f>
        <v/>
      </c>
      <c r="I30" s="38">
        <f>I26+I27+I28+I29</f>
        <v/>
      </c>
    </row>
    <row r="32">
      <c r="B32" s="32" t="inlineStr">
        <is>
          <t>Financing Activities</t>
        </is>
      </c>
    </row>
    <row r="33">
      <c r="A33" s="7" t="inlineStr">
        <is>
          <t>250100</t>
        </is>
      </c>
      <c r="B33" s="8" t="inlineStr">
        <is>
          <t>Long-term Bank Loans</t>
        </is>
      </c>
      <c r="C33" s="9">
        <f>EPM($B$3,$B$4,"Q1",$A33,"period_net_amount")</f>
        <v/>
      </c>
      <c r="D33" s="9">
        <f>EPM($B$3,$B$4,"Q2",$A33,"period_net_amount")</f>
        <v/>
      </c>
      <c r="E33" s="9">
        <f>EPM($B$3,$B$4,"Q3",$A33,"period_net_amount")</f>
        <v/>
      </c>
      <c r="F33" s="9">
        <f>EPM($B$3,$B$4,"Q4",$A33,"period_net_amount")</f>
        <v/>
      </c>
      <c r="G33" s="9">
        <f>EPM($B$3,$B$4,"H1",$A33,"period_net_amount")</f>
        <v/>
      </c>
      <c r="H33" s="9">
        <f>EPM($B$3,$B$4,"H2",$A33,"period_net_amount")</f>
        <v/>
      </c>
      <c r="I33" s="9">
        <f>EPM($B$3,$B$4,"FY",$A33,"period_net_amount")</f>
        <v/>
      </c>
    </row>
    <row r="34">
      <c r="A34" s="10" t="inlineStr">
        <is>
          <t>250200</t>
        </is>
      </c>
      <c r="B34" s="11" t="inlineStr">
        <is>
          <t>Notes Payable</t>
        </is>
      </c>
      <c r="C34" s="12">
        <f>EPM($B$3,$B$4,"Q1",$A34,"period_net_amount")</f>
        <v/>
      </c>
      <c r="D34" s="12">
        <f>EPM($B$3,$B$4,"Q2",$A34,"period_net_amount")</f>
        <v/>
      </c>
      <c r="E34" s="12">
        <f>EPM($B$3,$B$4,"Q3",$A34,"period_net_amount")</f>
        <v/>
      </c>
      <c r="F34" s="12">
        <f>EPM($B$3,$B$4,"Q4",$A34,"period_net_amount")</f>
        <v/>
      </c>
      <c r="G34" s="12">
        <f>EPM($B$3,$B$4,"H1",$A34,"period_net_amount")</f>
        <v/>
      </c>
      <c r="H34" s="12">
        <f>EPM($B$3,$B$4,"H2",$A34,"period_net_amount")</f>
        <v/>
      </c>
      <c r="I34" s="12">
        <f>EPM($B$3,$B$4,"FY",$A34,"period_net_amount")</f>
        <v/>
      </c>
    </row>
    <row r="35">
      <c r="A35" s="7" t="inlineStr">
        <is>
          <t>250300</t>
        </is>
      </c>
      <c r="B35" s="8" t="inlineStr">
        <is>
          <t>Mortgage Payable</t>
        </is>
      </c>
      <c r="C35" s="9">
        <f>EPM($B$3,$B$4,"Q1",$A35,"period_net_amount")</f>
        <v/>
      </c>
      <c r="D35" s="9">
        <f>EPM($B$3,$B$4,"Q2",$A35,"period_net_amount")</f>
        <v/>
      </c>
      <c r="E35" s="9">
        <f>EPM($B$3,$B$4,"Q3",$A35,"period_net_amount")</f>
        <v/>
      </c>
      <c r="F35" s="9">
        <f>EPM($B$3,$B$4,"Q4",$A35,"period_net_amount")</f>
        <v/>
      </c>
      <c r="G35" s="9">
        <f>EPM($B$3,$B$4,"H1",$A35,"period_net_amount")</f>
        <v/>
      </c>
      <c r="H35" s="9">
        <f>EPM($B$3,$B$4,"H2",$A35,"period_net_amount")</f>
        <v/>
      </c>
      <c r="I35" s="9">
        <f>EPM($B$3,$B$4,"FY",$A35,"period_net_amount")</f>
        <v/>
      </c>
    </row>
    <row r="36">
      <c r="A36" s="10" t="inlineStr">
        <is>
          <t>300110</t>
        </is>
      </c>
      <c r="B36" s="11" t="inlineStr">
        <is>
          <t>Capital Stock</t>
        </is>
      </c>
      <c r="C36" s="12">
        <f>EPM($B$3,$B$4,"Q1",$A36,"period_net_amount")</f>
        <v/>
      </c>
      <c r="D36" s="12">
        <f>EPM($B$3,$B$4,"Q2",$A36,"period_net_amount")</f>
        <v/>
      </c>
      <c r="E36" s="12">
        <f>EPM($B$3,$B$4,"Q3",$A36,"period_net_amount")</f>
        <v/>
      </c>
      <c r="F36" s="12">
        <f>EPM($B$3,$B$4,"Q4",$A36,"period_net_amount")</f>
        <v/>
      </c>
      <c r="G36" s="12">
        <f>EPM($B$3,$B$4,"H1",$A36,"period_net_amount")</f>
        <v/>
      </c>
      <c r="H36" s="12">
        <f>EPM($B$3,$B$4,"H2",$A36,"period_net_amount")</f>
        <v/>
      </c>
      <c r="I36" s="12">
        <f>EPM($B$3,$B$4,"FY",$A36,"period_net_amount")</f>
        <v/>
      </c>
    </row>
    <row r="37">
      <c r="A37" s="7" t="inlineStr">
        <is>
          <t>300130</t>
        </is>
      </c>
      <c r="B37" s="8" t="inlineStr">
        <is>
          <t>Dividends Paid</t>
        </is>
      </c>
      <c r="C37" s="9">
        <f>EPM($B$3,$B$4,"Q1",$A37,"period_net_amount")</f>
        <v/>
      </c>
      <c r="D37" s="9">
        <f>EPM($B$3,$B$4,"Q2",$A37,"period_net_amount")</f>
        <v/>
      </c>
      <c r="E37" s="9">
        <f>EPM($B$3,$B$4,"Q3",$A37,"period_net_amount")</f>
        <v/>
      </c>
      <c r="F37" s="9">
        <f>EPM($B$3,$B$4,"Q4",$A37,"period_net_amount")</f>
        <v/>
      </c>
      <c r="G37" s="9">
        <f>EPM($B$3,$B$4,"H1",$A37,"period_net_amount")</f>
        <v/>
      </c>
      <c r="H37" s="9">
        <f>EPM($B$3,$B$4,"H2",$A37,"period_net_amount")</f>
        <v/>
      </c>
      <c r="I37" s="9">
        <f>EPM($B$3,$B$4,"FY",$A37,"period_net_amount")</f>
        <v/>
      </c>
    </row>
    <row r="38">
      <c r="A38" s="36" t="n"/>
      <c r="B38" s="37" t="inlineStr">
        <is>
          <t>Net Cash from Financing Activities</t>
        </is>
      </c>
      <c r="C38" s="38">
        <f>C33+C34+C35+C36+C37</f>
        <v/>
      </c>
      <c r="D38" s="38">
        <f>D33+D34+D35+D36+D37</f>
        <v/>
      </c>
      <c r="E38" s="38">
        <f>E33+E34+E35+E36+E37</f>
        <v/>
      </c>
      <c r="F38" s="38">
        <f>F33+F34+F35+F36+F37</f>
        <v/>
      </c>
      <c r="G38" s="38">
        <f>G33+G34+G35+G36+G37</f>
        <v/>
      </c>
      <c r="H38" s="38">
        <f>H33+H34+H35+H36+H37</f>
        <v/>
      </c>
      <c r="I38" s="38">
        <f>I33+I34+I35+I36+I37</f>
        <v/>
      </c>
    </row>
    <row r="40">
      <c r="A40" s="36" t="n"/>
      <c r="B40" s="39" t="inlineStr">
        <is>
          <t>Net Change in Cash</t>
        </is>
      </c>
      <c r="C40" s="40">
        <f>C23+C30+C38</f>
        <v/>
      </c>
      <c r="D40" s="40">
        <f>D23+D30+D38</f>
        <v/>
      </c>
      <c r="E40" s="40">
        <f>E23+E30+E38</f>
        <v/>
      </c>
      <c r="F40" s="40">
        <f>F23+F30+F38</f>
        <v/>
      </c>
      <c r="G40" s="40">
        <f>G23+G30+G38</f>
        <v/>
      </c>
      <c r="H40" s="40">
        <f>H23+H30+H38</f>
        <v/>
      </c>
      <c r="I40" s="40">
        <f>I23+I30+I38</f>
        <v/>
      </c>
    </row>
    <row r="42">
      <c r="B42" s="32" t="inlineStr">
        <is>
          <t>Cash Position</t>
        </is>
      </c>
    </row>
    <row r="43">
      <c r="B43" s="11" t="inlineStr">
        <is>
          <t>Opening Cash (prior year-end)</t>
        </is>
      </c>
      <c r="C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D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E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F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G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H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  <c r="I43" s="12">
        <f>-(EPM($B$3,$B$4-1,12,"110110","ytd_net_amount")+EPM($B$3,$B$4-1,12,"110112","ytd_net_amount")+EPM($B$3,$B$4-1,12,"110115","ytd_net_amount")+EPM($B$3,$B$4-1,12,"110125","ytd_net_amount")+EPM($B$3,$B$4-1,12,"110130","ytd_net_amount")+EPM($B$3,$B$4-1,12,"110140","ytd_net_amount")+EPM($B$3,$B$4-1,12,"110150","ytd_net_amount")+EPM($B$3,$B$4-1,12,"110160","ytd_net_amount")+EPM($B$3,$B$4-1,12,"110180","ytd_net_amount"))</f>
        <v/>
      </c>
    </row>
    <row r="44">
      <c r="B44" s="11" t="inlineStr">
        <is>
          <t>Net Change in Cash (above)</t>
        </is>
      </c>
      <c r="C44" s="12">
        <f>C40</f>
        <v/>
      </c>
      <c r="D44" s="12">
        <f>D40</f>
        <v/>
      </c>
      <c r="E44" s="12">
        <f>E40</f>
        <v/>
      </c>
      <c r="F44" s="12">
        <f>F40</f>
        <v/>
      </c>
      <c r="G44" s="12">
        <f>G40</f>
        <v/>
      </c>
      <c r="H44" s="12">
        <f>H40</f>
        <v/>
      </c>
      <c r="I44" s="12">
        <f>I40</f>
        <v/>
      </c>
    </row>
    <row r="45">
      <c r="A45" s="36" t="n"/>
      <c r="B45" s="39" t="inlineStr">
        <is>
          <t>Closing Cash</t>
        </is>
      </c>
      <c r="C45" s="41">
        <f>C43+C44</f>
        <v/>
      </c>
      <c r="D45" s="41">
        <f>D43+D44</f>
        <v/>
      </c>
      <c r="E45" s="41">
        <f>E43+E44</f>
        <v/>
      </c>
      <c r="F45" s="41">
        <f>F43+F44</f>
        <v/>
      </c>
      <c r="G45" s="41">
        <f>G43+G44</f>
        <v/>
      </c>
      <c r="H45" s="41">
        <f>H43+H44</f>
        <v/>
      </c>
      <c r="I45" s="41">
        <f>I43+I44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2026-06-08T14:23:29Z</dcterms:created>
  <dcterms:modified xmlns:dcterms="http://purl.org/dc/terms/" xmlns:xsi="http://www.w3.org/2001/XMLSchema-instance" xsi:type="dcterms:W3CDTF">2026-06-08T14:23:30Z</dcterms:modified>
</cp:coreProperties>
</file>